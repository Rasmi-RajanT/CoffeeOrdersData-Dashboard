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D:\Data Analytics\Excel\GITHUB\"/>
    </mc:Choice>
  </mc:AlternateContent>
  <xr:revisionPtr revIDLastSave="0" documentId="13_ncr:1_{78821691-0BA3-4EB7-8A62-AC0D7ED1C867}" xr6:coauthVersionLast="47" xr6:coauthVersionMax="47" xr10:uidLastSave="{00000000-0000-0000-0000-000000000000}"/>
  <bookViews>
    <workbookView xWindow="-120" yWindow="-120" windowWidth="20730" windowHeight="11160" activeTab="1" xr2:uid="{00000000-000D-0000-FFFF-FFFF00000000}"/>
  </bookViews>
  <sheets>
    <sheet name="Pivot Table" sheetId="6" r:id="rId1"/>
    <sheet name="Dashboard" sheetId="7" r:id="rId2"/>
    <sheet name="WORKSHEET" sheetId="5" r:id="rId3"/>
    <sheet name="Orders" sheetId="1" r:id="rId4"/>
    <sheet name="Customers" sheetId="2" r:id="rId5"/>
    <sheet name="Products" sheetId="3" r:id="rId6"/>
  </sheets>
  <externalReferences>
    <externalReference r:id="rId7"/>
  </externalReferences>
  <definedNames>
    <definedName name="Slicer_Coffee_type">#N/A</definedName>
    <definedName name="Slicer_Yea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3" i="5" l="1"/>
  <c r="T71" i="5"/>
  <c r="T118" i="5"/>
  <c r="T126" i="5"/>
  <c r="T131" i="5"/>
  <c r="T147" i="5"/>
  <c r="T150" i="5"/>
  <c r="T166" i="5"/>
  <c r="T174" i="5"/>
  <c r="T190" i="5"/>
  <c r="T195" i="5"/>
  <c r="T211" i="5"/>
  <c r="T214" i="5"/>
  <c r="T259" i="5"/>
  <c r="T275" i="5"/>
  <c r="T323" i="5"/>
  <c r="T339" i="5"/>
  <c r="S3" i="5"/>
  <c r="T3" i="5" s="1"/>
  <c r="S4" i="5"/>
  <c r="T4" i="5" s="1"/>
  <c r="S5" i="5"/>
  <c r="T5" i="5" s="1"/>
  <c r="S6" i="5"/>
  <c r="T6" i="5" s="1"/>
  <c r="S7" i="5"/>
  <c r="T7" i="5" s="1"/>
  <c r="S8" i="5"/>
  <c r="T8" i="5" s="1"/>
  <c r="S9" i="5"/>
  <c r="T9" i="5" s="1"/>
  <c r="S10" i="5"/>
  <c r="T10" i="5" s="1"/>
  <c r="S11" i="5"/>
  <c r="T11" i="5" s="1"/>
  <c r="S12" i="5"/>
  <c r="T12" i="5" s="1"/>
  <c r="S13" i="5"/>
  <c r="T13" i="5" s="1"/>
  <c r="S14" i="5"/>
  <c r="T14" i="5" s="1"/>
  <c r="S15" i="5"/>
  <c r="T15" i="5" s="1"/>
  <c r="S16" i="5"/>
  <c r="T16" i="5" s="1"/>
  <c r="S17" i="5"/>
  <c r="T17" i="5" s="1"/>
  <c r="S18" i="5"/>
  <c r="T18" i="5" s="1"/>
  <c r="S19" i="5"/>
  <c r="T19" i="5" s="1"/>
  <c r="S20" i="5"/>
  <c r="T20" i="5" s="1"/>
  <c r="S21" i="5"/>
  <c r="T21" i="5" s="1"/>
  <c r="S22" i="5"/>
  <c r="T22" i="5" s="1"/>
  <c r="S23" i="5"/>
  <c r="T23" i="5" s="1"/>
  <c r="S24" i="5"/>
  <c r="T24" i="5" s="1"/>
  <c r="S25" i="5"/>
  <c r="T25" i="5" s="1"/>
  <c r="S26" i="5"/>
  <c r="T26" i="5" s="1"/>
  <c r="S27" i="5"/>
  <c r="T27" i="5" s="1"/>
  <c r="S28" i="5"/>
  <c r="T28" i="5" s="1"/>
  <c r="S29" i="5"/>
  <c r="T29" i="5" s="1"/>
  <c r="S30" i="5"/>
  <c r="T30" i="5" s="1"/>
  <c r="S31" i="5"/>
  <c r="T31" i="5" s="1"/>
  <c r="S32" i="5"/>
  <c r="T32" i="5" s="1"/>
  <c r="S33" i="5"/>
  <c r="T33" i="5" s="1"/>
  <c r="S34" i="5"/>
  <c r="T34" i="5" s="1"/>
  <c r="S35" i="5"/>
  <c r="T35" i="5" s="1"/>
  <c r="S36" i="5"/>
  <c r="T36" i="5" s="1"/>
  <c r="S37" i="5"/>
  <c r="T37" i="5" s="1"/>
  <c r="S38" i="5"/>
  <c r="T38" i="5" s="1"/>
  <c r="S39" i="5"/>
  <c r="T39" i="5" s="1"/>
  <c r="S40" i="5"/>
  <c r="T40" i="5" s="1"/>
  <c r="S41" i="5"/>
  <c r="T41" i="5" s="1"/>
  <c r="S42" i="5"/>
  <c r="T42" i="5" s="1"/>
  <c r="S43" i="5"/>
  <c r="T43" i="5" s="1"/>
  <c r="S44" i="5"/>
  <c r="T44" i="5" s="1"/>
  <c r="S45" i="5"/>
  <c r="T45" i="5" s="1"/>
  <c r="S46" i="5"/>
  <c r="T46" i="5" s="1"/>
  <c r="S47" i="5"/>
  <c r="T47" i="5" s="1"/>
  <c r="S48" i="5"/>
  <c r="T48" i="5" s="1"/>
  <c r="S49" i="5"/>
  <c r="T49" i="5" s="1"/>
  <c r="S50" i="5"/>
  <c r="T50" i="5" s="1"/>
  <c r="S51" i="5"/>
  <c r="T51" i="5" s="1"/>
  <c r="S52" i="5"/>
  <c r="T52" i="5" s="1"/>
  <c r="S53" i="5"/>
  <c r="T53" i="5" s="1"/>
  <c r="S54" i="5"/>
  <c r="T54" i="5" s="1"/>
  <c r="S55" i="5"/>
  <c r="T55" i="5" s="1"/>
  <c r="S56" i="5"/>
  <c r="T56" i="5" s="1"/>
  <c r="S57" i="5"/>
  <c r="T57" i="5" s="1"/>
  <c r="S58" i="5"/>
  <c r="T58" i="5" s="1"/>
  <c r="S59" i="5"/>
  <c r="T59" i="5" s="1"/>
  <c r="S60" i="5"/>
  <c r="T60" i="5" s="1"/>
  <c r="S61" i="5"/>
  <c r="T61" i="5" s="1"/>
  <c r="S62" i="5"/>
  <c r="T62" i="5" s="1"/>
  <c r="S63" i="5"/>
  <c r="S64" i="5"/>
  <c r="T64" i="5" s="1"/>
  <c r="S65" i="5"/>
  <c r="T65" i="5" s="1"/>
  <c r="S66" i="5"/>
  <c r="T66" i="5" s="1"/>
  <c r="S67" i="5"/>
  <c r="T67" i="5" s="1"/>
  <c r="S68" i="5"/>
  <c r="T68" i="5" s="1"/>
  <c r="S69" i="5"/>
  <c r="T69" i="5" s="1"/>
  <c r="S70" i="5"/>
  <c r="T70" i="5" s="1"/>
  <c r="S71" i="5"/>
  <c r="S72" i="5"/>
  <c r="T72" i="5" s="1"/>
  <c r="S73" i="5"/>
  <c r="T73" i="5" s="1"/>
  <c r="S74" i="5"/>
  <c r="T74" i="5" s="1"/>
  <c r="S75" i="5"/>
  <c r="T75" i="5" s="1"/>
  <c r="S76" i="5"/>
  <c r="T76" i="5" s="1"/>
  <c r="S77" i="5"/>
  <c r="T77" i="5" s="1"/>
  <c r="S78" i="5"/>
  <c r="T78" i="5" s="1"/>
  <c r="S79" i="5"/>
  <c r="T79" i="5" s="1"/>
  <c r="S80" i="5"/>
  <c r="T80" i="5" s="1"/>
  <c r="S81" i="5"/>
  <c r="T81" i="5" s="1"/>
  <c r="S82" i="5"/>
  <c r="T82" i="5" s="1"/>
  <c r="S83" i="5"/>
  <c r="T83" i="5" s="1"/>
  <c r="S84" i="5"/>
  <c r="T84" i="5" s="1"/>
  <c r="S85" i="5"/>
  <c r="T85" i="5" s="1"/>
  <c r="S86" i="5"/>
  <c r="T86" i="5" s="1"/>
  <c r="S87" i="5"/>
  <c r="T87" i="5" s="1"/>
  <c r="S88" i="5"/>
  <c r="T88" i="5" s="1"/>
  <c r="S89" i="5"/>
  <c r="T89" i="5" s="1"/>
  <c r="S90" i="5"/>
  <c r="T90" i="5" s="1"/>
  <c r="S91" i="5"/>
  <c r="T91" i="5" s="1"/>
  <c r="S92" i="5"/>
  <c r="T92" i="5" s="1"/>
  <c r="S93" i="5"/>
  <c r="T93" i="5" s="1"/>
  <c r="S94" i="5"/>
  <c r="T94" i="5" s="1"/>
  <c r="S95" i="5"/>
  <c r="T95" i="5" s="1"/>
  <c r="S96" i="5"/>
  <c r="T96" i="5" s="1"/>
  <c r="S97" i="5"/>
  <c r="T97" i="5" s="1"/>
  <c r="S98" i="5"/>
  <c r="T98" i="5" s="1"/>
  <c r="S99" i="5"/>
  <c r="T99" i="5" s="1"/>
  <c r="S100" i="5"/>
  <c r="T100" i="5" s="1"/>
  <c r="S101" i="5"/>
  <c r="T101" i="5" s="1"/>
  <c r="S102" i="5"/>
  <c r="T102" i="5" s="1"/>
  <c r="S103" i="5"/>
  <c r="T103" i="5" s="1"/>
  <c r="S104" i="5"/>
  <c r="T104" i="5" s="1"/>
  <c r="S105" i="5"/>
  <c r="T105" i="5" s="1"/>
  <c r="S106" i="5"/>
  <c r="T106" i="5" s="1"/>
  <c r="S107" i="5"/>
  <c r="T107" i="5" s="1"/>
  <c r="S108" i="5"/>
  <c r="T108" i="5" s="1"/>
  <c r="S109" i="5"/>
  <c r="T109" i="5" s="1"/>
  <c r="S110" i="5"/>
  <c r="T110" i="5" s="1"/>
  <c r="S111" i="5"/>
  <c r="T111" i="5" s="1"/>
  <c r="S112" i="5"/>
  <c r="T112" i="5" s="1"/>
  <c r="S113" i="5"/>
  <c r="T113" i="5" s="1"/>
  <c r="S114" i="5"/>
  <c r="T114" i="5" s="1"/>
  <c r="S115" i="5"/>
  <c r="T115" i="5" s="1"/>
  <c r="S116" i="5"/>
  <c r="T116" i="5" s="1"/>
  <c r="S117" i="5"/>
  <c r="T117" i="5" s="1"/>
  <c r="S118" i="5"/>
  <c r="S119" i="5"/>
  <c r="T119" i="5" s="1"/>
  <c r="S120" i="5"/>
  <c r="T120" i="5" s="1"/>
  <c r="S121" i="5"/>
  <c r="T121" i="5" s="1"/>
  <c r="S122" i="5"/>
  <c r="T122" i="5" s="1"/>
  <c r="S123" i="5"/>
  <c r="T123" i="5" s="1"/>
  <c r="S124" i="5"/>
  <c r="T124" i="5" s="1"/>
  <c r="S125" i="5"/>
  <c r="T125" i="5" s="1"/>
  <c r="S126" i="5"/>
  <c r="S127" i="5"/>
  <c r="T127" i="5" s="1"/>
  <c r="S128" i="5"/>
  <c r="T128" i="5" s="1"/>
  <c r="S129" i="5"/>
  <c r="T129" i="5" s="1"/>
  <c r="S130" i="5"/>
  <c r="T130" i="5" s="1"/>
  <c r="S131" i="5"/>
  <c r="S132" i="5"/>
  <c r="T132" i="5" s="1"/>
  <c r="S133" i="5"/>
  <c r="T133" i="5" s="1"/>
  <c r="S134" i="5"/>
  <c r="T134" i="5" s="1"/>
  <c r="S135" i="5"/>
  <c r="T135" i="5" s="1"/>
  <c r="S136" i="5"/>
  <c r="T136" i="5" s="1"/>
  <c r="S137" i="5"/>
  <c r="T137" i="5" s="1"/>
  <c r="S138" i="5"/>
  <c r="T138" i="5" s="1"/>
  <c r="S139" i="5"/>
  <c r="T139" i="5" s="1"/>
  <c r="S140" i="5"/>
  <c r="T140" i="5" s="1"/>
  <c r="S141" i="5"/>
  <c r="T141" i="5" s="1"/>
  <c r="S142" i="5"/>
  <c r="T142" i="5" s="1"/>
  <c r="S143" i="5"/>
  <c r="T143" i="5" s="1"/>
  <c r="S144" i="5"/>
  <c r="T144" i="5" s="1"/>
  <c r="S145" i="5"/>
  <c r="T145" i="5" s="1"/>
  <c r="S146" i="5"/>
  <c r="T146" i="5" s="1"/>
  <c r="S147" i="5"/>
  <c r="S148" i="5"/>
  <c r="T148" i="5" s="1"/>
  <c r="S149" i="5"/>
  <c r="T149" i="5" s="1"/>
  <c r="S150" i="5"/>
  <c r="S151" i="5"/>
  <c r="T151" i="5" s="1"/>
  <c r="S152" i="5"/>
  <c r="T152" i="5" s="1"/>
  <c r="S153" i="5"/>
  <c r="T153" i="5" s="1"/>
  <c r="S154" i="5"/>
  <c r="T154" i="5" s="1"/>
  <c r="S155" i="5"/>
  <c r="T155" i="5" s="1"/>
  <c r="S156" i="5"/>
  <c r="T156" i="5" s="1"/>
  <c r="S157" i="5"/>
  <c r="T157" i="5" s="1"/>
  <c r="S158" i="5"/>
  <c r="T158" i="5" s="1"/>
  <c r="S159" i="5"/>
  <c r="T159" i="5" s="1"/>
  <c r="S160" i="5"/>
  <c r="T160" i="5" s="1"/>
  <c r="S161" i="5"/>
  <c r="T161" i="5" s="1"/>
  <c r="S162" i="5"/>
  <c r="T162" i="5" s="1"/>
  <c r="S163" i="5"/>
  <c r="T163" i="5" s="1"/>
  <c r="S164" i="5"/>
  <c r="T164" i="5" s="1"/>
  <c r="S165" i="5"/>
  <c r="T165" i="5" s="1"/>
  <c r="S166" i="5"/>
  <c r="S167" i="5"/>
  <c r="T167" i="5" s="1"/>
  <c r="S168" i="5"/>
  <c r="T168" i="5" s="1"/>
  <c r="S169" i="5"/>
  <c r="T169" i="5" s="1"/>
  <c r="S170" i="5"/>
  <c r="T170" i="5" s="1"/>
  <c r="S171" i="5"/>
  <c r="T171" i="5" s="1"/>
  <c r="S172" i="5"/>
  <c r="T172" i="5" s="1"/>
  <c r="S173" i="5"/>
  <c r="T173" i="5" s="1"/>
  <c r="S174" i="5"/>
  <c r="S175" i="5"/>
  <c r="T175" i="5" s="1"/>
  <c r="S176" i="5"/>
  <c r="T176" i="5" s="1"/>
  <c r="S177" i="5"/>
  <c r="T177" i="5" s="1"/>
  <c r="S178" i="5"/>
  <c r="T178" i="5" s="1"/>
  <c r="S179" i="5"/>
  <c r="T179" i="5" s="1"/>
  <c r="S180" i="5"/>
  <c r="T180" i="5" s="1"/>
  <c r="S181" i="5"/>
  <c r="T181" i="5" s="1"/>
  <c r="S182" i="5"/>
  <c r="T182" i="5" s="1"/>
  <c r="S183" i="5"/>
  <c r="T183" i="5" s="1"/>
  <c r="S184" i="5"/>
  <c r="T184" i="5" s="1"/>
  <c r="S185" i="5"/>
  <c r="T185" i="5" s="1"/>
  <c r="S186" i="5"/>
  <c r="T186" i="5" s="1"/>
  <c r="S187" i="5"/>
  <c r="T187" i="5" s="1"/>
  <c r="S188" i="5"/>
  <c r="T188" i="5" s="1"/>
  <c r="S189" i="5"/>
  <c r="T189" i="5" s="1"/>
  <c r="S190" i="5"/>
  <c r="S191" i="5"/>
  <c r="T191" i="5" s="1"/>
  <c r="S192" i="5"/>
  <c r="T192" i="5" s="1"/>
  <c r="S193" i="5"/>
  <c r="T193" i="5" s="1"/>
  <c r="S194" i="5"/>
  <c r="T194" i="5" s="1"/>
  <c r="S195" i="5"/>
  <c r="S196" i="5"/>
  <c r="T196" i="5" s="1"/>
  <c r="S197" i="5"/>
  <c r="T197" i="5" s="1"/>
  <c r="S198" i="5"/>
  <c r="T198" i="5" s="1"/>
  <c r="S199" i="5"/>
  <c r="T199" i="5" s="1"/>
  <c r="S200" i="5"/>
  <c r="T200" i="5" s="1"/>
  <c r="S201" i="5"/>
  <c r="T201" i="5" s="1"/>
  <c r="S202" i="5"/>
  <c r="T202" i="5" s="1"/>
  <c r="S203" i="5"/>
  <c r="T203" i="5" s="1"/>
  <c r="S204" i="5"/>
  <c r="T204" i="5" s="1"/>
  <c r="S205" i="5"/>
  <c r="T205" i="5" s="1"/>
  <c r="S206" i="5"/>
  <c r="T206" i="5" s="1"/>
  <c r="S207" i="5"/>
  <c r="T207" i="5" s="1"/>
  <c r="S208" i="5"/>
  <c r="T208" i="5" s="1"/>
  <c r="S209" i="5"/>
  <c r="T209" i="5" s="1"/>
  <c r="S210" i="5"/>
  <c r="T210" i="5" s="1"/>
  <c r="S211" i="5"/>
  <c r="S212" i="5"/>
  <c r="T212" i="5" s="1"/>
  <c r="S213" i="5"/>
  <c r="T213" i="5" s="1"/>
  <c r="S214" i="5"/>
  <c r="S215" i="5"/>
  <c r="T215" i="5" s="1"/>
  <c r="S216" i="5"/>
  <c r="T216" i="5" s="1"/>
  <c r="S217" i="5"/>
  <c r="T217" i="5" s="1"/>
  <c r="S218" i="5"/>
  <c r="T218" i="5" s="1"/>
  <c r="S219" i="5"/>
  <c r="T219" i="5" s="1"/>
  <c r="S220" i="5"/>
  <c r="T220" i="5" s="1"/>
  <c r="S221" i="5"/>
  <c r="T221" i="5" s="1"/>
  <c r="S222" i="5"/>
  <c r="T222" i="5" s="1"/>
  <c r="S223" i="5"/>
  <c r="T223" i="5" s="1"/>
  <c r="S224" i="5"/>
  <c r="T224" i="5" s="1"/>
  <c r="S225" i="5"/>
  <c r="T225" i="5" s="1"/>
  <c r="S226" i="5"/>
  <c r="T226" i="5" s="1"/>
  <c r="S227" i="5"/>
  <c r="T227" i="5" s="1"/>
  <c r="S228" i="5"/>
  <c r="T228" i="5" s="1"/>
  <c r="S229" i="5"/>
  <c r="T229" i="5" s="1"/>
  <c r="S230" i="5"/>
  <c r="T230" i="5" s="1"/>
  <c r="S231" i="5"/>
  <c r="T231" i="5" s="1"/>
  <c r="S232" i="5"/>
  <c r="T232" i="5" s="1"/>
  <c r="S233" i="5"/>
  <c r="T233" i="5" s="1"/>
  <c r="S234" i="5"/>
  <c r="T234" i="5" s="1"/>
  <c r="S235" i="5"/>
  <c r="T235" i="5" s="1"/>
  <c r="S236" i="5"/>
  <c r="T236" i="5" s="1"/>
  <c r="S237" i="5"/>
  <c r="T237" i="5" s="1"/>
  <c r="S238" i="5"/>
  <c r="T238" i="5" s="1"/>
  <c r="S239" i="5"/>
  <c r="T239" i="5" s="1"/>
  <c r="S240" i="5"/>
  <c r="T240" i="5" s="1"/>
  <c r="S241" i="5"/>
  <c r="T241" i="5" s="1"/>
  <c r="S242" i="5"/>
  <c r="T242" i="5" s="1"/>
  <c r="S243" i="5"/>
  <c r="T243" i="5" s="1"/>
  <c r="S244" i="5"/>
  <c r="T244" i="5" s="1"/>
  <c r="S245" i="5"/>
  <c r="T245" i="5" s="1"/>
  <c r="S246" i="5"/>
  <c r="T246" i="5" s="1"/>
  <c r="S247" i="5"/>
  <c r="T247" i="5" s="1"/>
  <c r="S248" i="5"/>
  <c r="T248" i="5" s="1"/>
  <c r="S249" i="5"/>
  <c r="T249" i="5" s="1"/>
  <c r="S250" i="5"/>
  <c r="T250" i="5" s="1"/>
  <c r="S251" i="5"/>
  <c r="T251" i="5" s="1"/>
  <c r="S252" i="5"/>
  <c r="T252" i="5" s="1"/>
  <c r="S253" i="5"/>
  <c r="T253" i="5" s="1"/>
  <c r="S254" i="5"/>
  <c r="T254" i="5" s="1"/>
  <c r="S255" i="5"/>
  <c r="T255" i="5" s="1"/>
  <c r="S256" i="5"/>
  <c r="T256" i="5" s="1"/>
  <c r="S257" i="5"/>
  <c r="T257" i="5" s="1"/>
  <c r="S258" i="5"/>
  <c r="T258" i="5" s="1"/>
  <c r="S259" i="5"/>
  <c r="S260" i="5"/>
  <c r="T260" i="5" s="1"/>
  <c r="S261" i="5"/>
  <c r="T261" i="5" s="1"/>
  <c r="S262" i="5"/>
  <c r="T262" i="5" s="1"/>
  <c r="S263" i="5"/>
  <c r="T263" i="5" s="1"/>
  <c r="S264" i="5"/>
  <c r="T264" i="5" s="1"/>
  <c r="S265" i="5"/>
  <c r="T265" i="5" s="1"/>
  <c r="S266" i="5"/>
  <c r="T266" i="5" s="1"/>
  <c r="S267" i="5"/>
  <c r="T267" i="5" s="1"/>
  <c r="S268" i="5"/>
  <c r="T268" i="5" s="1"/>
  <c r="S269" i="5"/>
  <c r="T269" i="5" s="1"/>
  <c r="S270" i="5"/>
  <c r="T270" i="5" s="1"/>
  <c r="S271" i="5"/>
  <c r="T271" i="5" s="1"/>
  <c r="S272" i="5"/>
  <c r="T272" i="5" s="1"/>
  <c r="S273" i="5"/>
  <c r="T273" i="5" s="1"/>
  <c r="S274" i="5"/>
  <c r="T274" i="5" s="1"/>
  <c r="S275" i="5"/>
  <c r="S276" i="5"/>
  <c r="T276" i="5" s="1"/>
  <c r="S277" i="5"/>
  <c r="T277" i="5" s="1"/>
  <c r="S278" i="5"/>
  <c r="T278" i="5" s="1"/>
  <c r="S279" i="5"/>
  <c r="T279" i="5" s="1"/>
  <c r="S280" i="5"/>
  <c r="T280" i="5" s="1"/>
  <c r="S281" i="5"/>
  <c r="T281" i="5" s="1"/>
  <c r="S282" i="5"/>
  <c r="T282" i="5" s="1"/>
  <c r="S283" i="5"/>
  <c r="T283" i="5" s="1"/>
  <c r="S284" i="5"/>
  <c r="T284" i="5" s="1"/>
  <c r="S285" i="5"/>
  <c r="T285" i="5" s="1"/>
  <c r="S286" i="5"/>
  <c r="T286" i="5" s="1"/>
  <c r="S287" i="5"/>
  <c r="T287" i="5" s="1"/>
  <c r="S288" i="5"/>
  <c r="T288" i="5" s="1"/>
  <c r="S289" i="5"/>
  <c r="T289" i="5" s="1"/>
  <c r="S290" i="5"/>
  <c r="T290" i="5" s="1"/>
  <c r="S291" i="5"/>
  <c r="T291" i="5" s="1"/>
  <c r="S292" i="5"/>
  <c r="T292" i="5" s="1"/>
  <c r="S293" i="5"/>
  <c r="T293" i="5" s="1"/>
  <c r="S294" i="5"/>
  <c r="T294" i="5" s="1"/>
  <c r="S295" i="5"/>
  <c r="T295" i="5" s="1"/>
  <c r="S296" i="5"/>
  <c r="T296" i="5" s="1"/>
  <c r="S297" i="5"/>
  <c r="T297" i="5" s="1"/>
  <c r="S298" i="5"/>
  <c r="T298" i="5" s="1"/>
  <c r="S299" i="5"/>
  <c r="T299" i="5" s="1"/>
  <c r="S300" i="5"/>
  <c r="T300" i="5" s="1"/>
  <c r="S301" i="5"/>
  <c r="T301" i="5" s="1"/>
  <c r="S302" i="5"/>
  <c r="T302" i="5" s="1"/>
  <c r="S303" i="5"/>
  <c r="T303" i="5" s="1"/>
  <c r="S304" i="5"/>
  <c r="T304" i="5" s="1"/>
  <c r="S305" i="5"/>
  <c r="T305" i="5" s="1"/>
  <c r="S306" i="5"/>
  <c r="T306" i="5" s="1"/>
  <c r="S307" i="5"/>
  <c r="T307" i="5" s="1"/>
  <c r="S308" i="5"/>
  <c r="T308" i="5" s="1"/>
  <c r="S309" i="5"/>
  <c r="T309" i="5" s="1"/>
  <c r="S310" i="5"/>
  <c r="T310" i="5" s="1"/>
  <c r="S311" i="5"/>
  <c r="T311" i="5" s="1"/>
  <c r="S312" i="5"/>
  <c r="T312" i="5" s="1"/>
  <c r="S313" i="5"/>
  <c r="T313" i="5" s="1"/>
  <c r="S314" i="5"/>
  <c r="T314" i="5" s="1"/>
  <c r="S315" i="5"/>
  <c r="T315" i="5" s="1"/>
  <c r="S316" i="5"/>
  <c r="T316" i="5" s="1"/>
  <c r="S317" i="5"/>
  <c r="T317" i="5" s="1"/>
  <c r="S318" i="5"/>
  <c r="T318" i="5" s="1"/>
  <c r="S319" i="5"/>
  <c r="T319" i="5" s="1"/>
  <c r="S320" i="5"/>
  <c r="T320" i="5" s="1"/>
  <c r="S321" i="5"/>
  <c r="T321" i="5" s="1"/>
  <c r="S322" i="5"/>
  <c r="T322" i="5" s="1"/>
  <c r="S323" i="5"/>
  <c r="S324" i="5"/>
  <c r="T324" i="5" s="1"/>
  <c r="S325" i="5"/>
  <c r="T325" i="5" s="1"/>
  <c r="S326" i="5"/>
  <c r="T326" i="5" s="1"/>
  <c r="S327" i="5"/>
  <c r="T327" i="5" s="1"/>
  <c r="S328" i="5"/>
  <c r="T328" i="5" s="1"/>
  <c r="S329" i="5"/>
  <c r="T329" i="5" s="1"/>
  <c r="S330" i="5"/>
  <c r="T330" i="5" s="1"/>
  <c r="S331" i="5"/>
  <c r="T331" i="5" s="1"/>
  <c r="S332" i="5"/>
  <c r="T332" i="5" s="1"/>
  <c r="S333" i="5"/>
  <c r="T333" i="5" s="1"/>
  <c r="S334" i="5"/>
  <c r="T334" i="5" s="1"/>
  <c r="S335" i="5"/>
  <c r="T335" i="5" s="1"/>
  <c r="S336" i="5"/>
  <c r="T336" i="5" s="1"/>
  <c r="S337" i="5"/>
  <c r="T337" i="5" s="1"/>
  <c r="S338" i="5"/>
  <c r="T338" i="5" s="1"/>
  <c r="S339" i="5"/>
  <c r="S340" i="5"/>
  <c r="T340" i="5" s="1"/>
  <c r="S341" i="5"/>
  <c r="T341" i="5" s="1"/>
  <c r="S342" i="5"/>
  <c r="T342" i="5" s="1"/>
  <c r="S343" i="5"/>
  <c r="T343" i="5" s="1"/>
  <c r="S344" i="5"/>
  <c r="T344" i="5" s="1"/>
  <c r="S345" i="5"/>
  <c r="T345" i="5" s="1"/>
  <c r="S346" i="5"/>
  <c r="T346" i="5" s="1"/>
  <c r="S347" i="5"/>
  <c r="T347" i="5" s="1"/>
  <c r="S348" i="5"/>
  <c r="T348" i="5" s="1"/>
  <c r="S349" i="5"/>
  <c r="T349" i="5" s="1"/>
  <c r="S350" i="5"/>
  <c r="T350" i="5" s="1"/>
  <c r="S351" i="5"/>
  <c r="T351" i="5" s="1"/>
  <c r="S352" i="5"/>
  <c r="T352" i="5" s="1"/>
  <c r="S353" i="5"/>
  <c r="T353" i="5" s="1"/>
  <c r="S354" i="5"/>
  <c r="T354" i="5" s="1"/>
  <c r="S355" i="5"/>
  <c r="T355" i="5" s="1"/>
  <c r="S356" i="5"/>
  <c r="T356" i="5" s="1"/>
  <c r="S357" i="5"/>
  <c r="T357" i="5" s="1"/>
  <c r="S358" i="5"/>
  <c r="T358" i="5" s="1"/>
  <c r="S359" i="5"/>
  <c r="T359" i="5" s="1"/>
  <c r="S360" i="5"/>
  <c r="T360" i="5" s="1"/>
  <c r="S361" i="5"/>
  <c r="T361" i="5" s="1"/>
  <c r="S362" i="5"/>
  <c r="T362" i="5" s="1"/>
  <c r="S363" i="5"/>
  <c r="T363" i="5" s="1"/>
  <c r="S364" i="5"/>
  <c r="T364" i="5" s="1"/>
  <c r="S365" i="5"/>
  <c r="T365" i="5" s="1"/>
  <c r="S366" i="5"/>
  <c r="T366" i="5" s="1"/>
  <c r="S367" i="5"/>
  <c r="T367" i="5" s="1"/>
  <c r="S368" i="5"/>
  <c r="T368" i="5" s="1"/>
  <c r="S369" i="5"/>
  <c r="T369" i="5" s="1"/>
  <c r="S370" i="5"/>
  <c r="T370" i="5" s="1"/>
  <c r="S371" i="5"/>
  <c r="T371" i="5" s="1"/>
  <c r="S372" i="5"/>
  <c r="T372" i="5" s="1"/>
  <c r="S373" i="5"/>
  <c r="T373" i="5" s="1"/>
  <c r="S374" i="5"/>
  <c r="T374" i="5" s="1"/>
  <c r="S375" i="5"/>
  <c r="T375" i="5" s="1"/>
  <c r="S376" i="5"/>
  <c r="T376" i="5" s="1"/>
  <c r="S377" i="5"/>
  <c r="T377" i="5" s="1"/>
  <c r="S378" i="5"/>
  <c r="T378" i="5" s="1"/>
  <c r="S379" i="5"/>
  <c r="T379" i="5" s="1"/>
  <c r="S380" i="5"/>
  <c r="T380" i="5" s="1"/>
  <c r="S381" i="5"/>
  <c r="T381" i="5" s="1"/>
  <c r="S382" i="5"/>
  <c r="T382" i="5" s="1"/>
  <c r="S383" i="5"/>
  <c r="T383" i="5" s="1"/>
  <c r="S384" i="5"/>
  <c r="T384" i="5" s="1"/>
  <c r="S385" i="5"/>
  <c r="T385" i="5" s="1"/>
  <c r="S386" i="5"/>
  <c r="T386" i="5" s="1"/>
  <c r="S387" i="5"/>
  <c r="T387" i="5" s="1"/>
  <c r="S388" i="5"/>
  <c r="T388" i="5" s="1"/>
  <c r="S389" i="5"/>
  <c r="T389" i="5" s="1"/>
  <c r="S390" i="5"/>
  <c r="T390" i="5" s="1"/>
  <c r="S391" i="5"/>
  <c r="T391" i="5" s="1"/>
  <c r="S392" i="5"/>
  <c r="T392" i="5" s="1"/>
  <c r="S393" i="5"/>
  <c r="T393" i="5" s="1"/>
  <c r="S394" i="5"/>
  <c r="T394" i="5" s="1"/>
  <c r="S395" i="5"/>
  <c r="T395" i="5" s="1"/>
  <c r="S396" i="5"/>
  <c r="T396" i="5" s="1"/>
  <c r="S397" i="5"/>
  <c r="T397" i="5" s="1"/>
  <c r="S398" i="5"/>
  <c r="T398" i="5" s="1"/>
  <c r="S399" i="5"/>
  <c r="T399" i="5" s="1"/>
  <c r="S400" i="5"/>
  <c r="T400" i="5" s="1"/>
  <c r="S401" i="5"/>
  <c r="T401" i="5" s="1"/>
  <c r="S402" i="5"/>
  <c r="T402" i="5" s="1"/>
  <c r="S403" i="5"/>
  <c r="T403" i="5" s="1"/>
  <c r="S404" i="5"/>
  <c r="T404" i="5" s="1"/>
  <c r="S405" i="5"/>
  <c r="T405" i="5" s="1"/>
  <c r="S406" i="5"/>
  <c r="T406" i="5" s="1"/>
  <c r="S407" i="5"/>
  <c r="T407" i="5" s="1"/>
  <c r="S408" i="5"/>
  <c r="T408" i="5" s="1"/>
  <c r="S409" i="5"/>
  <c r="T409" i="5" s="1"/>
  <c r="S410" i="5"/>
  <c r="T410" i="5" s="1"/>
  <c r="S411" i="5"/>
  <c r="T411" i="5" s="1"/>
  <c r="S412" i="5"/>
  <c r="T412" i="5" s="1"/>
  <c r="S413" i="5"/>
  <c r="T413" i="5" s="1"/>
  <c r="S414" i="5"/>
  <c r="T414" i="5" s="1"/>
  <c r="S415" i="5"/>
  <c r="T415" i="5" s="1"/>
  <c r="S416" i="5"/>
  <c r="T416" i="5" s="1"/>
  <c r="S417" i="5"/>
  <c r="T417" i="5" s="1"/>
  <c r="S418" i="5"/>
  <c r="T418" i="5" s="1"/>
  <c r="S419" i="5"/>
  <c r="T419" i="5" s="1"/>
  <c r="S420" i="5"/>
  <c r="T420" i="5" s="1"/>
  <c r="S421" i="5"/>
  <c r="T421" i="5" s="1"/>
  <c r="S422" i="5"/>
  <c r="T422" i="5" s="1"/>
  <c r="S423" i="5"/>
  <c r="T423" i="5" s="1"/>
  <c r="S424" i="5"/>
  <c r="T424" i="5" s="1"/>
  <c r="S425" i="5"/>
  <c r="T425" i="5" s="1"/>
  <c r="S426" i="5"/>
  <c r="T426" i="5" s="1"/>
  <c r="S427" i="5"/>
  <c r="T427" i="5" s="1"/>
  <c r="S428" i="5"/>
  <c r="T428" i="5" s="1"/>
  <c r="S429" i="5"/>
  <c r="T429" i="5" s="1"/>
  <c r="S430" i="5"/>
  <c r="T430" i="5" s="1"/>
  <c r="S431" i="5"/>
  <c r="T431" i="5" s="1"/>
  <c r="S432" i="5"/>
  <c r="T432" i="5" s="1"/>
  <c r="S433" i="5"/>
  <c r="T433" i="5" s="1"/>
  <c r="S434" i="5"/>
  <c r="T434" i="5" s="1"/>
  <c r="S435" i="5"/>
  <c r="T435" i="5" s="1"/>
  <c r="S436" i="5"/>
  <c r="T436" i="5" s="1"/>
  <c r="S437" i="5"/>
  <c r="T437" i="5" s="1"/>
  <c r="S438" i="5"/>
  <c r="T438" i="5" s="1"/>
  <c r="S439" i="5"/>
  <c r="T439" i="5" s="1"/>
  <c r="S440" i="5"/>
  <c r="T440" i="5" s="1"/>
  <c r="S441" i="5"/>
  <c r="T441" i="5" s="1"/>
  <c r="S442" i="5"/>
  <c r="T442" i="5" s="1"/>
  <c r="S443" i="5"/>
  <c r="T443" i="5" s="1"/>
  <c r="S444" i="5"/>
  <c r="T444" i="5" s="1"/>
  <c r="S445" i="5"/>
  <c r="T445" i="5" s="1"/>
  <c r="S446" i="5"/>
  <c r="T446" i="5" s="1"/>
  <c r="S447" i="5"/>
  <c r="T447" i="5" s="1"/>
  <c r="S448" i="5"/>
  <c r="T448" i="5" s="1"/>
  <c r="S449" i="5"/>
  <c r="T449" i="5" s="1"/>
  <c r="S450" i="5"/>
  <c r="T450" i="5" s="1"/>
  <c r="S451" i="5"/>
  <c r="T451" i="5" s="1"/>
  <c r="S452" i="5"/>
  <c r="T452" i="5" s="1"/>
  <c r="S453" i="5"/>
  <c r="T453" i="5" s="1"/>
  <c r="S454" i="5"/>
  <c r="T454" i="5" s="1"/>
  <c r="S455" i="5"/>
  <c r="T455" i="5" s="1"/>
  <c r="S456" i="5"/>
  <c r="T456" i="5" s="1"/>
  <c r="S457" i="5"/>
  <c r="T457" i="5" s="1"/>
  <c r="S458" i="5"/>
  <c r="T458" i="5" s="1"/>
  <c r="S459" i="5"/>
  <c r="T459" i="5" s="1"/>
  <c r="S460" i="5"/>
  <c r="T460" i="5" s="1"/>
  <c r="S461" i="5"/>
  <c r="T461" i="5" s="1"/>
  <c r="S462" i="5"/>
  <c r="T462" i="5" s="1"/>
  <c r="S463" i="5"/>
  <c r="T463" i="5" s="1"/>
  <c r="S464" i="5"/>
  <c r="T464" i="5" s="1"/>
  <c r="S465" i="5"/>
  <c r="T465" i="5" s="1"/>
  <c r="S466" i="5"/>
  <c r="T466" i="5" s="1"/>
  <c r="S467" i="5"/>
  <c r="T467" i="5" s="1"/>
  <c r="S468" i="5"/>
  <c r="T468" i="5" s="1"/>
  <c r="S469" i="5"/>
  <c r="T469" i="5" s="1"/>
  <c r="S470" i="5"/>
  <c r="T470" i="5" s="1"/>
  <c r="S471" i="5"/>
  <c r="T471" i="5" s="1"/>
  <c r="S472" i="5"/>
  <c r="T472" i="5" s="1"/>
  <c r="S473" i="5"/>
  <c r="T473" i="5" s="1"/>
  <c r="S474" i="5"/>
  <c r="T474" i="5" s="1"/>
  <c r="S475" i="5"/>
  <c r="T475" i="5" s="1"/>
  <c r="S476" i="5"/>
  <c r="T476" i="5" s="1"/>
  <c r="S477" i="5"/>
  <c r="T477" i="5" s="1"/>
  <c r="S478" i="5"/>
  <c r="T478" i="5" s="1"/>
  <c r="S479" i="5"/>
  <c r="T479" i="5" s="1"/>
  <c r="S480" i="5"/>
  <c r="T480" i="5" s="1"/>
  <c r="S481" i="5"/>
  <c r="T481" i="5" s="1"/>
  <c r="S482" i="5"/>
  <c r="T482" i="5" s="1"/>
  <c r="S483" i="5"/>
  <c r="T483" i="5" s="1"/>
  <c r="S484" i="5"/>
  <c r="T484" i="5" s="1"/>
  <c r="S485" i="5"/>
  <c r="T485" i="5" s="1"/>
  <c r="S486" i="5"/>
  <c r="T486" i="5" s="1"/>
  <c r="S487" i="5"/>
  <c r="T487" i="5" s="1"/>
  <c r="S488" i="5"/>
  <c r="T488" i="5" s="1"/>
  <c r="S489" i="5"/>
  <c r="T489" i="5" s="1"/>
  <c r="S490" i="5"/>
  <c r="T490" i="5" s="1"/>
  <c r="S491" i="5"/>
  <c r="T491" i="5" s="1"/>
  <c r="S492" i="5"/>
  <c r="T492" i="5" s="1"/>
  <c r="S493" i="5"/>
  <c r="T493" i="5" s="1"/>
  <c r="S494" i="5"/>
  <c r="T494" i="5" s="1"/>
  <c r="S495" i="5"/>
  <c r="T495" i="5" s="1"/>
  <c r="S496" i="5"/>
  <c r="T496" i="5" s="1"/>
  <c r="S497" i="5"/>
  <c r="T497" i="5" s="1"/>
  <c r="S498" i="5"/>
  <c r="T498" i="5" s="1"/>
  <c r="S499" i="5"/>
  <c r="T499" i="5" s="1"/>
  <c r="S500" i="5"/>
  <c r="T500" i="5" s="1"/>
  <c r="S501" i="5"/>
  <c r="T501" i="5" s="1"/>
  <c r="S502" i="5"/>
  <c r="T502" i="5" s="1"/>
  <c r="S503" i="5"/>
  <c r="T503" i="5" s="1"/>
  <c r="S504" i="5"/>
  <c r="T504" i="5" s="1"/>
  <c r="S505" i="5"/>
  <c r="T505" i="5" s="1"/>
  <c r="S506" i="5"/>
  <c r="T506" i="5" s="1"/>
  <c r="S507" i="5"/>
  <c r="T507" i="5" s="1"/>
  <c r="S508" i="5"/>
  <c r="T508" i="5" s="1"/>
  <c r="S509" i="5"/>
  <c r="T509" i="5" s="1"/>
  <c r="S510" i="5"/>
  <c r="T510" i="5" s="1"/>
  <c r="S511" i="5"/>
  <c r="T511" i="5" s="1"/>
  <c r="S512" i="5"/>
  <c r="T512" i="5" s="1"/>
  <c r="S513" i="5"/>
  <c r="T513" i="5" s="1"/>
  <c r="S514" i="5"/>
  <c r="T514" i="5" s="1"/>
  <c r="S515" i="5"/>
  <c r="T515" i="5" s="1"/>
  <c r="S516" i="5"/>
  <c r="T516" i="5" s="1"/>
  <c r="S517" i="5"/>
  <c r="T517" i="5" s="1"/>
  <c r="S518" i="5"/>
  <c r="T518" i="5" s="1"/>
  <c r="S519" i="5"/>
  <c r="T519" i="5" s="1"/>
  <c r="S520" i="5"/>
  <c r="T520" i="5" s="1"/>
  <c r="S521" i="5"/>
  <c r="T521" i="5" s="1"/>
  <c r="S522" i="5"/>
  <c r="T522" i="5" s="1"/>
  <c r="S523" i="5"/>
  <c r="T523" i="5" s="1"/>
  <c r="S524" i="5"/>
  <c r="T524" i="5" s="1"/>
  <c r="S525" i="5"/>
  <c r="T525" i="5" s="1"/>
  <c r="S526" i="5"/>
  <c r="T526" i="5" s="1"/>
  <c r="S527" i="5"/>
  <c r="T527" i="5" s="1"/>
  <c r="S528" i="5"/>
  <c r="T528" i="5" s="1"/>
  <c r="S529" i="5"/>
  <c r="T529" i="5" s="1"/>
  <c r="S530" i="5"/>
  <c r="T530" i="5" s="1"/>
  <c r="S531" i="5"/>
  <c r="T531" i="5" s="1"/>
  <c r="S532" i="5"/>
  <c r="T532" i="5" s="1"/>
  <c r="S533" i="5"/>
  <c r="T533" i="5" s="1"/>
  <c r="S534" i="5"/>
  <c r="T534" i="5" s="1"/>
  <c r="S535" i="5"/>
  <c r="T535" i="5" s="1"/>
  <c r="S536" i="5"/>
  <c r="T536" i="5" s="1"/>
  <c r="S537" i="5"/>
  <c r="T537" i="5" s="1"/>
  <c r="S538" i="5"/>
  <c r="T538" i="5" s="1"/>
  <c r="S539" i="5"/>
  <c r="T539" i="5" s="1"/>
  <c r="S540" i="5"/>
  <c r="T540" i="5" s="1"/>
  <c r="S541" i="5"/>
  <c r="T541" i="5" s="1"/>
  <c r="S542" i="5"/>
  <c r="T542" i="5" s="1"/>
  <c r="S543" i="5"/>
  <c r="T543" i="5" s="1"/>
  <c r="S544" i="5"/>
  <c r="T544" i="5" s="1"/>
  <c r="S545" i="5"/>
  <c r="T545" i="5" s="1"/>
  <c r="S546" i="5"/>
  <c r="T546" i="5" s="1"/>
  <c r="S547" i="5"/>
  <c r="T547" i="5" s="1"/>
  <c r="S548" i="5"/>
  <c r="T548" i="5" s="1"/>
  <c r="S549" i="5"/>
  <c r="T549" i="5" s="1"/>
  <c r="S550" i="5"/>
  <c r="T550" i="5" s="1"/>
  <c r="S551" i="5"/>
  <c r="T551" i="5" s="1"/>
  <c r="S552" i="5"/>
  <c r="T552" i="5" s="1"/>
  <c r="S553" i="5"/>
  <c r="T553" i="5" s="1"/>
  <c r="S554" i="5"/>
  <c r="T554" i="5" s="1"/>
  <c r="S555" i="5"/>
  <c r="T555" i="5" s="1"/>
  <c r="S556" i="5"/>
  <c r="T556" i="5" s="1"/>
  <c r="S557" i="5"/>
  <c r="T557" i="5" s="1"/>
  <c r="S558" i="5"/>
  <c r="T558" i="5" s="1"/>
  <c r="S559" i="5"/>
  <c r="T559" i="5" s="1"/>
  <c r="S560" i="5"/>
  <c r="T560" i="5" s="1"/>
  <c r="S561" i="5"/>
  <c r="T561" i="5" s="1"/>
  <c r="S562" i="5"/>
  <c r="T562" i="5" s="1"/>
  <c r="S563" i="5"/>
  <c r="T563" i="5" s="1"/>
  <c r="S564" i="5"/>
  <c r="T564" i="5" s="1"/>
  <c r="S565" i="5"/>
  <c r="T565" i="5" s="1"/>
  <c r="S566" i="5"/>
  <c r="T566" i="5" s="1"/>
  <c r="S567" i="5"/>
  <c r="T567" i="5" s="1"/>
  <c r="S568" i="5"/>
  <c r="T568" i="5" s="1"/>
  <c r="S569" i="5"/>
  <c r="T569" i="5" s="1"/>
  <c r="S570" i="5"/>
  <c r="T570" i="5" s="1"/>
  <c r="S571" i="5"/>
  <c r="T571" i="5" s="1"/>
  <c r="S572" i="5"/>
  <c r="T572" i="5" s="1"/>
  <c r="S573" i="5"/>
  <c r="T573" i="5" s="1"/>
  <c r="S574" i="5"/>
  <c r="T574" i="5" s="1"/>
  <c r="S575" i="5"/>
  <c r="T575" i="5" s="1"/>
  <c r="S576" i="5"/>
  <c r="T576" i="5" s="1"/>
  <c r="S577" i="5"/>
  <c r="T577" i="5" s="1"/>
  <c r="S578" i="5"/>
  <c r="T578" i="5" s="1"/>
  <c r="S579" i="5"/>
  <c r="T579" i="5" s="1"/>
  <c r="S580" i="5"/>
  <c r="T580" i="5" s="1"/>
  <c r="S581" i="5"/>
  <c r="T581" i="5" s="1"/>
  <c r="S582" i="5"/>
  <c r="T582" i="5" s="1"/>
  <c r="S583" i="5"/>
  <c r="T583" i="5" s="1"/>
  <c r="S584" i="5"/>
  <c r="T584" i="5" s="1"/>
  <c r="S585" i="5"/>
  <c r="T585" i="5" s="1"/>
  <c r="S586" i="5"/>
  <c r="T586" i="5" s="1"/>
  <c r="S587" i="5"/>
  <c r="T587" i="5" s="1"/>
  <c r="S588" i="5"/>
  <c r="T588" i="5" s="1"/>
  <c r="S589" i="5"/>
  <c r="T589" i="5" s="1"/>
  <c r="S590" i="5"/>
  <c r="T590" i="5" s="1"/>
  <c r="S591" i="5"/>
  <c r="T591" i="5" s="1"/>
  <c r="S592" i="5"/>
  <c r="T592" i="5" s="1"/>
  <c r="S593" i="5"/>
  <c r="T593" i="5" s="1"/>
  <c r="S594" i="5"/>
  <c r="T594" i="5" s="1"/>
  <c r="S595" i="5"/>
  <c r="T595" i="5" s="1"/>
  <c r="S596" i="5"/>
  <c r="T596" i="5" s="1"/>
  <c r="S597" i="5"/>
  <c r="T597" i="5" s="1"/>
  <c r="S598" i="5"/>
  <c r="T598" i="5" s="1"/>
  <c r="S599" i="5"/>
  <c r="T599" i="5" s="1"/>
  <c r="S600" i="5"/>
  <c r="T600" i="5" s="1"/>
  <c r="S601" i="5"/>
  <c r="T601" i="5" s="1"/>
  <c r="S602" i="5"/>
  <c r="T602" i="5" s="1"/>
  <c r="S603" i="5"/>
  <c r="T603" i="5" s="1"/>
  <c r="S604" i="5"/>
  <c r="T604" i="5" s="1"/>
  <c r="S605" i="5"/>
  <c r="T605" i="5" s="1"/>
  <c r="S606" i="5"/>
  <c r="T606" i="5" s="1"/>
  <c r="S607" i="5"/>
  <c r="T607" i="5" s="1"/>
  <c r="S608" i="5"/>
  <c r="T608" i="5" s="1"/>
  <c r="S609" i="5"/>
  <c r="T609" i="5" s="1"/>
  <c r="S610" i="5"/>
  <c r="T610" i="5" s="1"/>
  <c r="S611" i="5"/>
  <c r="T611" i="5" s="1"/>
  <c r="S612" i="5"/>
  <c r="T612" i="5" s="1"/>
  <c r="S613" i="5"/>
  <c r="T613" i="5" s="1"/>
  <c r="S614" i="5"/>
  <c r="T614" i="5" s="1"/>
  <c r="S615" i="5"/>
  <c r="T615" i="5" s="1"/>
  <c r="S616" i="5"/>
  <c r="T616" i="5" s="1"/>
  <c r="S617" i="5"/>
  <c r="T617" i="5" s="1"/>
  <c r="S618" i="5"/>
  <c r="T618" i="5" s="1"/>
  <c r="S619" i="5"/>
  <c r="T619" i="5" s="1"/>
  <c r="S620" i="5"/>
  <c r="T620" i="5" s="1"/>
  <c r="S621" i="5"/>
  <c r="T621" i="5" s="1"/>
  <c r="S622" i="5"/>
  <c r="T622" i="5" s="1"/>
  <c r="S623" i="5"/>
  <c r="T623" i="5" s="1"/>
  <c r="S624" i="5"/>
  <c r="T624" i="5" s="1"/>
  <c r="S625" i="5"/>
  <c r="T625" i="5" s="1"/>
  <c r="S626" i="5"/>
  <c r="T626" i="5" s="1"/>
  <c r="S627" i="5"/>
  <c r="T627" i="5" s="1"/>
  <c r="S628" i="5"/>
  <c r="T628" i="5" s="1"/>
  <c r="S629" i="5"/>
  <c r="T629" i="5" s="1"/>
  <c r="S630" i="5"/>
  <c r="T630" i="5" s="1"/>
  <c r="S631" i="5"/>
  <c r="T631" i="5" s="1"/>
  <c r="S632" i="5"/>
  <c r="T632" i="5" s="1"/>
  <c r="S633" i="5"/>
  <c r="T633" i="5" s="1"/>
  <c r="S634" i="5"/>
  <c r="T634" i="5" s="1"/>
  <c r="S635" i="5"/>
  <c r="T635" i="5" s="1"/>
  <c r="S636" i="5"/>
  <c r="T636" i="5" s="1"/>
  <c r="S637" i="5"/>
  <c r="T637" i="5" s="1"/>
  <c r="S638" i="5"/>
  <c r="T638" i="5" s="1"/>
  <c r="S639" i="5"/>
  <c r="T639" i="5" s="1"/>
  <c r="S640" i="5"/>
  <c r="T640" i="5" s="1"/>
  <c r="S641" i="5"/>
  <c r="T641" i="5" s="1"/>
  <c r="S642" i="5"/>
  <c r="T642" i="5" s="1"/>
  <c r="S643" i="5"/>
  <c r="T643" i="5" s="1"/>
  <c r="U643" i="5" s="1"/>
  <c r="S644" i="5"/>
  <c r="T644" i="5" s="1"/>
  <c r="S645" i="5"/>
  <c r="T645" i="5" s="1"/>
  <c r="S646" i="5"/>
  <c r="T646" i="5" s="1"/>
  <c r="S647" i="5"/>
  <c r="T647" i="5" s="1"/>
  <c r="S648" i="5"/>
  <c r="T648" i="5" s="1"/>
  <c r="S649" i="5"/>
  <c r="T649" i="5" s="1"/>
  <c r="S650" i="5"/>
  <c r="T650" i="5" s="1"/>
  <c r="S651" i="5"/>
  <c r="T651" i="5" s="1"/>
  <c r="S652" i="5"/>
  <c r="T652" i="5" s="1"/>
  <c r="S653" i="5"/>
  <c r="T653" i="5" s="1"/>
  <c r="S654" i="5"/>
  <c r="T654" i="5" s="1"/>
  <c r="S655" i="5"/>
  <c r="T655" i="5" s="1"/>
  <c r="S656" i="5"/>
  <c r="T656" i="5" s="1"/>
  <c r="S657" i="5"/>
  <c r="T657" i="5" s="1"/>
  <c r="S658" i="5"/>
  <c r="T658" i="5" s="1"/>
  <c r="S659" i="5"/>
  <c r="T659" i="5" s="1"/>
  <c r="S660" i="5"/>
  <c r="T660" i="5" s="1"/>
  <c r="S661" i="5"/>
  <c r="T661" i="5" s="1"/>
  <c r="S662" i="5"/>
  <c r="T662" i="5" s="1"/>
  <c r="S663" i="5"/>
  <c r="T663" i="5" s="1"/>
  <c r="S664" i="5"/>
  <c r="T664" i="5" s="1"/>
  <c r="S665" i="5"/>
  <c r="T665" i="5" s="1"/>
  <c r="S666" i="5"/>
  <c r="T666" i="5" s="1"/>
  <c r="S667" i="5"/>
  <c r="T667" i="5" s="1"/>
  <c r="S668" i="5"/>
  <c r="T668" i="5" s="1"/>
  <c r="S669" i="5"/>
  <c r="T669" i="5" s="1"/>
  <c r="S670" i="5"/>
  <c r="T670" i="5" s="1"/>
  <c r="S671" i="5"/>
  <c r="T671" i="5" s="1"/>
  <c r="S672" i="5"/>
  <c r="T672" i="5" s="1"/>
  <c r="S673" i="5"/>
  <c r="T673" i="5" s="1"/>
  <c r="S674" i="5"/>
  <c r="T674" i="5" s="1"/>
  <c r="S675" i="5"/>
  <c r="T675" i="5" s="1"/>
  <c r="S676" i="5"/>
  <c r="T676" i="5" s="1"/>
  <c r="S677" i="5"/>
  <c r="T677" i="5" s="1"/>
  <c r="S678" i="5"/>
  <c r="T678" i="5" s="1"/>
  <c r="S679" i="5"/>
  <c r="T679" i="5" s="1"/>
  <c r="S680" i="5"/>
  <c r="T680" i="5" s="1"/>
  <c r="S681" i="5"/>
  <c r="T681" i="5" s="1"/>
  <c r="S682" i="5"/>
  <c r="T682" i="5" s="1"/>
  <c r="S683" i="5"/>
  <c r="T683" i="5" s="1"/>
  <c r="S684" i="5"/>
  <c r="T684" i="5" s="1"/>
  <c r="S685" i="5"/>
  <c r="T685" i="5" s="1"/>
  <c r="S686" i="5"/>
  <c r="T686" i="5" s="1"/>
  <c r="S687" i="5"/>
  <c r="T687" i="5" s="1"/>
  <c r="S688" i="5"/>
  <c r="T688" i="5" s="1"/>
  <c r="S689" i="5"/>
  <c r="T689" i="5" s="1"/>
  <c r="S690" i="5"/>
  <c r="T690" i="5" s="1"/>
  <c r="S691" i="5"/>
  <c r="T691" i="5" s="1"/>
  <c r="S692" i="5"/>
  <c r="T692" i="5" s="1"/>
  <c r="S693" i="5"/>
  <c r="T693" i="5" s="1"/>
  <c r="S694" i="5"/>
  <c r="T694" i="5" s="1"/>
  <c r="S695" i="5"/>
  <c r="T695" i="5" s="1"/>
  <c r="S696" i="5"/>
  <c r="T696" i="5" s="1"/>
  <c r="S697" i="5"/>
  <c r="T697" i="5" s="1"/>
  <c r="S698" i="5"/>
  <c r="T698" i="5" s="1"/>
  <c r="S699" i="5"/>
  <c r="T699" i="5" s="1"/>
  <c r="S700" i="5"/>
  <c r="T700" i="5" s="1"/>
  <c r="S701" i="5"/>
  <c r="T701" i="5" s="1"/>
  <c r="S702" i="5"/>
  <c r="T702" i="5" s="1"/>
  <c r="S703" i="5"/>
  <c r="T703" i="5" s="1"/>
  <c r="S704" i="5"/>
  <c r="T704" i="5" s="1"/>
  <c r="S705" i="5"/>
  <c r="T705" i="5" s="1"/>
  <c r="S706" i="5"/>
  <c r="T706" i="5" s="1"/>
  <c r="S707" i="5"/>
  <c r="T707" i="5" s="1"/>
  <c r="S708" i="5"/>
  <c r="T708" i="5" s="1"/>
  <c r="S709" i="5"/>
  <c r="T709" i="5" s="1"/>
  <c r="S710" i="5"/>
  <c r="T710" i="5" s="1"/>
  <c r="S711" i="5"/>
  <c r="T711" i="5" s="1"/>
  <c r="S712" i="5"/>
  <c r="T712" i="5" s="1"/>
  <c r="S713" i="5"/>
  <c r="T713" i="5" s="1"/>
  <c r="S714" i="5"/>
  <c r="T714" i="5" s="1"/>
  <c r="S715" i="5"/>
  <c r="T715" i="5" s="1"/>
  <c r="S716" i="5"/>
  <c r="T716" i="5" s="1"/>
  <c r="S717" i="5"/>
  <c r="T717" i="5" s="1"/>
  <c r="S718" i="5"/>
  <c r="T718" i="5" s="1"/>
  <c r="S719" i="5"/>
  <c r="T719" i="5" s="1"/>
  <c r="S720" i="5"/>
  <c r="T720" i="5" s="1"/>
  <c r="S721" i="5"/>
  <c r="T721" i="5" s="1"/>
  <c r="S722" i="5"/>
  <c r="T722" i="5" s="1"/>
  <c r="S723" i="5"/>
  <c r="T723" i="5" s="1"/>
  <c r="S724" i="5"/>
  <c r="T724" i="5" s="1"/>
  <c r="S725" i="5"/>
  <c r="T725" i="5" s="1"/>
  <c r="S726" i="5"/>
  <c r="T726" i="5" s="1"/>
  <c r="S727" i="5"/>
  <c r="T727" i="5" s="1"/>
  <c r="S728" i="5"/>
  <c r="T728" i="5" s="1"/>
  <c r="S729" i="5"/>
  <c r="T729" i="5" s="1"/>
  <c r="S730" i="5"/>
  <c r="T730" i="5" s="1"/>
  <c r="S731" i="5"/>
  <c r="T731" i="5" s="1"/>
  <c r="S732" i="5"/>
  <c r="T732" i="5" s="1"/>
  <c r="S733" i="5"/>
  <c r="T733" i="5" s="1"/>
  <c r="S734" i="5"/>
  <c r="T734" i="5" s="1"/>
  <c r="S735" i="5"/>
  <c r="T735" i="5" s="1"/>
  <c r="S736" i="5"/>
  <c r="T736" i="5" s="1"/>
  <c r="S737" i="5"/>
  <c r="T737" i="5" s="1"/>
  <c r="S738" i="5"/>
  <c r="T738" i="5" s="1"/>
  <c r="S739" i="5"/>
  <c r="T739" i="5" s="1"/>
  <c r="S740" i="5"/>
  <c r="T740" i="5" s="1"/>
  <c r="S741" i="5"/>
  <c r="T741" i="5" s="1"/>
  <c r="S742" i="5"/>
  <c r="T742" i="5" s="1"/>
  <c r="S743" i="5"/>
  <c r="T743" i="5" s="1"/>
  <c r="S744" i="5"/>
  <c r="T744" i="5" s="1"/>
  <c r="S745" i="5"/>
  <c r="T745" i="5" s="1"/>
  <c r="S746" i="5"/>
  <c r="T746" i="5" s="1"/>
  <c r="S747" i="5"/>
  <c r="T747" i="5" s="1"/>
  <c r="S748" i="5"/>
  <c r="T748" i="5" s="1"/>
  <c r="S749" i="5"/>
  <c r="T749" i="5" s="1"/>
  <c r="S750" i="5"/>
  <c r="T750" i="5" s="1"/>
  <c r="S751" i="5"/>
  <c r="T751" i="5" s="1"/>
  <c r="S752" i="5"/>
  <c r="T752" i="5" s="1"/>
  <c r="S753" i="5"/>
  <c r="T753" i="5" s="1"/>
  <c r="S754" i="5"/>
  <c r="T754" i="5" s="1"/>
  <c r="S755" i="5"/>
  <c r="T755" i="5" s="1"/>
  <c r="S756" i="5"/>
  <c r="T756" i="5" s="1"/>
  <c r="S757" i="5"/>
  <c r="T757" i="5" s="1"/>
  <c r="S758" i="5"/>
  <c r="T758" i="5" s="1"/>
  <c r="S759" i="5"/>
  <c r="T759" i="5" s="1"/>
  <c r="S760" i="5"/>
  <c r="T760" i="5" s="1"/>
  <c r="S761" i="5"/>
  <c r="T761" i="5" s="1"/>
  <c r="S762" i="5"/>
  <c r="T762" i="5" s="1"/>
  <c r="S763" i="5"/>
  <c r="T763" i="5" s="1"/>
  <c r="S764" i="5"/>
  <c r="T764" i="5" s="1"/>
  <c r="S765" i="5"/>
  <c r="T765" i="5" s="1"/>
  <c r="S766" i="5"/>
  <c r="T766" i="5" s="1"/>
  <c r="S767" i="5"/>
  <c r="T767" i="5" s="1"/>
  <c r="S768" i="5"/>
  <c r="T768" i="5" s="1"/>
  <c r="S769" i="5"/>
  <c r="T769" i="5" s="1"/>
  <c r="S770" i="5"/>
  <c r="T770" i="5" s="1"/>
  <c r="S771" i="5"/>
  <c r="T771" i="5" s="1"/>
  <c r="U771" i="5" s="1"/>
  <c r="S772" i="5"/>
  <c r="T772" i="5" s="1"/>
  <c r="S773" i="5"/>
  <c r="T773" i="5" s="1"/>
  <c r="S774" i="5"/>
  <c r="T774" i="5" s="1"/>
  <c r="S775" i="5"/>
  <c r="T775" i="5" s="1"/>
  <c r="S776" i="5"/>
  <c r="T776" i="5" s="1"/>
  <c r="S777" i="5"/>
  <c r="T777" i="5" s="1"/>
  <c r="S778" i="5"/>
  <c r="T778" i="5" s="1"/>
  <c r="S779" i="5"/>
  <c r="T779" i="5" s="1"/>
  <c r="S780" i="5"/>
  <c r="T780" i="5" s="1"/>
  <c r="S781" i="5"/>
  <c r="T781" i="5" s="1"/>
  <c r="S782" i="5"/>
  <c r="T782" i="5" s="1"/>
  <c r="S783" i="5"/>
  <c r="T783" i="5" s="1"/>
  <c r="S784" i="5"/>
  <c r="T784" i="5" s="1"/>
  <c r="S785" i="5"/>
  <c r="T785" i="5" s="1"/>
  <c r="S786" i="5"/>
  <c r="T786" i="5" s="1"/>
  <c r="S787" i="5"/>
  <c r="T787" i="5" s="1"/>
  <c r="S788" i="5"/>
  <c r="T788" i="5" s="1"/>
  <c r="S789" i="5"/>
  <c r="T789" i="5" s="1"/>
  <c r="S790" i="5"/>
  <c r="T790" i="5" s="1"/>
  <c r="S791" i="5"/>
  <c r="T791" i="5" s="1"/>
  <c r="S792" i="5"/>
  <c r="T792" i="5" s="1"/>
  <c r="S793" i="5"/>
  <c r="T793" i="5" s="1"/>
  <c r="S794" i="5"/>
  <c r="T794" i="5" s="1"/>
  <c r="S795" i="5"/>
  <c r="T795" i="5" s="1"/>
  <c r="S796" i="5"/>
  <c r="T796" i="5" s="1"/>
  <c r="S797" i="5"/>
  <c r="T797" i="5" s="1"/>
  <c r="S798" i="5"/>
  <c r="T798" i="5" s="1"/>
  <c r="S799" i="5"/>
  <c r="T799" i="5" s="1"/>
  <c r="S800" i="5"/>
  <c r="T800" i="5" s="1"/>
  <c r="S801" i="5"/>
  <c r="T801" i="5" s="1"/>
  <c r="S802" i="5"/>
  <c r="T802" i="5" s="1"/>
  <c r="S803" i="5"/>
  <c r="T803" i="5" s="1"/>
  <c r="S804" i="5"/>
  <c r="T804" i="5" s="1"/>
  <c r="S805" i="5"/>
  <c r="T805" i="5" s="1"/>
  <c r="S806" i="5"/>
  <c r="T806" i="5" s="1"/>
  <c r="S807" i="5"/>
  <c r="T807" i="5" s="1"/>
  <c r="S808" i="5"/>
  <c r="T808" i="5" s="1"/>
  <c r="S809" i="5"/>
  <c r="T809" i="5" s="1"/>
  <c r="S810" i="5"/>
  <c r="T810" i="5" s="1"/>
  <c r="S811" i="5"/>
  <c r="T811" i="5" s="1"/>
  <c r="S812" i="5"/>
  <c r="T812" i="5" s="1"/>
  <c r="S813" i="5"/>
  <c r="T813" i="5" s="1"/>
  <c r="S814" i="5"/>
  <c r="T814" i="5" s="1"/>
  <c r="S815" i="5"/>
  <c r="T815" i="5" s="1"/>
  <c r="U815" i="5" s="1"/>
  <c r="S816" i="5"/>
  <c r="T816" i="5" s="1"/>
  <c r="S817" i="5"/>
  <c r="T817" i="5" s="1"/>
  <c r="S818" i="5"/>
  <c r="T818" i="5" s="1"/>
  <c r="S819" i="5"/>
  <c r="T819" i="5" s="1"/>
  <c r="S820" i="5"/>
  <c r="T820" i="5" s="1"/>
  <c r="S821" i="5"/>
  <c r="T821" i="5" s="1"/>
  <c r="S822" i="5"/>
  <c r="T822" i="5" s="1"/>
  <c r="S823" i="5"/>
  <c r="T823" i="5" s="1"/>
  <c r="S824" i="5"/>
  <c r="T824" i="5" s="1"/>
  <c r="S825" i="5"/>
  <c r="T825" i="5" s="1"/>
  <c r="S826" i="5"/>
  <c r="T826" i="5" s="1"/>
  <c r="S827" i="5"/>
  <c r="T827" i="5" s="1"/>
  <c r="S828" i="5"/>
  <c r="T828" i="5" s="1"/>
  <c r="S829" i="5"/>
  <c r="T829" i="5" s="1"/>
  <c r="S830" i="5"/>
  <c r="T830" i="5" s="1"/>
  <c r="S831" i="5"/>
  <c r="T831" i="5" s="1"/>
  <c r="S832" i="5"/>
  <c r="T832" i="5" s="1"/>
  <c r="S833" i="5"/>
  <c r="T833" i="5" s="1"/>
  <c r="S834" i="5"/>
  <c r="T834" i="5" s="1"/>
  <c r="S835" i="5"/>
  <c r="T835" i="5" s="1"/>
  <c r="S836" i="5"/>
  <c r="T836" i="5" s="1"/>
  <c r="S837" i="5"/>
  <c r="T837" i="5" s="1"/>
  <c r="S838" i="5"/>
  <c r="T838" i="5" s="1"/>
  <c r="S839" i="5"/>
  <c r="T839" i="5" s="1"/>
  <c r="S840" i="5"/>
  <c r="T840" i="5" s="1"/>
  <c r="S841" i="5"/>
  <c r="T841" i="5" s="1"/>
  <c r="S842" i="5"/>
  <c r="T842" i="5" s="1"/>
  <c r="S843" i="5"/>
  <c r="T843" i="5" s="1"/>
  <c r="S844" i="5"/>
  <c r="T844" i="5" s="1"/>
  <c r="S845" i="5"/>
  <c r="T845" i="5" s="1"/>
  <c r="S846" i="5"/>
  <c r="T846" i="5" s="1"/>
  <c r="S847" i="5"/>
  <c r="T847" i="5" s="1"/>
  <c r="S848" i="5"/>
  <c r="T848" i="5" s="1"/>
  <c r="S849" i="5"/>
  <c r="T849" i="5" s="1"/>
  <c r="S850" i="5"/>
  <c r="T850" i="5" s="1"/>
  <c r="S851" i="5"/>
  <c r="T851" i="5" s="1"/>
  <c r="S852" i="5"/>
  <c r="T852" i="5" s="1"/>
  <c r="S853" i="5"/>
  <c r="T853" i="5" s="1"/>
  <c r="S854" i="5"/>
  <c r="T854" i="5" s="1"/>
  <c r="S855" i="5"/>
  <c r="T855" i="5" s="1"/>
  <c r="S856" i="5"/>
  <c r="T856" i="5" s="1"/>
  <c r="S857" i="5"/>
  <c r="T857" i="5" s="1"/>
  <c r="S858" i="5"/>
  <c r="T858" i="5" s="1"/>
  <c r="S859" i="5"/>
  <c r="T859" i="5" s="1"/>
  <c r="S860" i="5"/>
  <c r="T860" i="5" s="1"/>
  <c r="S861" i="5"/>
  <c r="T861" i="5" s="1"/>
  <c r="S862" i="5"/>
  <c r="T862" i="5" s="1"/>
  <c r="S863" i="5"/>
  <c r="T863" i="5" s="1"/>
  <c r="S864" i="5"/>
  <c r="T864" i="5" s="1"/>
  <c r="S865" i="5"/>
  <c r="T865" i="5" s="1"/>
  <c r="S866" i="5"/>
  <c r="T866" i="5" s="1"/>
  <c r="S867" i="5"/>
  <c r="T867" i="5" s="1"/>
  <c r="S868" i="5"/>
  <c r="T868" i="5" s="1"/>
  <c r="S869" i="5"/>
  <c r="T869" i="5" s="1"/>
  <c r="S870" i="5"/>
  <c r="T870" i="5" s="1"/>
  <c r="S871" i="5"/>
  <c r="T871" i="5" s="1"/>
  <c r="S872" i="5"/>
  <c r="T872" i="5" s="1"/>
  <c r="S873" i="5"/>
  <c r="T873" i="5" s="1"/>
  <c r="S874" i="5"/>
  <c r="T874" i="5" s="1"/>
  <c r="S875" i="5"/>
  <c r="T875" i="5" s="1"/>
  <c r="S876" i="5"/>
  <c r="T876" i="5" s="1"/>
  <c r="S877" i="5"/>
  <c r="T877" i="5" s="1"/>
  <c r="S878" i="5"/>
  <c r="T878" i="5" s="1"/>
  <c r="S879" i="5"/>
  <c r="T879" i="5" s="1"/>
  <c r="S880" i="5"/>
  <c r="T880" i="5" s="1"/>
  <c r="S881" i="5"/>
  <c r="T881" i="5" s="1"/>
  <c r="S882" i="5"/>
  <c r="T882" i="5" s="1"/>
  <c r="S883" i="5"/>
  <c r="T883" i="5" s="1"/>
  <c r="S884" i="5"/>
  <c r="T884" i="5" s="1"/>
  <c r="S885" i="5"/>
  <c r="T885" i="5" s="1"/>
  <c r="S886" i="5"/>
  <c r="T886" i="5" s="1"/>
  <c r="S887" i="5"/>
  <c r="T887" i="5" s="1"/>
  <c r="S888" i="5"/>
  <c r="T888" i="5" s="1"/>
  <c r="S889" i="5"/>
  <c r="T889" i="5" s="1"/>
  <c r="S890" i="5"/>
  <c r="T890" i="5" s="1"/>
  <c r="S891" i="5"/>
  <c r="T891" i="5" s="1"/>
  <c r="S892" i="5"/>
  <c r="T892" i="5" s="1"/>
  <c r="S893" i="5"/>
  <c r="T893" i="5" s="1"/>
  <c r="S894" i="5"/>
  <c r="T894" i="5" s="1"/>
  <c r="S895" i="5"/>
  <c r="T895" i="5" s="1"/>
  <c r="S896" i="5"/>
  <c r="T896" i="5" s="1"/>
  <c r="S897" i="5"/>
  <c r="T897" i="5" s="1"/>
  <c r="S898" i="5"/>
  <c r="T898" i="5" s="1"/>
  <c r="S899" i="5"/>
  <c r="T899" i="5" s="1"/>
  <c r="U899" i="5" s="1"/>
  <c r="S900" i="5"/>
  <c r="T900" i="5" s="1"/>
  <c r="S901" i="5"/>
  <c r="T901" i="5" s="1"/>
  <c r="S902" i="5"/>
  <c r="T902" i="5" s="1"/>
  <c r="S903" i="5"/>
  <c r="T903" i="5" s="1"/>
  <c r="S904" i="5"/>
  <c r="T904" i="5" s="1"/>
  <c r="S905" i="5"/>
  <c r="T905" i="5" s="1"/>
  <c r="S906" i="5"/>
  <c r="T906" i="5" s="1"/>
  <c r="S907" i="5"/>
  <c r="T907" i="5" s="1"/>
  <c r="S908" i="5"/>
  <c r="T908" i="5" s="1"/>
  <c r="S909" i="5"/>
  <c r="T909" i="5" s="1"/>
  <c r="S910" i="5"/>
  <c r="T910" i="5" s="1"/>
  <c r="S911" i="5"/>
  <c r="T911" i="5" s="1"/>
  <c r="S912" i="5"/>
  <c r="T912" i="5" s="1"/>
  <c r="S913" i="5"/>
  <c r="T913" i="5" s="1"/>
  <c r="S914" i="5"/>
  <c r="T914" i="5" s="1"/>
  <c r="S915" i="5"/>
  <c r="T915" i="5" s="1"/>
  <c r="S916" i="5"/>
  <c r="T916" i="5" s="1"/>
  <c r="S917" i="5"/>
  <c r="T917" i="5" s="1"/>
  <c r="S918" i="5"/>
  <c r="T918" i="5" s="1"/>
  <c r="S919" i="5"/>
  <c r="T919" i="5" s="1"/>
  <c r="S920" i="5"/>
  <c r="T920" i="5" s="1"/>
  <c r="S921" i="5"/>
  <c r="T921" i="5" s="1"/>
  <c r="S922" i="5"/>
  <c r="T922" i="5" s="1"/>
  <c r="S923" i="5"/>
  <c r="T923" i="5" s="1"/>
  <c r="S924" i="5"/>
  <c r="T924" i="5" s="1"/>
  <c r="S925" i="5"/>
  <c r="T925" i="5" s="1"/>
  <c r="S926" i="5"/>
  <c r="T926" i="5" s="1"/>
  <c r="S927" i="5"/>
  <c r="T927" i="5" s="1"/>
  <c r="S928" i="5"/>
  <c r="T928" i="5" s="1"/>
  <c r="S929" i="5"/>
  <c r="T929" i="5" s="1"/>
  <c r="S930" i="5"/>
  <c r="T930" i="5" s="1"/>
  <c r="S931" i="5"/>
  <c r="T931" i="5" s="1"/>
  <c r="S932" i="5"/>
  <c r="T932" i="5" s="1"/>
  <c r="S933" i="5"/>
  <c r="T933" i="5" s="1"/>
  <c r="S934" i="5"/>
  <c r="T934" i="5" s="1"/>
  <c r="S935" i="5"/>
  <c r="T935" i="5" s="1"/>
  <c r="S936" i="5"/>
  <c r="T936" i="5" s="1"/>
  <c r="S937" i="5"/>
  <c r="T937" i="5" s="1"/>
  <c r="S938" i="5"/>
  <c r="T938" i="5" s="1"/>
  <c r="S939" i="5"/>
  <c r="T939" i="5" s="1"/>
  <c r="S940" i="5"/>
  <c r="T940" i="5" s="1"/>
  <c r="S941" i="5"/>
  <c r="T941" i="5" s="1"/>
  <c r="S942" i="5"/>
  <c r="T942" i="5" s="1"/>
  <c r="S943" i="5"/>
  <c r="T943" i="5" s="1"/>
  <c r="S944" i="5"/>
  <c r="T944" i="5" s="1"/>
  <c r="S945" i="5"/>
  <c r="T945" i="5" s="1"/>
  <c r="S946" i="5"/>
  <c r="T946" i="5" s="1"/>
  <c r="S947" i="5"/>
  <c r="T947" i="5" s="1"/>
  <c r="S948" i="5"/>
  <c r="T948" i="5" s="1"/>
  <c r="S949" i="5"/>
  <c r="T949" i="5" s="1"/>
  <c r="S950" i="5"/>
  <c r="T950" i="5" s="1"/>
  <c r="S951" i="5"/>
  <c r="T951" i="5" s="1"/>
  <c r="S952" i="5"/>
  <c r="T952" i="5" s="1"/>
  <c r="S953" i="5"/>
  <c r="T953" i="5" s="1"/>
  <c r="S954" i="5"/>
  <c r="T954" i="5" s="1"/>
  <c r="S955" i="5"/>
  <c r="T955" i="5" s="1"/>
  <c r="S956" i="5"/>
  <c r="T956" i="5" s="1"/>
  <c r="S957" i="5"/>
  <c r="T957" i="5" s="1"/>
  <c r="S958" i="5"/>
  <c r="T958" i="5" s="1"/>
  <c r="S959" i="5"/>
  <c r="T959" i="5" s="1"/>
  <c r="S960" i="5"/>
  <c r="T960" i="5" s="1"/>
  <c r="S961" i="5"/>
  <c r="T961" i="5" s="1"/>
  <c r="S962" i="5"/>
  <c r="T962" i="5" s="1"/>
  <c r="S963" i="5"/>
  <c r="T963" i="5" s="1"/>
  <c r="S964" i="5"/>
  <c r="T964" i="5" s="1"/>
  <c r="S965" i="5"/>
  <c r="T965" i="5" s="1"/>
  <c r="S966" i="5"/>
  <c r="T966" i="5" s="1"/>
  <c r="S967" i="5"/>
  <c r="T967" i="5" s="1"/>
  <c r="S968" i="5"/>
  <c r="T968" i="5" s="1"/>
  <c r="S969" i="5"/>
  <c r="T969" i="5" s="1"/>
  <c r="S970" i="5"/>
  <c r="T970" i="5" s="1"/>
  <c r="S971" i="5"/>
  <c r="T971" i="5" s="1"/>
  <c r="S972" i="5"/>
  <c r="T972" i="5" s="1"/>
  <c r="S973" i="5"/>
  <c r="T973" i="5" s="1"/>
  <c r="S974" i="5"/>
  <c r="T974" i="5" s="1"/>
  <c r="S975" i="5"/>
  <c r="T975" i="5" s="1"/>
  <c r="S976" i="5"/>
  <c r="T976" i="5" s="1"/>
  <c r="S977" i="5"/>
  <c r="T977" i="5" s="1"/>
  <c r="S978" i="5"/>
  <c r="T978" i="5" s="1"/>
  <c r="S979" i="5"/>
  <c r="T979" i="5" s="1"/>
  <c r="S980" i="5"/>
  <c r="T980" i="5" s="1"/>
  <c r="S981" i="5"/>
  <c r="T981" i="5" s="1"/>
  <c r="S982" i="5"/>
  <c r="T982" i="5" s="1"/>
  <c r="S983" i="5"/>
  <c r="T983" i="5" s="1"/>
  <c r="S984" i="5"/>
  <c r="T984" i="5" s="1"/>
  <c r="S985" i="5"/>
  <c r="T985" i="5" s="1"/>
  <c r="S986" i="5"/>
  <c r="T986" i="5" s="1"/>
  <c r="S987" i="5"/>
  <c r="T987" i="5" s="1"/>
  <c r="S988" i="5"/>
  <c r="T988" i="5" s="1"/>
  <c r="S989" i="5"/>
  <c r="T989" i="5" s="1"/>
  <c r="S990" i="5"/>
  <c r="T990" i="5" s="1"/>
  <c r="S991" i="5"/>
  <c r="T991" i="5" s="1"/>
  <c r="S992" i="5"/>
  <c r="T992" i="5" s="1"/>
  <c r="S993" i="5"/>
  <c r="T993" i="5" s="1"/>
  <c r="S994" i="5"/>
  <c r="T994" i="5" s="1"/>
  <c r="S995" i="5"/>
  <c r="T995" i="5" s="1"/>
  <c r="S996" i="5"/>
  <c r="T996" i="5" s="1"/>
  <c r="S997" i="5"/>
  <c r="T997" i="5" s="1"/>
  <c r="S998" i="5"/>
  <c r="T998" i="5" s="1"/>
  <c r="S999" i="5"/>
  <c r="T999" i="5" s="1"/>
  <c r="S1000" i="5"/>
  <c r="T1000" i="5" s="1"/>
  <c r="S1001" i="5"/>
  <c r="T1001" i="5" s="1"/>
  <c r="S2" i="5"/>
  <c r="T2" i="5" s="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2" i="5"/>
  <c r="I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2"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3" i="5"/>
  <c r="F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2" i="5"/>
  <c r="Q1001" i="5"/>
  <c r="R1001" i="5" s="1"/>
  <c r="P1001" i="5"/>
  <c r="Q1000" i="5"/>
  <c r="R1000" i="5" s="1"/>
  <c r="P1000" i="5"/>
  <c r="Q999" i="5"/>
  <c r="R999" i="5" s="1"/>
  <c r="P999" i="5"/>
  <c r="Q998" i="5"/>
  <c r="R998" i="5" s="1"/>
  <c r="P998" i="5"/>
  <c r="Q997" i="5"/>
  <c r="R997" i="5" s="1"/>
  <c r="P997" i="5"/>
  <c r="Q996" i="5"/>
  <c r="R996" i="5" s="1"/>
  <c r="P996" i="5"/>
  <c r="Q995" i="5"/>
  <c r="R995" i="5" s="1"/>
  <c r="P995" i="5"/>
  <c r="Q994" i="5"/>
  <c r="R994" i="5" s="1"/>
  <c r="P994" i="5"/>
  <c r="Q993" i="5"/>
  <c r="R993" i="5" s="1"/>
  <c r="P993" i="5"/>
  <c r="Q992" i="5"/>
  <c r="R992" i="5" s="1"/>
  <c r="P992" i="5"/>
  <c r="Q991" i="5"/>
  <c r="R991" i="5" s="1"/>
  <c r="P991" i="5"/>
  <c r="Q990" i="5"/>
  <c r="R990" i="5" s="1"/>
  <c r="P990" i="5"/>
  <c r="Q989" i="5"/>
  <c r="R989" i="5" s="1"/>
  <c r="P989" i="5"/>
  <c r="Q988" i="5"/>
  <c r="R988" i="5" s="1"/>
  <c r="P988" i="5"/>
  <c r="Q987" i="5"/>
  <c r="R987" i="5" s="1"/>
  <c r="P987" i="5"/>
  <c r="Q986" i="5"/>
  <c r="R986" i="5" s="1"/>
  <c r="P986" i="5"/>
  <c r="Q985" i="5"/>
  <c r="R985" i="5" s="1"/>
  <c r="P985" i="5"/>
  <c r="Q984" i="5"/>
  <c r="R984" i="5" s="1"/>
  <c r="P984" i="5"/>
  <c r="Q983" i="5"/>
  <c r="R983" i="5" s="1"/>
  <c r="P983" i="5"/>
  <c r="Q982" i="5"/>
  <c r="R982" i="5" s="1"/>
  <c r="P982" i="5"/>
  <c r="Q981" i="5"/>
  <c r="R981" i="5" s="1"/>
  <c r="P981" i="5"/>
  <c r="Q980" i="5"/>
  <c r="R980" i="5" s="1"/>
  <c r="P980" i="5"/>
  <c r="Q979" i="5"/>
  <c r="R979" i="5" s="1"/>
  <c r="P979" i="5"/>
  <c r="Q978" i="5"/>
  <c r="R978" i="5" s="1"/>
  <c r="P978" i="5"/>
  <c r="Q977" i="5"/>
  <c r="R977" i="5" s="1"/>
  <c r="P977" i="5"/>
  <c r="Q976" i="5"/>
  <c r="R976" i="5" s="1"/>
  <c r="P976" i="5"/>
  <c r="Q975" i="5"/>
  <c r="R975" i="5" s="1"/>
  <c r="P975" i="5"/>
  <c r="Q974" i="5"/>
  <c r="R974" i="5" s="1"/>
  <c r="P974" i="5"/>
  <c r="Q973" i="5"/>
  <c r="R973" i="5" s="1"/>
  <c r="P973" i="5"/>
  <c r="Q972" i="5"/>
  <c r="R972" i="5" s="1"/>
  <c r="P972" i="5"/>
  <c r="Q971" i="5"/>
  <c r="R971" i="5" s="1"/>
  <c r="P971" i="5"/>
  <c r="Q970" i="5"/>
  <c r="R970" i="5" s="1"/>
  <c r="P970" i="5"/>
  <c r="Q969" i="5"/>
  <c r="R969" i="5" s="1"/>
  <c r="P969" i="5"/>
  <c r="Q968" i="5"/>
  <c r="R968" i="5" s="1"/>
  <c r="P968" i="5"/>
  <c r="Q967" i="5"/>
  <c r="R967" i="5" s="1"/>
  <c r="P967" i="5"/>
  <c r="Q966" i="5"/>
  <c r="R966" i="5" s="1"/>
  <c r="P966" i="5"/>
  <c r="Q965" i="5"/>
  <c r="R965" i="5" s="1"/>
  <c r="P965" i="5"/>
  <c r="Q964" i="5"/>
  <c r="R964" i="5" s="1"/>
  <c r="P964" i="5"/>
  <c r="Q963" i="5"/>
  <c r="R963" i="5" s="1"/>
  <c r="P963" i="5"/>
  <c r="Q962" i="5"/>
  <c r="R962" i="5" s="1"/>
  <c r="P962" i="5"/>
  <c r="Q961" i="5"/>
  <c r="R961" i="5" s="1"/>
  <c r="P961" i="5"/>
  <c r="Q960" i="5"/>
  <c r="R960" i="5" s="1"/>
  <c r="P960" i="5"/>
  <c r="Q959" i="5"/>
  <c r="R959" i="5" s="1"/>
  <c r="P959" i="5"/>
  <c r="Q958" i="5"/>
  <c r="R958" i="5" s="1"/>
  <c r="P958" i="5"/>
  <c r="Q957" i="5"/>
  <c r="R957" i="5" s="1"/>
  <c r="P957" i="5"/>
  <c r="Q956" i="5"/>
  <c r="R956" i="5" s="1"/>
  <c r="P956" i="5"/>
  <c r="Q955" i="5"/>
  <c r="R955" i="5" s="1"/>
  <c r="P955" i="5"/>
  <c r="Q954" i="5"/>
  <c r="R954" i="5" s="1"/>
  <c r="P954" i="5"/>
  <c r="Q953" i="5"/>
  <c r="R953" i="5" s="1"/>
  <c r="P953" i="5"/>
  <c r="Q952" i="5"/>
  <c r="R952" i="5" s="1"/>
  <c r="P952" i="5"/>
  <c r="Q951" i="5"/>
  <c r="R951" i="5" s="1"/>
  <c r="P951" i="5"/>
  <c r="Q950" i="5"/>
  <c r="R950" i="5" s="1"/>
  <c r="P950" i="5"/>
  <c r="Q949" i="5"/>
  <c r="R949" i="5" s="1"/>
  <c r="P949" i="5"/>
  <c r="Q948" i="5"/>
  <c r="R948" i="5" s="1"/>
  <c r="P948" i="5"/>
  <c r="Q947" i="5"/>
  <c r="R947" i="5" s="1"/>
  <c r="P947" i="5"/>
  <c r="Q946" i="5"/>
  <c r="R946" i="5" s="1"/>
  <c r="P946" i="5"/>
  <c r="Q945" i="5"/>
  <c r="R945" i="5" s="1"/>
  <c r="P945" i="5"/>
  <c r="Q944" i="5"/>
  <c r="R944" i="5" s="1"/>
  <c r="P944" i="5"/>
  <c r="Q943" i="5"/>
  <c r="R943" i="5" s="1"/>
  <c r="P943" i="5"/>
  <c r="Q942" i="5"/>
  <c r="R942" i="5" s="1"/>
  <c r="P942" i="5"/>
  <c r="Q941" i="5"/>
  <c r="R941" i="5" s="1"/>
  <c r="P941" i="5"/>
  <c r="Q940" i="5"/>
  <c r="R940" i="5" s="1"/>
  <c r="P940" i="5"/>
  <c r="Q939" i="5"/>
  <c r="R939" i="5" s="1"/>
  <c r="P939" i="5"/>
  <c r="Q938" i="5"/>
  <c r="R938" i="5" s="1"/>
  <c r="P938" i="5"/>
  <c r="Q937" i="5"/>
  <c r="R937" i="5" s="1"/>
  <c r="P937" i="5"/>
  <c r="Q936" i="5"/>
  <c r="R936" i="5" s="1"/>
  <c r="P936" i="5"/>
  <c r="Q935" i="5"/>
  <c r="R935" i="5" s="1"/>
  <c r="P935" i="5"/>
  <c r="Q934" i="5"/>
  <c r="R934" i="5" s="1"/>
  <c r="P934" i="5"/>
  <c r="Q933" i="5"/>
  <c r="R933" i="5" s="1"/>
  <c r="P933" i="5"/>
  <c r="Q932" i="5"/>
  <c r="R932" i="5" s="1"/>
  <c r="P932" i="5"/>
  <c r="Q931" i="5"/>
  <c r="R931" i="5" s="1"/>
  <c r="P931" i="5"/>
  <c r="Q930" i="5"/>
  <c r="R930" i="5" s="1"/>
  <c r="P930" i="5"/>
  <c r="Q929" i="5"/>
  <c r="R929" i="5" s="1"/>
  <c r="P929" i="5"/>
  <c r="Q928" i="5"/>
  <c r="R928" i="5" s="1"/>
  <c r="P928" i="5"/>
  <c r="Q927" i="5"/>
  <c r="R927" i="5" s="1"/>
  <c r="P927" i="5"/>
  <c r="Q926" i="5"/>
  <c r="R926" i="5" s="1"/>
  <c r="P926" i="5"/>
  <c r="Q925" i="5"/>
  <c r="R925" i="5" s="1"/>
  <c r="P925" i="5"/>
  <c r="Q924" i="5"/>
  <c r="R924" i="5" s="1"/>
  <c r="P924" i="5"/>
  <c r="Q923" i="5"/>
  <c r="R923" i="5" s="1"/>
  <c r="P923" i="5"/>
  <c r="Q922" i="5"/>
  <c r="R922" i="5" s="1"/>
  <c r="P922" i="5"/>
  <c r="Q921" i="5"/>
  <c r="R921" i="5" s="1"/>
  <c r="P921" i="5"/>
  <c r="Q920" i="5"/>
  <c r="R920" i="5" s="1"/>
  <c r="P920" i="5"/>
  <c r="Q919" i="5"/>
  <c r="R919" i="5" s="1"/>
  <c r="P919" i="5"/>
  <c r="Q918" i="5"/>
  <c r="R918" i="5" s="1"/>
  <c r="P918" i="5"/>
  <c r="Q917" i="5"/>
  <c r="R917" i="5" s="1"/>
  <c r="P917" i="5"/>
  <c r="Q916" i="5"/>
  <c r="R916" i="5" s="1"/>
  <c r="P916" i="5"/>
  <c r="Q915" i="5"/>
  <c r="R915" i="5" s="1"/>
  <c r="P915" i="5"/>
  <c r="Q914" i="5"/>
  <c r="R914" i="5" s="1"/>
  <c r="P914" i="5"/>
  <c r="Q913" i="5"/>
  <c r="R913" i="5" s="1"/>
  <c r="P913" i="5"/>
  <c r="Q912" i="5"/>
  <c r="R912" i="5" s="1"/>
  <c r="P912" i="5"/>
  <c r="Q911" i="5"/>
  <c r="R911" i="5" s="1"/>
  <c r="P911" i="5"/>
  <c r="Q910" i="5"/>
  <c r="R910" i="5" s="1"/>
  <c r="P910" i="5"/>
  <c r="Q909" i="5"/>
  <c r="R909" i="5" s="1"/>
  <c r="P909" i="5"/>
  <c r="Q908" i="5"/>
  <c r="R908" i="5" s="1"/>
  <c r="P908" i="5"/>
  <c r="Q907" i="5"/>
  <c r="R907" i="5" s="1"/>
  <c r="P907" i="5"/>
  <c r="Q906" i="5"/>
  <c r="R906" i="5" s="1"/>
  <c r="P906" i="5"/>
  <c r="Q905" i="5"/>
  <c r="R905" i="5" s="1"/>
  <c r="P905" i="5"/>
  <c r="Q904" i="5"/>
  <c r="R904" i="5" s="1"/>
  <c r="P904" i="5"/>
  <c r="Q903" i="5"/>
  <c r="R903" i="5" s="1"/>
  <c r="P903" i="5"/>
  <c r="Q902" i="5"/>
  <c r="R902" i="5" s="1"/>
  <c r="P902" i="5"/>
  <c r="Q901" i="5"/>
  <c r="R901" i="5" s="1"/>
  <c r="P901" i="5"/>
  <c r="Q900" i="5"/>
  <c r="R900" i="5" s="1"/>
  <c r="P900" i="5"/>
  <c r="Q899" i="5"/>
  <c r="R899" i="5" s="1"/>
  <c r="P899" i="5"/>
  <c r="Q898" i="5"/>
  <c r="R898" i="5" s="1"/>
  <c r="P898" i="5"/>
  <c r="Q897" i="5"/>
  <c r="R897" i="5" s="1"/>
  <c r="P897" i="5"/>
  <c r="Q896" i="5"/>
  <c r="R896" i="5" s="1"/>
  <c r="P896" i="5"/>
  <c r="Q895" i="5"/>
  <c r="R895" i="5" s="1"/>
  <c r="P895" i="5"/>
  <c r="Q894" i="5"/>
  <c r="R894" i="5" s="1"/>
  <c r="P894" i="5"/>
  <c r="Q893" i="5"/>
  <c r="R893" i="5" s="1"/>
  <c r="P893" i="5"/>
  <c r="Q892" i="5"/>
  <c r="R892" i="5" s="1"/>
  <c r="P892" i="5"/>
  <c r="Q891" i="5"/>
  <c r="R891" i="5" s="1"/>
  <c r="P891" i="5"/>
  <c r="Q890" i="5"/>
  <c r="R890" i="5" s="1"/>
  <c r="P890" i="5"/>
  <c r="Q889" i="5"/>
  <c r="R889" i="5" s="1"/>
  <c r="P889" i="5"/>
  <c r="Q888" i="5"/>
  <c r="R888" i="5" s="1"/>
  <c r="P888" i="5"/>
  <c r="Q887" i="5"/>
  <c r="R887" i="5" s="1"/>
  <c r="P887" i="5"/>
  <c r="Q886" i="5"/>
  <c r="R886" i="5" s="1"/>
  <c r="P886" i="5"/>
  <c r="Q885" i="5"/>
  <c r="R885" i="5" s="1"/>
  <c r="P885" i="5"/>
  <c r="Q884" i="5"/>
  <c r="R884" i="5" s="1"/>
  <c r="P884" i="5"/>
  <c r="Q883" i="5"/>
  <c r="R883" i="5" s="1"/>
  <c r="P883" i="5"/>
  <c r="Q882" i="5"/>
  <c r="R882" i="5" s="1"/>
  <c r="P882" i="5"/>
  <c r="Q881" i="5"/>
  <c r="R881" i="5" s="1"/>
  <c r="P881" i="5"/>
  <c r="Q880" i="5"/>
  <c r="R880" i="5" s="1"/>
  <c r="P880" i="5"/>
  <c r="Q879" i="5"/>
  <c r="R879" i="5" s="1"/>
  <c r="P879" i="5"/>
  <c r="Q878" i="5"/>
  <c r="R878" i="5" s="1"/>
  <c r="P878" i="5"/>
  <c r="Q877" i="5"/>
  <c r="R877" i="5" s="1"/>
  <c r="P877" i="5"/>
  <c r="Q876" i="5"/>
  <c r="R876" i="5" s="1"/>
  <c r="P876" i="5"/>
  <c r="Q875" i="5"/>
  <c r="R875" i="5" s="1"/>
  <c r="P875" i="5"/>
  <c r="Q874" i="5"/>
  <c r="R874" i="5" s="1"/>
  <c r="P874" i="5"/>
  <c r="Q873" i="5"/>
  <c r="R873" i="5" s="1"/>
  <c r="P873" i="5"/>
  <c r="Q872" i="5"/>
  <c r="R872" i="5" s="1"/>
  <c r="P872" i="5"/>
  <c r="Q871" i="5"/>
  <c r="R871" i="5" s="1"/>
  <c r="P871" i="5"/>
  <c r="Q870" i="5"/>
  <c r="R870" i="5" s="1"/>
  <c r="P870" i="5"/>
  <c r="Q869" i="5"/>
  <c r="R869" i="5" s="1"/>
  <c r="P869" i="5"/>
  <c r="Q868" i="5"/>
  <c r="R868" i="5" s="1"/>
  <c r="P868" i="5"/>
  <c r="Q867" i="5"/>
  <c r="R867" i="5" s="1"/>
  <c r="P867" i="5"/>
  <c r="Q866" i="5"/>
  <c r="R866" i="5" s="1"/>
  <c r="P866" i="5"/>
  <c r="Q865" i="5"/>
  <c r="R865" i="5" s="1"/>
  <c r="P865" i="5"/>
  <c r="Q864" i="5"/>
  <c r="R864" i="5" s="1"/>
  <c r="P864" i="5"/>
  <c r="Q863" i="5"/>
  <c r="R863" i="5" s="1"/>
  <c r="P863" i="5"/>
  <c r="Q862" i="5"/>
  <c r="R862" i="5" s="1"/>
  <c r="P862" i="5"/>
  <c r="Q861" i="5"/>
  <c r="R861" i="5" s="1"/>
  <c r="P861" i="5"/>
  <c r="Q860" i="5"/>
  <c r="R860" i="5" s="1"/>
  <c r="P860" i="5"/>
  <c r="Q859" i="5"/>
  <c r="R859" i="5" s="1"/>
  <c r="P859" i="5"/>
  <c r="Q858" i="5"/>
  <c r="R858" i="5" s="1"/>
  <c r="P858" i="5"/>
  <c r="Q857" i="5"/>
  <c r="R857" i="5" s="1"/>
  <c r="P857" i="5"/>
  <c r="Q856" i="5"/>
  <c r="R856" i="5" s="1"/>
  <c r="P856" i="5"/>
  <c r="Q855" i="5"/>
  <c r="R855" i="5" s="1"/>
  <c r="P855" i="5"/>
  <c r="Q854" i="5"/>
  <c r="R854" i="5" s="1"/>
  <c r="P854" i="5"/>
  <c r="Q853" i="5"/>
  <c r="R853" i="5" s="1"/>
  <c r="P853" i="5"/>
  <c r="Q852" i="5"/>
  <c r="R852" i="5" s="1"/>
  <c r="P852" i="5"/>
  <c r="Q851" i="5"/>
  <c r="R851" i="5" s="1"/>
  <c r="P851" i="5"/>
  <c r="Q850" i="5"/>
  <c r="R850" i="5" s="1"/>
  <c r="P850" i="5"/>
  <c r="Q849" i="5"/>
  <c r="R849" i="5" s="1"/>
  <c r="P849" i="5"/>
  <c r="Q848" i="5"/>
  <c r="R848" i="5" s="1"/>
  <c r="P848" i="5"/>
  <c r="Q847" i="5"/>
  <c r="R847" i="5" s="1"/>
  <c r="P847" i="5"/>
  <c r="Q846" i="5"/>
  <c r="R846" i="5" s="1"/>
  <c r="P846" i="5"/>
  <c r="Q845" i="5"/>
  <c r="R845" i="5" s="1"/>
  <c r="P845" i="5"/>
  <c r="Q844" i="5"/>
  <c r="R844" i="5" s="1"/>
  <c r="P844" i="5"/>
  <c r="Q843" i="5"/>
  <c r="R843" i="5" s="1"/>
  <c r="P843" i="5"/>
  <c r="Q842" i="5"/>
  <c r="R842" i="5" s="1"/>
  <c r="P842" i="5"/>
  <c r="Q841" i="5"/>
  <c r="R841" i="5" s="1"/>
  <c r="P841" i="5"/>
  <c r="Q840" i="5"/>
  <c r="R840" i="5" s="1"/>
  <c r="P840" i="5"/>
  <c r="Q839" i="5"/>
  <c r="R839" i="5" s="1"/>
  <c r="P839" i="5"/>
  <c r="Q838" i="5"/>
  <c r="R838" i="5" s="1"/>
  <c r="P838" i="5"/>
  <c r="Q837" i="5"/>
  <c r="R837" i="5" s="1"/>
  <c r="P837" i="5"/>
  <c r="Q836" i="5"/>
  <c r="R836" i="5" s="1"/>
  <c r="P836" i="5"/>
  <c r="Q835" i="5"/>
  <c r="R835" i="5" s="1"/>
  <c r="P835" i="5"/>
  <c r="Q834" i="5"/>
  <c r="R834" i="5" s="1"/>
  <c r="P834" i="5"/>
  <c r="Q833" i="5"/>
  <c r="R833" i="5" s="1"/>
  <c r="P833" i="5"/>
  <c r="Q832" i="5"/>
  <c r="R832" i="5" s="1"/>
  <c r="P832" i="5"/>
  <c r="Q831" i="5"/>
  <c r="R831" i="5" s="1"/>
  <c r="P831" i="5"/>
  <c r="Q830" i="5"/>
  <c r="R830" i="5" s="1"/>
  <c r="P830" i="5"/>
  <c r="Q829" i="5"/>
  <c r="R829" i="5" s="1"/>
  <c r="P829" i="5"/>
  <c r="Q828" i="5"/>
  <c r="R828" i="5" s="1"/>
  <c r="P828" i="5"/>
  <c r="Q827" i="5"/>
  <c r="R827" i="5" s="1"/>
  <c r="P827" i="5"/>
  <c r="Q826" i="5"/>
  <c r="R826" i="5" s="1"/>
  <c r="P826" i="5"/>
  <c r="Q825" i="5"/>
  <c r="R825" i="5" s="1"/>
  <c r="P825" i="5"/>
  <c r="Q824" i="5"/>
  <c r="R824" i="5" s="1"/>
  <c r="P824" i="5"/>
  <c r="Q823" i="5"/>
  <c r="R823" i="5" s="1"/>
  <c r="P823" i="5"/>
  <c r="Q822" i="5"/>
  <c r="R822" i="5" s="1"/>
  <c r="P822" i="5"/>
  <c r="Q821" i="5"/>
  <c r="R821" i="5" s="1"/>
  <c r="P821" i="5"/>
  <c r="Q820" i="5"/>
  <c r="R820" i="5" s="1"/>
  <c r="P820" i="5"/>
  <c r="Q819" i="5"/>
  <c r="R819" i="5" s="1"/>
  <c r="P819" i="5"/>
  <c r="Q818" i="5"/>
  <c r="R818" i="5" s="1"/>
  <c r="P818" i="5"/>
  <c r="Q817" i="5"/>
  <c r="R817" i="5" s="1"/>
  <c r="P817" i="5"/>
  <c r="Q816" i="5"/>
  <c r="R816" i="5" s="1"/>
  <c r="P816" i="5"/>
  <c r="Q815" i="5"/>
  <c r="R815" i="5" s="1"/>
  <c r="P815" i="5"/>
  <c r="Q814" i="5"/>
  <c r="R814" i="5" s="1"/>
  <c r="P814" i="5"/>
  <c r="Q813" i="5"/>
  <c r="R813" i="5" s="1"/>
  <c r="P813" i="5"/>
  <c r="Q812" i="5"/>
  <c r="R812" i="5" s="1"/>
  <c r="P812" i="5"/>
  <c r="Q811" i="5"/>
  <c r="R811" i="5" s="1"/>
  <c r="P811" i="5"/>
  <c r="Q810" i="5"/>
  <c r="R810" i="5" s="1"/>
  <c r="P810" i="5"/>
  <c r="Q809" i="5"/>
  <c r="R809" i="5" s="1"/>
  <c r="P809" i="5"/>
  <c r="Q808" i="5"/>
  <c r="R808" i="5" s="1"/>
  <c r="P808" i="5"/>
  <c r="Q807" i="5"/>
  <c r="R807" i="5" s="1"/>
  <c r="P807" i="5"/>
  <c r="Q806" i="5"/>
  <c r="R806" i="5" s="1"/>
  <c r="P806" i="5"/>
  <c r="Q805" i="5"/>
  <c r="R805" i="5" s="1"/>
  <c r="P805" i="5"/>
  <c r="Q804" i="5"/>
  <c r="R804" i="5" s="1"/>
  <c r="P804" i="5"/>
  <c r="Q803" i="5"/>
  <c r="R803" i="5" s="1"/>
  <c r="P803" i="5"/>
  <c r="Q802" i="5"/>
  <c r="R802" i="5" s="1"/>
  <c r="P802" i="5"/>
  <c r="Q801" i="5"/>
  <c r="R801" i="5" s="1"/>
  <c r="P801" i="5"/>
  <c r="Q800" i="5"/>
  <c r="R800" i="5" s="1"/>
  <c r="P800" i="5"/>
  <c r="Q799" i="5"/>
  <c r="R799" i="5" s="1"/>
  <c r="P799" i="5"/>
  <c r="Q798" i="5"/>
  <c r="R798" i="5" s="1"/>
  <c r="P798" i="5"/>
  <c r="Q797" i="5"/>
  <c r="R797" i="5" s="1"/>
  <c r="P797" i="5"/>
  <c r="Q796" i="5"/>
  <c r="R796" i="5" s="1"/>
  <c r="P796" i="5"/>
  <c r="Q795" i="5"/>
  <c r="R795" i="5" s="1"/>
  <c r="P795" i="5"/>
  <c r="Q794" i="5"/>
  <c r="R794" i="5" s="1"/>
  <c r="P794" i="5"/>
  <c r="Q793" i="5"/>
  <c r="R793" i="5" s="1"/>
  <c r="P793" i="5"/>
  <c r="Q792" i="5"/>
  <c r="R792" i="5" s="1"/>
  <c r="P792" i="5"/>
  <c r="Q791" i="5"/>
  <c r="R791" i="5" s="1"/>
  <c r="P791" i="5"/>
  <c r="Q790" i="5"/>
  <c r="R790" i="5" s="1"/>
  <c r="P790" i="5"/>
  <c r="Q789" i="5"/>
  <c r="R789" i="5" s="1"/>
  <c r="P789" i="5"/>
  <c r="Q788" i="5"/>
  <c r="R788" i="5" s="1"/>
  <c r="P788" i="5"/>
  <c r="Q787" i="5"/>
  <c r="R787" i="5" s="1"/>
  <c r="P787" i="5"/>
  <c r="Q786" i="5"/>
  <c r="R786" i="5" s="1"/>
  <c r="P786" i="5"/>
  <c r="Q785" i="5"/>
  <c r="R785" i="5" s="1"/>
  <c r="P785" i="5"/>
  <c r="Q784" i="5"/>
  <c r="R784" i="5" s="1"/>
  <c r="P784" i="5"/>
  <c r="Q783" i="5"/>
  <c r="R783" i="5" s="1"/>
  <c r="P783" i="5"/>
  <c r="Q782" i="5"/>
  <c r="R782" i="5" s="1"/>
  <c r="P782" i="5"/>
  <c r="Q781" i="5"/>
  <c r="R781" i="5" s="1"/>
  <c r="P781" i="5"/>
  <c r="Q780" i="5"/>
  <c r="R780" i="5" s="1"/>
  <c r="P780" i="5"/>
  <c r="Q779" i="5"/>
  <c r="R779" i="5" s="1"/>
  <c r="P779" i="5"/>
  <c r="Q778" i="5"/>
  <c r="R778" i="5" s="1"/>
  <c r="P778" i="5"/>
  <c r="Q777" i="5"/>
  <c r="R777" i="5" s="1"/>
  <c r="P777" i="5"/>
  <c r="Q776" i="5"/>
  <c r="R776" i="5" s="1"/>
  <c r="P776" i="5"/>
  <c r="Q775" i="5"/>
  <c r="R775" i="5" s="1"/>
  <c r="P775" i="5"/>
  <c r="Q774" i="5"/>
  <c r="R774" i="5" s="1"/>
  <c r="P774" i="5"/>
  <c r="Q773" i="5"/>
  <c r="R773" i="5" s="1"/>
  <c r="P773" i="5"/>
  <c r="Q772" i="5"/>
  <c r="R772" i="5" s="1"/>
  <c r="P772" i="5"/>
  <c r="Q771" i="5"/>
  <c r="R771" i="5" s="1"/>
  <c r="P771" i="5"/>
  <c r="Q770" i="5"/>
  <c r="R770" i="5" s="1"/>
  <c r="P770" i="5"/>
  <c r="Q769" i="5"/>
  <c r="R769" i="5" s="1"/>
  <c r="P769" i="5"/>
  <c r="Q768" i="5"/>
  <c r="R768" i="5" s="1"/>
  <c r="P768" i="5"/>
  <c r="Q767" i="5"/>
  <c r="R767" i="5" s="1"/>
  <c r="P767" i="5"/>
  <c r="Q766" i="5"/>
  <c r="R766" i="5" s="1"/>
  <c r="P766" i="5"/>
  <c r="Q765" i="5"/>
  <c r="R765" i="5" s="1"/>
  <c r="P765" i="5"/>
  <c r="Q764" i="5"/>
  <c r="R764" i="5" s="1"/>
  <c r="P764" i="5"/>
  <c r="Q763" i="5"/>
  <c r="R763" i="5" s="1"/>
  <c r="P763" i="5"/>
  <c r="Q762" i="5"/>
  <c r="R762" i="5" s="1"/>
  <c r="P762" i="5"/>
  <c r="Q761" i="5"/>
  <c r="R761" i="5" s="1"/>
  <c r="P761" i="5"/>
  <c r="Q760" i="5"/>
  <c r="R760" i="5" s="1"/>
  <c r="P760" i="5"/>
  <c r="Q759" i="5"/>
  <c r="R759" i="5" s="1"/>
  <c r="P759" i="5"/>
  <c r="Q758" i="5"/>
  <c r="R758" i="5" s="1"/>
  <c r="P758" i="5"/>
  <c r="Q757" i="5"/>
  <c r="R757" i="5" s="1"/>
  <c r="P757" i="5"/>
  <c r="Q756" i="5"/>
  <c r="R756" i="5" s="1"/>
  <c r="P756" i="5"/>
  <c r="Q755" i="5"/>
  <c r="R755" i="5" s="1"/>
  <c r="P755" i="5"/>
  <c r="Q754" i="5"/>
  <c r="R754" i="5" s="1"/>
  <c r="P754" i="5"/>
  <c r="Q753" i="5"/>
  <c r="R753" i="5" s="1"/>
  <c r="P753" i="5"/>
  <c r="Q752" i="5"/>
  <c r="R752" i="5" s="1"/>
  <c r="P752" i="5"/>
  <c r="Q751" i="5"/>
  <c r="R751" i="5" s="1"/>
  <c r="P751" i="5"/>
  <c r="Q750" i="5"/>
  <c r="R750" i="5" s="1"/>
  <c r="P750" i="5"/>
  <c r="Q749" i="5"/>
  <c r="R749" i="5" s="1"/>
  <c r="P749" i="5"/>
  <c r="Q748" i="5"/>
  <c r="R748" i="5" s="1"/>
  <c r="P748" i="5"/>
  <c r="Q747" i="5"/>
  <c r="R747" i="5" s="1"/>
  <c r="P747" i="5"/>
  <c r="Q746" i="5"/>
  <c r="R746" i="5" s="1"/>
  <c r="P746" i="5"/>
  <c r="Q745" i="5"/>
  <c r="R745" i="5" s="1"/>
  <c r="P745" i="5"/>
  <c r="Q744" i="5"/>
  <c r="R744" i="5" s="1"/>
  <c r="P744" i="5"/>
  <c r="Q743" i="5"/>
  <c r="R743" i="5" s="1"/>
  <c r="P743" i="5"/>
  <c r="Q742" i="5"/>
  <c r="R742" i="5" s="1"/>
  <c r="P742" i="5"/>
  <c r="Q741" i="5"/>
  <c r="R741" i="5" s="1"/>
  <c r="P741" i="5"/>
  <c r="Q740" i="5"/>
  <c r="R740" i="5" s="1"/>
  <c r="P740" i="5"/>
  <c r="Q739" i="5"/>
  <c r="R739" i="5" s="1"/>
  <c r="P739" i="5"/>
  <c r="Q738" i="5"/>
  <c r="R738" i="5" s="1"/>
  <c r="P738" i="5"/>
  <c r="Q737" i="5"/>
  <c r="R737" i="5" s="1"/>
  <c r="P737" i="5"/>
  <c r="Q736" i="5"/>
  <c r="R736" i="5" s="1"/>
  <c r="P736" i="5"/>
  <c r="Q735" i="5"/>
  <c r="R735" i="5" s="1"/>
  <c r="P735" i="5"/>
  <c r="Q734" i="5"/>
  <c r="R734" i="5" s="1"/>
  <c r="P734" i="5"/>
  <c r="Q733" i="5"/>
  <c r="R733" i="5" s="1"/>
  <c r="P733" i="5"/>
  <c r="Q732" i="5"/>
  <c r="R732" i="5" s="1"/>
  <c r="P732" i="5"/>
  <c r="Q731" i="5"/>
  <c r="R731" i="5" s="1"/>
  <c r="P731" i="5"/>
  <c r="Q730" i="5"/>
  <c r="R730" i="5" s="1"/>
  <c r="P730" i="5"/>
  <c r="Q729" i="5"/>
  <c r="R729" i="5" s="1"/>
  <c r="P729" i="5"/>
  <c r="Q728" i="5"/>
  <c r="R728" i="5" s="1"/>
  <c r="P728" i="5"/>
  <c r="Q727" i="5"/>
  <c r="R727" i="5" s="1"/>
  <c r="P727" i="5"/>
  <c r="Q726" i="5"/>
  <c r="R726" i="5" s="1"/>
  <c r="P726" i="5"/>
  <c r="Q725" i="5"/>
  <c r="R725" i="5" s="1"/>
  <c r="P725" i="5"/>
  <c r="Q724" i="5"/>
  <c r="R724" i="5" s="1"/>
  <c r="P724" i="5"/>
  <c r="Q723" i="5"/>
  <c r="R723" i="5" s="1"/>
  <c r="P723" i="5"/>
  <c r="Q722" i="5"/>
  <c r="R722" i="5" s="1"/>
  <c r="P722" i="5"/>
  <c r="Q721" i="5"/>
  <c r="R721" i="5" s="1"/>
  <c r="P721" i="5"/>
  <c r="Q720" i="5"/>
  <c r="R720" i="5" s="1"/>
  <c r="P720" i="5"/>
  <c r="Q719" i="5"/>
  <c r="R719" i="5" s="1"/>
  <c r="P719" i="5"/>
  <c r="Q718" i="5"/>
  <c r="R718" i="5" s="1"/>
  <c r="P718" i="5"/>
  <c r="Q717" i="5"/>
  <c r="R717" i="5" s="1"/>
  <c r="P717" i="5"/>
  <c r="Q716" i="5"/>
  <c r="R716" i="5" s="1"/>
  <c r="P716" i="5"/>
  <c r="Q715" i="5"/>
  <c r="R715" i="5" s="1"/>
  <c r="P715" i="5"/>
  <c r="Q714" i="5"/>
  <c r="R714" i="5" s="1"/>
  <c r="P714" i="5"/>
  <c r="Q713" i="5"/>
  <c r="R713" i="5" s="1"/>
  <c r="P713" i="5"/>
  <c r="Q712" i="5"/>
  <c r="R712" i="5" s="1"/>
  <c r="P712" i="5"/>
  <c r="Q711" i="5"/>
  <c r="R711" i="5" s="1"/>
  <c r="P711" i="5"/>
  <c r="Q710" i="5"/>
  <c r="R710" i="5" s="1"/>
  <c r="P710" i="5"/>
  <c r="Q709" i="5"/>
  <c r="R709" i="5" s="1"/>
  <c r="P709" i="5"/>
  <c r="Q708" i="5"/>
  <c r="R708" i="5" s="1"/>
  <c r="P708" i="5"/>
  <c r="Q707" i="5"/>
  <c r="R707" i="5" s="1"/>
  <c r="P707" i="5"/>
  <c r="Q706" i="5"/>
  <c r="R706" i="5" s="1"/>
  <c r="P706" i="5"/>
  <c r="Q705" i="5"/>
  <c r="R705" i="5" s="1"/>
  <c r="P705" i="5"/>
  <c r="Q704" i="5"/>
  <c r="R704" i="5" s="1"/>
  <c r="P704" i="5"/>
  <c r="Q703" i="5"/>
  <c r="R703" i="5" s="1"/>
  <c r="P703" i="5"/>
  <c r="Q702" i="5"/>
  <c r="R702" i="5" s="1"/>
  <c r="P702" i="5"/>
  <c r="Q701" i="5"/>
  <c r="R701" i="5" s="1"/>
  <c r="P701" i="5"/>
  <c r="Q700" i="5"/>
  <c r="R700" i="5" s="1"/>
  <c r="P700" i="5"/>
  <c r="Q699" i="5"/>
  <c r="R699" i="5" s="1"/>
  <c r="P699" i="5"/>
  <c r="Q698" i="5"/>
  <c r="R698" i="5" s="1"/>
  <c r="P698" i="5"/>
  <c r="Q697" i="5"/>
  <c r="R697" i="5" s="1"/>
  <c r="P697" i="5"/>
  <c r="Q696" i="5"/>
  <c r="R696" i="5" s="1"/>
  <c r="P696" i="5"/>
  <c r="Q695" i="5"/>
  <c r="R695" i="5" s="1"/>
  <c r="P695" i="5"/>
  <c r="Q694" i="5"/>
  <c r="R694" i="5" s="1"/>
  <c r="P694" i="5"/>
  <c r="Q693" i="5"/>
  <c r="R693" i="5" s="1"/>
  <c r="P693" i="5"/>
  <c r="Q692" i="5"/>
  <c r="R692" i="5" s="1"/>
  <c r="P692" i="5"/>
  <c r="Q691" i="5"/>
  <c r="R691" i="5" s="1"/>
  <c r="P691" i="5"/>
  <c r="Q690" i="5"/>
  <c r="R690" i="5" s="1"/>
  <c r="P690" i="5"/>
  <c r="Q689" i="5"/>
  <c r="R689" i="5" s="1"/>
  <c r="P689" i="5"/>
  <c r="Q688" i="5"/>
  <c r="R688" i="5" s="1"/>
  <c r="P688" i="5"/>
  <c r="Q687" i="5"/>
  <c r="R687" i="5" s="1"/>
  <c r="P687" i="5"/>
  <c r="Q686" i="5"/>
  <c r="R686" i="5" s="1"/>
  <c r="P686" i="5"/>
  <c r="Q685" i="5"/>
  <c r="R685" i="5" s="1"/>
  <c r="P685" i="5"/>
  <c r="Q684" i="5"/>
  <c r="R684" i="5" s="1"/>
  <c r="P684" i="5"/>
  <c r="Q683" i="5"/>
  <c r="R683" i="5" s="1"/>
  <c r="P683" i="5"/>
  <c r="Q682" i="5"/>
  <c r="R682" i="5" s="1"/>
  <c r="P682" i="5"/>
  <c r="Q681" i="5"/>
  <c r="R681" i="5" s="1"/>
  <c r="P681" i="5"/>
  <c r="Q680" i="5"/>
  <c r="R680" i="5" s="1"/>
  <c r="P680" i="5"/>
  <c r="Q679" i="5"/>
  <c r="R679" i="5" s="1"/>
  <c r="P679" i="5"/>
  <c r="Q678" i="5"/>
  <c r="R678" i="5" s="1"/>
  <c r="P678" i="5"/>
  <c r="Q677" i="5"/>
  <c r="R677" i="5" s="1"/>
  <c r="P677" i="5"/>
  <c r="Q676" i="5"/>
  <c r="R676" i="5" s="1"/>
  <c r="P676" i="5"/>
  <c r="Q675" i="5"/>
  <c r="R675" i="5" s="1"/>
  <c r="P675" i="5"/>
  <c r="Q674" i="5"/>
  <c r="R674" i="5" s="1"/>
  <c r="P674" i="5"/>
  <c r="Q673" i="5"/>
  <c r="R673" i="5" s="1"/>
  <c r="P673" i="5"/>
  <c r="Q672" i="5"/>
  <c r="R672" i="5" s="1"/>
  <c r="P672" i="5"/>
  <c r="Q671" i="5"/>
  <c r="R671" i="5" s="1"/>
  <c r="P671" i="5"/>
  <c r="Q670" i="5"/>
  <c r="R670" i="5" s="1"/>
  <c r="P670" i="5"/>
  <c r="Q669" i="5"/>
  <c r="R669" i="5" s="1"/>
  <c r="P669" i="5"/>
  <c r="Q668" i="5"/>
  <c r="R668" i="5" s="1"/>
  <c r="P668" i="5"/>
  <c r="Q667" i="5"/>
  <c r="R667" i="5" s="1"/>
  <c r="P667" i="5"/>
  <c r="Q666" i="5"/>
  <c r="R666" i="5" s="1"/>
  <c r="P666" i="5"/>
  <c r="Q665" i="5"/>
  <c r="R665" i="5" s="1"/>
  <c r="P665" i="5"/>
  <c r="Q664" i="5"/>
  <c r="R664" i="5" s="1"/>
  <c r="P664" i="5"/>
  <c r="Q663" i="5"/>
  <c r="R663" i="5" s="1"/>
  <c r="P663" i="5"/>
  <c r="Q662" i="5"/>
  <c r="R662" i="5" s="1"/>
  <c r="P662" i="5"/>
  <c r="Q661" i="5"/>
  <c r="R661" i="5" s="1"/>
  <c r="P661" i="5"/>
  <c r="Q660" i="5"/>
  <c r="R660" i="5" s="1"/>
  <c r="P660" i="5"/>
  <c r="Q659" i="5"/>
  <c r="R659" i="5" s="1"/>
  <c r="P659" i="5"/>
  <c r="Q658" i="5"/>
  <c r="R658" i="5" s="1"/>
  <c r="P658" i="5"/>
  <c r="Q657" i="5"/>
  <c r="R657" i="5" s="1"/>
  <c r="P657" i="5"/>
  <c r="Q656" i="5"/>
  <c r="R656" i="5" s="1"/>
  <c r="P656" i="5"/>
  <c r="Q655" i="5"/>
  <c r="R655" i="5" s="1"/>
  <c r="P655" i="5"/>
  <c r="Q654" i="5"/>
  <c r="R654" i="5" s="1"/>
  <c r="P654" i="5"/>
  <c r="Q653" i="5"/>
  <c r="R653" i="5" s="1"/>
  <c r="P653" i="5"/>
  <c r="Q652" i="5"/>
  <c r="R652" i="5" s="1"/>
  <c r="P652" i="5"/>
  <c r="Q651" i="5"/>
  <c r="R651" i="5" s="1"/>
  <c r="P651" i="5"/>
  <c r="Q650" i="5"/>
  <c r="R650" i="5" s="1"/>
  <c r="P650" i="5"/>
  <c r="Q649" i="5"/>
  <c r="R649" i="5" s="1"/>
  <c r="P649" i="5"/>
  <c r="Q648" i="5"/>
  <c r="R648" i="5" s="1"/>
  <c r="P648" i="5"/>
  <c r="Q647" i="5"/>
  <c r="R647" i="5" s="1"/>
  <c r="P647" i="5"/>
  <c r="Q646" i="5"/>
  <c r="R646" i="5" s="1"/>
  <c r="P646" i="5"/>
  <c r="Q645" i="5"/>
  <c r="R645" i="5" s="1"/>
  <c r="P645" i="5"/>
  <c r="Q644" i="5"/>
  <c r="R644" i="5" s="1"/>
  <c r="P644" i="5"/>
  <c r="Q643" i="5"/>
  <c r="R643" i="5" s="1"/>
  <c r="P643" i="5"/>
  <c r="Q642" i="5"/>
  <c r="R642" i="5" s="1"/>
  <c r="P642" i="5"/>
  <c r="Q641" i="5"/>
  <c r="R641" i="5" s="1"/>
  <c r="P641" i="5"/>
  <c r="Q640" i="5"/>
  <c r="R640" i="5" s="1"/>
  <c r="P640" i="5"/>
  <c r="Q639" i="5"/>
  <c r="R639" i="5" s="1"/>
  <c r="P639" i="5"/>
  <c r="Q638" i="5"/>
  <c r="R638" i="5" s="1"/>
  <c r="P638" i="5"/>
  <c r="Q637" i="5"/>
  <c r="R637" i="5" s="1"/>
  <c r="P637" i="5"/>
  <c r="Q636" i="5"/>
  <c r="R636" i="5" s="1"/>
  <c r="P636" i="5"/>
  <c r="Q635" i="5"/>
  <c r="R635" i="5" s="1"/>
  <c r="P635" i="5"/>
  <c r="Q634" i="5"/>
  <c r="R634" i="5" s="1"/>
  <c r="P634" i="5"/>
  <c r="Q633" i="5"/>
  <c r="R633" i="5" s="1"/>
  <c r="P633" i="5"/>
  <c r="Q632" i="5"/>
  <c r="R632" i="5" s="1"/>
  <c r="P632" i="5"/>
  <c r="Q631" i="5"/>
  <c r="R631" i="5" s="1"/>
  <c r="P631" i="5"/>
  <c r="Q630" i="5"/>
  <c r="R630" i="5" s="1"/>
  <c r="P630" i="5"/>
  <c r="Q629" i="5"/>
  <c r="R629" i="5" s="1"/>
  <c r="P629" i="5"/>
  <c r="Q628" i="5"/>
  <c r="R628" i="5" s="1"/>
  <c r="P628" i="5"/>
  <c r="Q627" i="5"/>
  <c r="R627" i="5" s="1"/>
  <c r="P627" i="5"/>
  <c r="Q626" i="5"/>
  <c r="R626" i="5" s="1"/>
  <c r="P626" i="5"/>
  <c r="Q625" i="5"/>
  <c r="R625" i="5" s="1"/>
  <c r="P625" i="5"/>
  <c r="Q624" i="5"/>
  <c r="R624" i="5" s="1"/>
  <c r="P624" i="5"/>
  <c r="Q623" i="5"/>
  <c r="R623" i="5" s="1"/>
  <c r="P623" i="5"/>
  <c r="Q622" i="5"/>
  <c r="R622" i="5" s="1"/>
  <c r="P622" i="5"/>
  <c r="Q621" i="5"/>
  <c r="R621" i="5" s="1"/>
  <c r="P621" i="5"/>
  <c r="Q620" i="5"/>
  <c r="R620" i="5" s="1"/>
  <c r="P620" i="5"/>
  <c r="Q619" i="5"/>
  <c r="R619" i="5" s="1"/>
  <c r="P619" i="5"/>
  <c r="Q618" i="5"/>
  <c r="R618" i="5" s="1"/>
  <c r="P618" i="5"/>
  <c r="Q617" i="5"/>
  <c r="R617" i="5" s="1"/>
  <c r="P617" i="5"/>
  <c r="Q616" i="5"/>
  <c r="R616" i="5" s="1"/>
  <c r="P616" i="5"/>
  <c r="Q615" i="5"/>
  <c r="R615" i="5" s="1"/>
  <c r="P615" i="5"/>
  <c r="Q614" i="5"/>
  <c r="R614" i="5" s="1"/>
  <c r="P614" i="5"/>
  <c r="Q613" i="5"/>
  <c r="R613" i="5" s="1"/>
  <c r="P613" i="5"/>
  <c r="Q612" i="5"/>
  <c r="R612" i="5" s="1"/>
  <c r="P612" i="5"/>
  <c r="Q611" i="5"/>
  <c r="R611" i="5" s="1"/>
  <c r="P611" i="5"/>
  <c r="Q610" i="5"/>
  <c r="R610" i="5" s="1"/>
  <c r="P610" i="5"/>
  <c r="Q609" i="5"/>
  <c r="R609" i="5" s="1"/>
  <c r="P609" i="5"/>
  <c r="Q608" i="5"/>
  <c r="R608" i="5" s="1"/>
  <c r="P608" i="5"/>
  <c r="Q607" i="5"/>
  <c r="R607" i="5" s="1"/>
  <c r="P607" i="5"/>
  <c r="Q606" i="5"/>
  <c r="R606" i="5" s="1"/>
  <c r="P606" i="5"/>
  <c r="Q605" i="5"/>
  <c r="R605" i="5" s="1"/>
  <c r="P605" i="5"/>
  <c r="Q604" i="5"/>
  <c r="R604" i="5" s="1"/>
  <c r="P604" i="5"/>
  <c r="Q603" i="5"/>
  <c r="R603" i="5" s="1"/>
  <c r="P603" i="5"/>
  <c r="Q602" i="5"/>
  <c r="R602" i="5" s="1"/>
  <c r="P602" i="5"/>
  <c r="Q601" i="5"/>
  <c r="R601" i="5" s="1"/>
  <c r="P601" i="5"/>
  <c r="Q600" i="5"/>
  <c r="R600" i="5" s="1"/>
  <c r="P600" i="5"/>
  <c r="Q599" i="5"/>
  <c r="R599" i="5" s="1"/>
  <c r="P599" i="5"/>
  <c r="Q598" i="5"/>
  <c r="R598" i="5" s="1"/>
  <c r="P598" i="5"/>
  <c r="Q597" i="5"/>
  <c r="R597" i="5" s="1"/>
  <c r="P597" i="5"/>
  <c r="Q596" i="5"/>
  <c r="R596" i="5" s="1"/>
  <c r="P596" i="5"/>
  <c r="Q595" i="5"/>
  <c r="R595" i="5" s="1"/>
  <c r="P595" i="5"/>
  <c r="Q594" i="5"/>
  <c r="R594" i="5" s="1"/>
  <c r="P594" i="5"/>
  <c r="Q593" i="5"/>
  <c r="R593" i="5" s="1"/>
  <c r="P593" i="5"/>
  <c r="Q592" i="5"/>
  <c r="R592" i="5" s="1"/>
  <c r="P592" i="5"/>
  <c r="Q591" i="5"/>
  <c r="R591" i="5" s="1"/>
  <c r="P591" i="5"/>
  <c r="Q590" i="5"/>
  <c r="R590" i="5" s="1"/>
  <c r="P590" i="5"/>
  <c r="Q589" i="5"/>
  <c r="R589" i="5" s="1"/>
  <c r="P589" i="5"/>
  <c r="Q588" i="5"/>
  <c r="R588" i="5" s="1"/>
  <c r="P588" i="5"/>
  <c r="Q587" i="5"/>
  <c r="R587" i="5" s="1"/>
  <c r="P587" i="5"/>
  <c r="Q586" i="5"/>
  <c r="R586" i="5" s="1"/>
  <c r="P586" i="5"/>
  <c r="Q585" i="5"/>
  <c r="R585" i="5" s="1"/>
  <c r="P585" i="5"/>
  <c r="Q584" i="5"/>
  <c r="R584" i="5" s="1"/>
  <c r="P584" i="5"/>
  <c r="Q583" i="5"/>
  <c r="R583" i="5" s="1"/>
  <c r="P583" i="5"/>
  <c r="Q582" i="5"/>
  <c r="R582" i="5" s="1"/>
  <c r="P582" i="5"/>
  <c r="Q581" i="5"/>
  <c r="R581" i="5" s="1"/>
  <c r="P581" i="5"/>
  <c r="Q580" i="5"/>
  <c r="R580" i="5" s="1"/>
  <c r="P580" i="5"/>
  <c r="Q579" i="5"/>
  <c r="R579" i="5" s="1"/>
  <c r="P579" i="5"/>
  <c r="Q578" i="5"/>
  <c r="R578" i="5" s="1"/>
  <c r="P578" i="5"/>
  <c r="Q577" i="5"/>
  <c r="R577" i="5" s="1"/>
  <c r="P577" i="5"/>
  <c r="Q576" i="5"/>
  <c r="R576" i="5" s="1"/>
  <c r="P576" i="5"/>
  <c r="Q575" i="5"/>
  <c r="R575" i="5" s="1"/>
  <c r="P575" i="5"/>
  <c r="Q574" i="5"/>
  <c r="R574" i="5" s="1"/>
  <c r="P574" i="5"/>
  <c r="Q573" i="5"/>
  <c r="R573" i="5" s="1"/>
  <c r="P573" i="5"/>
  <c r="Q572" i="5"/>
  <c r="R572" i="5" s="1"/>
  <c r="P572" i="5"/>
  <c r="Q571" i="5"/>
  <c r="R571" i="5" s="1"/>
  <c r="P571" i="5"/>
  <c r="Q570" i="5"/>
  <c r="R570" i="5" s="1"/>
  <c r="P570" i="5"/>
  <c r="Q569" i="5"/>
  <c r="R569" i="5" s="1"/>
  <c r="P569" i="5"/>
  <c r="Q568" i="5"/>
  <c r="R568" i="5" s="1"/>
  <c r="P568" i="5"/>
  <c r="Q567" i="5"/>
  <c r="R567" i="5" s="1"/>
  <c r="P567" i="5"/>
  <c r="Q566" i="5"/>
  <c r="R566" i="5" s="1"/>
  <c r="P566" i="5"/>
  <c r="Q565" i="5"/>
  <c r="R565" i="5" s="1"/>
  <c r="P565" i="5"/>
  <c r="Q564" i="5"/>
  <c r="R564" i="5" s="1"/>
  <c r="P564" i="5"/>
  <c r="Q563" i="5"/>
  <c r="R563" i="5" s="1"/>
  <c r="P563" i="5"/>
  <c r="Q562" i="5"/>
  <c r="R562" i="5" s="1"/>
  <c r="P562" i="5"/>
  <c r="Q561" i="5"/>
  <c r="R561" i="5" s="1"/>
  <c r="P561" i="5"/>
  <c r="Q560" i="5"/>
  <c r="R560" i="5" s="1"/>
  <c r="P560" i="5"/>
  <c r="Q559" i="5"/>
  <c r="R559" i="5" s="1"/>
  <c r="P559" i="5"/>
  <c r="Q558" i="5"/>
  <c r="R558" i="5" s="1"/>
  <c r="P558" i="5"/>
  <c r="Q557" i="5"/>
  <c r="R557" i="5" s="1"/>
  <c r="P557" i="5"/>
  <c r="Q556" i="5"/>
  <c r="R556" i="5" s="1"/>
  <c r="P556" i="5"/>
  <c r="Q555" i="5"/>
  <c r="R555" i="5" s="1"/>
  <c r="P555" i="5"/>
  <c r="Q554" i="5"/>
  <c r="R554" i="5" s="1"/>
  <c r="P554" i="5"/>
  <c r="Q553" i="5"/>
  <c r="R553" i="5" s="1"/>
  <c r="P553" i="5"/>
  <c r="Q552" i="5"/>
  <c r="R552" i="5" s="1"/>
  <c r="P552" i="5"/>
  <c r="Q551" i="5"/>
  <c r="R551" i="5" s="1"/>
  <c r="P551" i="5"/>
  <c r="Q550" i="5"/>
  <c r="R550" i="5" s="1"/>
  <c r="P550" i="5"/>
  <c r="Q549" i="5"/>
  <c r="R549" i="5" s="1"/>
  <c r="P549" i="5"/>
  <c r="Q548" i="5"/>
  <c r="R548" i="5" s="1"/>
  <c r="P548" i="5"/>
  <c r="Q547" i="5"/>
  <c r="R547" i="5" s="1"/>
  <c r="P547" i="5"/>
  <c r="Q546" i="5"/>
  <c r="R546" i="5" s="1"/>
  <c r="P546" i="5"/>
  <c r="Q545" i="5"/>
  <c r="R545" i="5" s="1"/>
  <c r="P545" i="5"/>
  <c r="Q544" i="5"/>
  <c r="R544" i="5" s="1"/>
  <c r="P544" i="5"/>
  <c r="Q543" i="5"/>
  <c r="R543" i="5" s="1"/>
  <c r="P543" i="5"/>
  <c r="Q542" i="5"/>
  <c r="R542" i="5" s="1"/>
  <c r="P542" i="5"/>
  <c r="Q541" i="5"/>
  <c r="R541" i="5" s="1"/>
  <c r="P541" i="5"/>
  <c r="Q540" i="5"/>
  <c r="R540" i="5" s="1"/>
  <c r="P540" i="5"/>
  <c r="Q539" i="5"/>
  <c r="R539" i="5" s="1"/>
  <c r="P539" i="5"/>
  <c r="Q538" i="5"/>
  <c r="R538" i="5" s="1"/>
  <c r="P538" i="5"/>
  <c r="Q537" i="5"/>
  <c r="R537" i="5" s="1"/>
  <c r="P537" i="5"/>
  <c r="Q536" i="5"/>
  <c r="R536" i="5" s="1"/>
  <c r="P536" i="5"/>
  <c r="Q535" i="5"/>
  <c r="R535" i="5" s="1"/>
  <c r="P535" i="5"/>
  <c r="Q534" i="5"/>
  <c r="R534" i="5" s="1"/>
  <c r="P534" i="5"/>
  <c r="Q533" i="5"/>
  <c r="R533" i="5" s="1"/>
  <c r="P533" i="5"/>
  <c r="Q532" i="5"/>
  <c r="R532" i="5" s="1"/>
  <c r="P532" i="5"/>
  <c r="Q531" i="5"/>
  <c r="R531" i="5" s="1"/>
  <c r="P531" i="5"/>
  <c r="Q530" i="5"/>
  <c r="R530" i="5" s="1"/>
  <c r="P530" i="5"/>
  <c r="Q529" i="5"/>
  <c r="R529" i="5" s="1"/>
  <c r="P529" i="5"/>
  <c r="Q528" i="5"/>
  <c r="R528" i="5" s="1"/>
  <c r="P528" i="5"/>
  <c r="Q527" i="5"/>
  <c r="R527" i="5" s="1"/>
  <c r="P527" i="5"/>
  <c r="Q526" i="5"/>
  <c r="R526" i="5" s="1"/>
  <c r="P526" i="5"/>
  <c r="Q525" i="5"/>
  <c r="R525" i="5" s="1"/>
  <c r="P525" i="5"/>
  <c r="Q524" i="5"/>
  <c r="R524" i="5" s="1"/>
  <c r="P524" i="5"/>
  <c r="Q523" i="5"/>
  <c r="R523" i="5" s="1"/>
  <c r="P523" i="5"/>
  <c r="Q522" i="5"/>
  <c r="R522" i="5" s="1"/>
  <c r="P522" i="5"/>
  <c r="Q521" i="5"/>
  <c r="R521" i="5" s="1"/>
  <c r="P521" i="5"/>
  <c r="Q520" i="5"/>
  <c r="R520" i="5" s="1"/>
  <c r="P520" i="5"/>
  <c r="Q519" i="5"/>
  <c r="R519" i="5" s="1"/>
  <c r="P519" i="5"/>
  <c r="Q518" i="5"/>
  <c r="R518" i="5" s="1"/>
  <c r="P518" i="5"/>
  <c r="Q517" i="5"/>
  <c r="R517" i="5" s="1"/>
  <c r="P517" i="5"/>
  <c r="Q516" i="5"/>
  <c r="R516" i="5" s="1"/>
  <c r="P516" i="5"/>
  <c r="Q515" i="5"/>
  <c r="R515" i="5" s="1"/>
  <c r="P515" i="5"/>
  <c r="Q514" i="5"/>
  <c r="R514" i="5" s="1"/>
  <c r="P514" i="5"/>
  <c r="Q513" i="5"/>
  <c r="R513" i="5" s="1"/>
  <c r="P513" i="5"/>
  <c r="Q512" i="5"/>
  <c r="R512" i="5" s="1"/>
  <c r="P512" i="5"/>
  <c r="Q511" i="5"/>
  <c r="R511" i="5" s="1"/>
  <c r="P511" i="5"/>
  <c r="Q510" i="5"/>
  <c r="R510" i="5" s="1"/>
  <c r="P510" i="5"/>
  <c r="Q509" i="5"/>
  <c r="R509" i="5" s="1"/>
  <c r="P509" i="5"/>
  <c r="Q508" i="5"/>
  <c r="R508" i="5" s="1"/>
  <c r="P508" i="5"/>
  <c r="Q507" i="5"/>
  <c r="R507" i="5" s="1"/>
  <c r="P507" i="5"/>
  <c r="Q506" i="5"/>
  <c r="R506" i="5" s="1"/>
  <c r="P506" i="5"/>
  <c r="Q505" i="5"/>
  <c r="R505" i="5" s="1"/>
  <c r="P505" i="5"/>
  <c r="Q504" i="5"/>
  <c r="R504" i="5" s="1"/>
  <c r="P504" i="5"/>
  <c r="Q503" i="5"/>
  <c r="R503" i="5" s="1"/>
  <c r="P503" i="5"/>
  <c r="Q502" i="5"/>
  <c r="R502" i="5" s="1"/>
  <c r="P502" i="5"/>
  <c r="Q501" i="5"/>
  <c r="R501" i="5" s="1"/>
  <c r="P501" i="5"/>
  <c r="Q500" i="5"/>
  <c r="R500" i="5" s="1"/>
  <c r="P500" i="5"/>
  <c r="Q499" i="5"/>
  <c r="R499" i="5" s="1"/>
  <c r="P499" i="5"/>
  <c r="Q498" i="5"/>
  <c r="R498" i="5" s="1"/>
  <c r="P498" i="5"/>
  <c r="Q497" i="5"/>
  <c r="R497" i="5" s="1"/>
  <c r="P497" i="5"/>
  <c r="Q496" i="5"/>
  <c r="R496" i="5" s="1"/>
  <c r="P496" i="5"/>
  <c r="Q495" i="5"/>
  <c r="R495" i="5" s="1"/>
  <c r="P495" i="5"/>
  <c r="Q494" i="5"/>
  <c r="R494" i="5" s="1"/>
  <c r="P494" i="5"/>
  <c r="Q493" i="5"/>
  <c r="R493" i="5" s="1"/>
  <c r="P493" i="5"/>
  <c r="Q492" i="5"/>
  <c r="R492" i="5" s="1"/>
  <c r="P492" i="5"/>
  <c r="Q491" i="5"/>
  <c r="R491" i="5" s="1"/>
  <c r="P491" i="5"/>
  <c r="Q490" i="5"/>
  <c r="R490" i="5" s="1"/>
  <c r="P490" i="5"/>
  <c r="Q489" i="5"/>
  <c r="R489" i="5" s="1"/>
  <c r="P489" i="5"/>
  <c r="Q488" i="5"/>
  <c r="R488" i="5" s="1"/>
  <c r="P488" i="5"/>
  <c r="Q487" i="5"/>
  <c r="R487" i="5" s="1"/>
  <c r="P487" i="5"/>
  <c r="Q486" i="5"/>
  <c r="R486" i="5" s="1"/>
  <c r="P486" i="5"/>
  <c r="Q485" i="5"/>
  <c r="R485" i="5" s="1"/>
  <c r="P485" i="5"/>
  <c r="Q484" i="5"/>
  <c r="R484" i="5" s="1"/>
  <c r="P484" i="5"/>
  <c r="Q483" i="5"/>
  <c r="R483" i="5" s="1"/>
  <c r="P483" i="5"/>
  <c r="Q482" i="5"/>
  <c r="R482" i="5" s="1"/>
  <c r="P482" i="5"/>
  <c r="Q481" i="5"/>
  <c r="R481" i="5" s="1"/>
  <c r="P481" i="5"/>
  <c r="Q480" i="5"/>
  <c r="R480" i="5" s="1"/>
  <c r="P480" i="5"/>
  <c r="Q479" i="5"/>
  <c r="R479" i="5" s="1"/>
  <c r="P479" i="5"/>
  <c r="Q478" i="5"/>
  <c r="R478" i="5" s="1"/>
  <c r="P478" i="5"/>
  <c r="Q477" i="5"/>
  <c r="R477" i="5" s="1"/>
  <c r="P477" i="5"/>
  <c r="Q476" i="5"/>
  <c r="R476" i="5" s="1"/>
  <c r="P476" i="5"/>
  <c r="Q475" i="5"/>
  <c r="R475" i="5" s="1"/>
  <c r="P475" i="5"/>
  <c r="Q474" i="5"/>
  <c r="R474" i="5" s="1"/>
  <c r="P474" i="5"/>
  <c r="Q473" i="5"/>
  <c r="R473" i="5" s="1"/>
  <c r="P473" i="5"/>
  <c r="Q472" i="5"/>
  <c r="R472" i="5" s="1"/>
  <c r="P472" i="5"/>
  <c r="Q471" i="5"/>
  <c r="R471" i="5" s="1"/>
  <c r="P471" i="5"/>
  <c r="Q470" i="5"/>
  <c r="R470" i="5" s="1"/>
  <c r="P470" i="5"/>
  <c r="Q469" i="5"/>
  <c r="R469" i="5" s="1"/>
  <c r="P469" i="5"/>
  <c r="Q468" i="5"/>
  <c r="R468" i="5" s="1"/>
  <c r="P468" i="5"/>
  <c r="Q467" i="5"/>
  <c r="R467" i="5" s="1"/>
  <c r="P467" i="5"/>
  <c r="Q466" i="5"/>
  <c r="R466" i="5" s="1"/>
  <c r="P466" i="5"/>
  <c r="Q465" i="5"/>
  <c r="R465" i="5" s="1"/>
  <c r="P465" i="5"/>
  <c r="Q464" i="5"/>
  <c r="R464" i="5" s="1"/>
  <c r="P464" i="5"/>
  <c r="Q463" i="5"/>
  <c r="R463" i="5" s="1"/>
  <c r="P463" i="5"/>
  <c r="Q462" i="5"/>
  <c r="R462" i="5" s="1"/>
  <c r="P462" i="5"/>
  <c r="Q461" i="5"/>
  <c r="R461" i="5" s="1"/>
  <c r="P461" i="5"/>
  <c r="Q460" i="5"/>
  <c r="R460" i="5" s="1"/>
  <c r="P460" i="5"/>
  <c r="Q459" i="5"/>
  <c r="R459" i="5" s="1"/>
  <c r="P459" i="5"/>
  <c r="Q458" i="5"/>
  <c r="R458" i="5" s="1"/>
  <c r="P458" i="5"/>
  <c r="Q457" i="5"/>
  <c r="R457" i="5" s="1"/>
  <c r="P457" i="5"/>
  <c r="Q456" i="5"/>
  <c r="R456" i="5" s="1"/>
  <c r="P456" i="5"/>
  <c r="Q455" i="5"/>
  <c r="R455" i="5" s="1"/>
  <c r="P455" i="5"/>
  <c r="Q454" i="5"/>
  <c r="R454" i="5" s="1"/>
  <c r="P454" i="5"/>
  <c r="Q453" i="5"/>
  <c r="R453" i="5" s="1"/>
  <c r="P453" i="5"/>
  <c r="Q452" i="5"/>
  <c r="R452" i="5" s="1"/>
  <c r="P452" i="5"/>
  <c r="Q451" i="5"/>
  <c r="R451" i="5" s="1"/>
  <c r="P451" i="5"/>
  <c r="Q450" i="5"/>
  <c r="R450" i="5" s="1"/>
  <c r="P450" i="5"/>
  <c r="Q449" i="5"/>
  <c r="R449" i="5" s="1"/>
  <c r="P449" i="5"/>
  <c r="Q448" i="5"/>
  <c r="R448" i="5" s="1"/>
  <c r="P448" i="5"/>
  <c r="Q447" i="5"/>
  <c r="R447" i="5" s="1"/>
  <c r="P447" i="5"/>
  <c r="Q446" i="5"/>
  <c r="R446" i="5" s="1"/>
  <c r="P446" i="5"/>
  <c r="Q445" i="5"/>
  <c r="R445" i="5" s="1"/>
  <c r="P445" i="5"/>
  <c r="Q444" i="5"/>
  <c r="R444" i="5" s="1"/>
  <c r="P444" i="5"/>
  <c r="Q443" i="5"/>
  <c r="R443" i="5" s="1"/>
  <c r="P443" i="5"/>
  <c r="Q442" i="5"/>
  <c r="R442" i="5" s="1"/>
  <c r="P442" i="5"/>
  <c r="Q441" i="5"/>
  <c r="R441" i="5" s="1"/>
  <c r="P441" i="5"/>
  <c r="Q440" i="5"/>
  <c r="R440" i="5" s="1"/>
  <c r="P440" i="5"/>
  <c r="Q439" i="5"/>
  <c r="R439" i="5" s="1"/>
  <c r="P439" i="5"/>
  <c r="Q438" i="5"/>
  <c r="R438" i="5" s="1"/>
  <c r="P438" i="5"/>
  <c r="Q437" i="5"/>
  <c r="R437" i="5" s="1"/>
  <c r="P437" i="5"/>
  <c r="Q436" i="5"/>
  <c r="R436" i="5" s="1"/>
  <c r="P436" i="5"/>
  <c r="Q435" i="5"/>
  <c r="R435" i="5" s="1"/>
  <c r="P435" i="5"/>
  <c r="Q434" i="5"/>
  <c r="R434" i="5" s="1"/>
  <c r="P434" i="5"/>
  <c r="Q433" i="5"/>
  <c r="R433" i="5" s="1"/>
  <c r="P433" i="5"/>
  <c r="Q432" i="5"/>
  <c r="R432" i="5" s="1"/>
  <c r="P432" i="5"/>
  <c r="Q431" i="5"/>
  <c r="R431" i="5" s="1"/>
  <c r="P431" i="5"/>
  <c r="Q430" i="5"/>
  <c r="R430" i="5" s="1"/>
  <c r="P430" i="5"/>
  <c r="Q429" i="5"/>
  <c r="R429" i="5" s="1"/>
  <c r="P429" i="5"/>
  <c r="Q428" i="5"/>
  <c r="R428" i="5" s="1"/>
  <c r="P428" i="5"/>
  <c r="Q427" i="5"/>
  <c r="R427" i="5" s="1"/>
  <c r="P427" i="5"/>
  <c r="Q426" i="5"/>
  <c r="R426" i="5" s="1"/>
  <c r="P426" i="5"/>
  <c r="Q425" i="5"/>
  <c r="R425" i="5" s="1"/>
  <c r="P425" i="5"/>
  <c r="Q424" i="5"/>
  <c r="R424" i="5" s="1"/>
  <c r="P424" i="5"/>
  <c r="Q423" i="5"/>
  <c r="R423" i="5" s="1"/>
  <c r="P423" i="5"/>
  <c r="Q422" i="5"/>
  <c r="R422" i="5" s="1"/>
  <c r="P422" i="5"/>
  <c r="Q421" i="5"/>
  <c r="R421" i="5" s="1"/>
  <c r="P421" i="5"/>
  <c r="Q420" i="5"/>
  <c r="R420" i="5" s="1"/>
  <c r="P420" i="5"/>
  <c r="Q419" i="5"/>
  <c r="R419" i="5" s="1"/>
  <c r="P419" i="5"/>
  <c r="Q418" i="5"/>
  <c r="R418" i="5" s="1"/>
  <c r="P418" i="5"/>
  <c r="Q417" i="5"/>
  <c r="R417" i="5" s="1"/>
  <c r="P417" i="5"/>
  <c r="Q416" i="5"/>
  <c r="R416" i="5" s="1"/>
  <c r="P416" i="5"/>
  <c r="Q415" i="5"/>
  <c r="R415" i="5" s="1"/>
  <c r="P415" i="5"/>
  <c r="Q414" i="5"/>
  <c r="R414" i="5" s="1"/>
  <c r="P414" i="5"/>
  <c r="Q413" i="5"/>
  <c r="R413" i="5" s="1"/>
  <c r="P413" i="5"/>
  <c r="Q412" i="5"/>
  <c r="R412" i="5" s="1"/>
  <c r="P412" i="5"/>
  <c r="Q411" i="5"/>
  <c r="R411" i="5" s="1"/>
  <c r="P411" i="5"/>
  <c r="Q410" i="5"/>
  <c r="R410" i="5" s="1"/>
  <c r="P410" i="5"/>
  <c r="Q409" i="5"/>
  <c r="R409" i="5" s="1"/>
  <c r="P409" i="5"/>
  <c r="Q408" i="5"/>
  <c r="R408" i="5" s="1"/>
  <c r="P408" i="5"/>
  <c r="Q407" i="5"/>
  <c r="R407" i="5" s="1"/>
  <c r="P407" i="5"/>
  <c r="Q406" i="5"/>
  <c r="R406" i="5" s="1"/>
  <c r="P406" i="5"/>
  <c r="Q405" i="5"/>
  <c r="R405" i="5" s="1"/>
  <c r="P405" i="5"/>
  <c r="Q404" i="5"/>
  <c r="R404" i="5" s="1"/>
  <c r="P404" i="5"/>
  <c r="Q403" i="5"/>
  <c r="R403" i="5" s="1"/>
  <c r="P403" i="5"/>
  <c r="Q402" i="5"/>
  <c r="R402" i="5" s="1"/>
  <c r="P402" i="5"/>
  <c r="Q401" i="5"/>
  <c r="R401" i="5" s="1"/>
  <c r="P401" i="5"/>
  <c r="Q400" i="5"/>
  <c r="R400" i="5" s="1"/>
  <c r="P400" i="5"/>
  <c r="Q399" i="5"/>
  <c r="R399" i="5" s="1"/>
  <c r="P399" i="5"/>
  <c r="Q398" i="5"/>
  <c r="R398" i="5" s="1"/>
  <c r="P398" i="5"/>
  <c r="Q397" i="5"/>
  <c r="R397" i="5" s="1"/>
  <c r="P397" i="5"/>
  <c r="Q396" i="5"/>
  <c r="R396" i="5" s="1"/>
  <c r="P396" i="5"/>
  <c r="Q395" i="5"/>
  <c r="R395" i="5" s="1"/>
  <c r="P395" i="5"/>
  <c r="Q394" i="5"/>
  <c r="R394" i="5" s="1"/>
  <c r="P394" i="5"/>
  <c r="Q393" i="5"/>
  <c r="R393" i="5" s="1"/>
  <c r="P393" i="5"/>
  <c r="Q392" i="5"/>
  <c r="R392" i="5" s="1"/>
  <c r="P392" i="5"/>
  <c r="Q391" i="5"/>
  <c r="R391" i="5" s="1"/>
  <c r="P391" i="5"/>
  <c r="Q390" i="5"/>
  <c r="R390" i="5" s="1"/>
  <c r="P390" i="5"/>
  <c r="Q389" i="5"/>
  <c r="R389" i="5" s="1"/>
  <c r="P389" i="5"/>
  <c r="Q388" i="5"/>
  <c r="R388" i="5" s="1"/>
  <c r="P388" i="5"/>
  <c r="Q387" i="5"/>
  <c r="R387" i="5" s="1"/>
  <c r="P387" i="5"/>
  <c r="Q386" i="5"/>
  <c r="R386" i="5" s="1"/>
  <c r="P386" i="5"/>
  <c r="Q385" i="5"/>
  <c r="R385" i="5" s="1"/>
  <c r="P385" i="5"/>
  <c r="Q384" i="5"/>
  <c r="R384" i="5" s="1"/>
  <c r="P384" i="5"/>
  <c r="Q383" i="5"/>
  <c r="R383" i="5" s="1"/>
  <c r="P383" i="5"/>
  <c r="Q382" i="5"/>
  <c r="R382" i="5" s="1"/>
  <c r="P382" i="5"/>
  <c r="Q381" i="5"/>
  <c r="R381" i="5" s="1"/>
  <c r="P381" i="5"/>
  <c r="Q380" i="5"/>
  <c r="R380" i="5" s="1"/>
  <c r="P380" i="5"/>
  <c r="Q379" i="5"/>
  <c r="R379" i="5" s="1"/>
  <c r="P379" i="5"/>
  <c r="Q378" i="5"/>
  <c r="R378" i="5" s="1"/>
  <c r="P378" i="5"/>
  <c r="Q377" i="5"/>
  <c r="R377" i="5" s="1"/>
  <c r="P377" i="5"/>
  <c r="Q376" i="5"/>
  <c r="R376" i="5" s="1"/>
  <c r="P376" i="5"/>
  <c r="Q375" i="5"/>
  <c r="R375" i="5" s="1"/>
  <c r="P375" i="5"/>
  <c r="Q374" i="5"/>
  <c r="R374" i="5" s="1"/>
  <c r="P374" i="5"/>
  <c r="Q373" i="5"/>
  <c r="R373" i="5" s="1"/>
  <c r="P373" i="5"/>
  <c r="Q372" i="5"/>
  <c r="R372" i="5" s="1"/>
  <c r="P372" i="5"/>
  <c r="Q371" i="5"/>
  <c r="R371" i="5" s="1"/>
  <c r="P371" i="5"/>
  <c r="Q370" i="5"/>
  <c r="R370" i="5" s="1"/>
  <c r="P370" i="5"/>
  <c r="Q369" i="5"/>
  <c r="R369" i="5" s="1"/>
  <c r="P369" i="5"/>
  <c r="Q368" i="5"/>
  <c r="R368" i="5" s="1"/>
  <c r="P368" i="5"/>
  <c r="Q367" i="5"/>
  <c r="R367" i="5" s="1"/>
  <c r="P367" i="5"/>
  <c r="Q366" i="5"/>
  <c r="R366" i="5" s="1"/>
  <c r="P366" i="5"/>
  <c r="Q365" i="5"/>
  <c r="R365" i="5" s="1"/>
  <c r="P365" i="5"/>
  <c r="Q364" i="5"/>
  <c r="R364" i="5" s="1"/>
  <c r="P364" i="5"/>
  <c r="Q363" i="5"/>
  <c r="R363" i="5" s="1"/>
  <c r="P363" i="5"/>
  <c r="Q362" i="5"/>
  <c r="R362" i="5" s="1"/>
  <c r="P362" i="5"/>
  <c r="Q361" i="5"/>
  <c r="R361" i="5" s="1"/>
  <c r="P361" i="5"/>
  <c r="Q360" i="5"/>
  <c r="R360" i="5" s="1"/>
  <c r="P360" i="5"/>
  <c r="Q359" i="5"/>
  <c r="R359" i="5" s="1"/>
  <c r="P359" i="5"/>
  <c r="Q358" i="5"/>
  <c r="R358" i="5" s="1"/>
  <c r="P358" i="5"/>
  <c r="Q357" i="5"/>
  <c r="R357" i="5" s="1"/>
  <c r="P357" i="5"/>
  <c r="Q356" i="5"/>
  <c r="R356" i="5" s="1"/>
  <c r="P356" i="5"/>
  <c r="Q355" i="5"/>
  <c r="R355" i="5" s="1"/>
  <c r="P355" i="5"/>
  <c r="Q354" i="5"/>
  <c r="R354" i="5" s="1"/>
  <c r="P354" i="5"/>
  <c r="Q353" i="5"/>
  <c r="R353" i="5" s="1"/>
  <c r="P353" i="5"/>
  <c r="Q352" i="5"/>
  <c r="R352" i="5" s="1"/>
  <c r="P352" i="5"/>
  <c r="Q351" i="5"/>
  <c r="R351" i="5" s="1"/>
  <c r="P351" i="5"/>
  <c r="Q350" i="5"/>
  <c r="R350" i="5" s="1"/>
  <c r="P350" i="5"/>
  <c r="Q349" i="5"/>
  <c r="R349" i="5" s="1"/>
  <c r="P349" i="5"/>
  <c r="Q348" i="5"/>
  <c r="R348" i="5" s="1"/>
  <c r="P348" i="5"/>
  <c r="Q347" i="5"/>
  <c r="R347" i="5" s="1"/>
  <c r="P347" i="5"/>
  <c r="Q346" i="5"/>
  <c r="R346" i="5" s="1"/>
  <c r="P346" i="5"/>
  <c r="Q345" i="5"/>
  <c r="R345" i="5" s="1"/>
  <c r="P345" i="5"/>
  <c r="Q344" i="5"/>
  <c r="R344" i="5" s="1"/>
  <c r="P344" i="5"/>
  <c r="Q343" i="5"/>
  <c r="R343" i="5" s="1"/>
  <c r="P343" i="5"/>
  <c r="Q342" i="5"/>
  <c r="R342" i="5" s="1"/>
  <c r="P342" i="5"/>
  <c r="Q341" i="5"/>
  <c r="R341" i="5" s="1"/>
  <c r="P341" i="5"/>
  <c r="Q340" i="5"/>
  <c r="R340" i="5" s="1"/>
  <c r="P340" i="5"/>
  <c r="Q339" i="5"/>
  <c r="R339" i="5" s="1"/>
  <c r="P339" i="5"/>
  <c r="Q338" i="5"/>
  <c r="R338" i="5" s="1"/>
  <c r="P338" i="5"/>
  <c r="Q337" i="5"/>
  <c r="R337" i="5" s="1"/>
  <c r="P337" i="5"/>
  <c r="Q336" i="5"/>
  <c r="R336" i="5" s="1"/>
  <c r="P336" i="5"/>
  <c r="Q335" i="5"/>
  <c r="R335" i="5" s="1"/>
  <c r="P335" i="5"/>
  <c r="Q334" i="5"/>
  <c r="R334" i="5" s="1"/>
  <c r="P334" i="5"/>
  <c r="Q333" i="5"/>
  <c r="R333" i="5" s="1"/>
  <c r="P333" i="5"/>
  <c r="Q332" i="5"/>
  <c r="R332" i="5" s="1"/>
  <c r="P332" i="5"/>
  <c r="Q331" i="5"/>
  <c r="R331" i="5" s="1"/>
  <c r="P331" i="5"/>
  <c r="Q330" i="5"/>
  <c r="R330" i="5" s="1"/>
  <c r="P330" i="5"/>
  <c r="Q329" i="5"/>
  <c r="R329" i="5" s="1"/>
  <c r="P329" i="5"/>
  <c r="Q328" i="5"/>
  <c r="R328" i="5" s="1"/>
  <c r="P328" i="5"/>
  <c r="Q327" i="5"/>
  <c r="R327" i="5" s="1"/>
  <c r="P327" i="5"/>
  <c r="Q326" i="5"/>
  <c r="R326" i="5" s="1"/>
  <c r="P326" i="5"/>
  <c r="Q325" i="5"/>
  <c r="R325" i="5" s="1"/>
  <c r="P325" i="5"/>
  <c r="Q324" i="5"/>
  <c r="R324" i="5" s="1"/>
  <c r="P324" i="5"/>
  <c r="Q323" i="5"/>
  <c r="R323" i="5" s="1"/>
  <c r="P323" i="5"/>
  <c r="Q322" i="5"/>
  <c r="R322" i="5" s="1"/>
  <c r="P322" i="5"/>
  <c r="Q321" i="5"/>
  <c r="R321" i="5" s="1"/>
  <c r="P321" i="5"/>
  <c r="Q320" i="5"/>
  <c r="R320" i="5" s="1"/>
  <c r="P320" i="5"/>
  <c r="Q319" i="5"/>
  <c r="R319" i="5" s="1"/>
  <c r="P319" i="5"/>
  <c r="Q318" i="5"/>
  <c r="R318" i="5" s="1"/>
  <c r="P318" i="5"/>
  <c r="Q317" i="5"/>
  <c r="R317" i="5" s="1"/>
  <c r="P317" i="5"/>
  <c r="Q316" i="5"/>
  <c r="R316" i="5" s="1"/>
  <c r="P316" i="5"/>
  <c r="Q315" i="5"/>
  <c r="R315" i="5" s="1"/>
  <c r="P315" i="5"/>
  <c r="Q314" i="5"/>
  <c r="R314" i="5" s="1"/>
  <c r="P314" i="5"/>
  <c r="Q313" i="5"/>
  <c r="R313" i="5" s="1"/>
  <c r="P313" i="5"/>
  <c r="Q312" i="5"/>
  <c r="R312" i="5" s="1"/>
  <c r="P312" i="5"/>
  <c r="Q311" i="5"/>
  <c r="R311" i="5" s="1"/>
  <c r="P311" i="5"/>
  <c r="Q310" i="5"/>
  <c r="R310" i="5" s="1"/>
  <c r="P310" i="5"/>
  <c r="Q309" i="5"/>
  <c r="R309" i="5" s="1"/>
  <c r="P309" i="5"/>
  <c r="Q308" i="5"/>
  <c r="R308" i="5" s="1"/>
  <c r="P308" i="5"/>
  <c r="Q307" i="5"/>
  <c r="R307" i="5" s="1"/>
  <c r="P307" i="5"/>
  <c r="Q306" i="5"/>
  <c r="R306" i="5" s="1"/>
  <c r="P306" i="5"/>
  <c r="Q305" i="5"/>
  <c r="R305" i="5" s="1"/>
  <c r="P305" i="5"/>
  <c r="Q304" i="5"/>
  <c r="R304" i="5" s="1"/>
  <c r="U304" i="5" s="1"/>
  <c r="P304" i="5"/>
  <c r="Q303" i="5"/>
  <c r="R303" i="5" s="1"/>
  <c r="P303" i="5"/>
  <c r="Q302" i="5"/>
  <c r="R302" i="5" s="1"/>
  <c r="P302" i="5"/>
  <c r="Q301" i="5"/>
  <c r="R301" i="5" s="1"/>
  <c r="P301" i="5"/>
  <c r="Q300" i="5"/>
  <c r="R300" i="5" s="1"/>
  <c r="P300" i="5"/>
  <c r="Q299" i="5"/>
  <c r="R299" i="5" s="1"/>
  <c r="P299" i="5"/>
  <c r="Q298" i="5"/>
  <c r="R298" i="5" s="1"/>
  <c r="P298" i="5"/>
  <c r="Q297" i="5"/>
  <c r="R297" i="5" s="1"/>
  <c r="P297" i="5"/>
  <c r="Q296" i="5"/>
  <c r="R296" i="5" s="1"/>
  <c r="P296" i="5"/>
  <c r="Q295" i="5"/>
  <c r="R295" i="5" s="1"/>
  <c r="P295" i="5"/>
  <c r="Q294" i="5"/>
  <c r="R294" i="5" s="1"/>
  <c r="P294" i="5"/>
  <c r="Q293" i="5"/>
  <c r="R293" i="5" s="1"/>
  <c r="P293" i="5"/>
  <c r="Q292" i="5"/>
  <c r="R292" i="5" s="1"/>
  <c r="P292" i="5"/>
  <c r="Q291" i="5"/>
  <c r="R291" i="5" s="1"/>
  <c r="P291" i="5"/>
  <c r="Q290" i="5"/>
  <c r="R290" i="5" s="1"/>
  <c r="P290" i="5"/>
  <c r="Q289" i="5"/>
  <c r="R289" i="5" s="1"/>
  <c r="P289" i="5"/>
  <c r="Q288" i="5"/>
  <c r="R288" i="5" s="1"/>
  <c r="P288" i="5"/>
  <c r="Q287" i="5"/>
  <c r="R287" i="5" s="1"/>
  <c r="P287" i="5"/>
  <c r="Q286" i="5"/>
  <c r="R286" i="5" s="1"/>
  <c r="P286" i="5"/>
  <c r="Q285" i="5"/>
  <c r="R285" i="5" s="1"/>
  <c r="P285" i="5"/>
  <c r="Q284" i="5"/>
  <c r="R284" i="5" s="1"/>
  <c r="P284" i="5"/>
  <c r="Q283" i="5"/>
  <c r="R283" i="5" s="1"/>
  <c r="P283" i="5"/>
  <c r="Q282" i="5"/>
  <c r="R282" i="5" s="1"/>
  <c r="P282" i="5"/>
  <c r="Q281" i="5"/>
  <c r="R281" i="5" s="1"/>
  <c r="P281" i="5"/>
  <c r="Q280" i="5"/>
  <c r="R280" i="5" s="1"/>
  <c r="P280" i="5"/>
  <c r="Q279" i="5"/>
  <c r="R279" i="5" s="1"/>
  <c r="P279" i="5"/>
  <c r="Q278" i="5"/>
  <c r="R278" i="5" s="1"/>
  <c r="P278" i="5"/>
  <c r="Q277" i="5"/>
  <c r="R277" i="5" s="1"/>
  <c r="P277" i="5"/>
  <c r="Q276" i="5"/>
  <c r="R276" i="5" s="1"/>
  <c r="P276" i="5"/>
  <c r="Q275" i="5"/>
  <c r="R275" i="5" s="1"/>
  <c r="P275" i="5"/>
  <c r="Q274" i="5"/>
  <c r="R274" i="5" s="1"/>
  <c r="P274" i="5"/>
  <c r="Q273" i="5"/>
  <c r="R273" i="5" s="1"/>
  <c r="P273" i="5"/>
  <c r="Q272" i="5"/>
  <c r="R272" i="5" s="1"/>
  <c r="P272" i="5"/>
  <c r="Q271" i="5"/>
  <c r="R271" i="5" s="1"/>
  <c r="P271" i="5"/>
  <c r="Q270" i="5"/>
  <c r="R270" i="5" s="1"/>
  <c r="P270" i="5"/>
  <c r="Q269" i="5"/>
  <c r="R269" i="5" s="1"/>
  <c r="P269" i="5"/>
  <c r="Q268" i="5"/>
  <c r="R268" i="5" s="1"/>
  <c r="P268" i="5"/>
  <c r="Q267" i="5"/>
  <c r="R267" i="5" s="1"/>
  <c r="P267" i="5"/>
  <c r="Q266" i="5"/>
  <c r="R266" i="5" s="1"/>
  <c r="P266" i="5"/>
  <c r="Q265" i="5"/>
  <c r="R265" i="5" s="1"/>
  <c r="P265" i="5"/>
  <c r="Q264" i="5"/>
  <c r="R264" i="5" s="1"/>
  <c r="P264" i="5"/>
  <c r="Q263" i="5"/>
  <c r="R263" i="5" s="1"/>
  <c r="P263" i="5"/>
  <c r="Q262" i="5"/>
  <c r="R262" i="5" s="1"/>
  <c r="P262" i="5"/>
  <c r="Q261" i="5"/>
  <c r="R261" i="5" s="1"/>
  <c r="P261" i="5"/>
  <c r="Q260" i="5"/>
  <c r="R260" i="5" s="1"/>
  <c r="P260" i="5"/>
  <c r="Q259" i="5"/>
  <c r="R259" i="5" s="1"/>
  <c r="P259" i="5"/>
  <c r="Q258" i="5"/>
  <c r="R258" i="5" s="1"/>
  <c r="P258" i="5"/>
  <c r="Q257" i="5"/>
  <c r="R257" i="5" s="1"/>
  <c r="P257" i="5"/>
  <c r="Q256" i="5"/>
  <c r="R256" i="5" s="1"/>
  <c r="P256" i="5"/>
  <c r="Q255" i="5"/>
  <c r="R255" i="5" s="1"/>
  <c r="P255" i="5"/>
  <c r="Q254" i="5"/>
  <c r="R254" i="5" s="1"/>
  <c r="P254" i="5"/>
  <c r="Q253" i="5"/>
  <c r="R253" i="5" s="1"/>
  <c r="P253" i="5"/>
  <c r="Q252" i="5"/>
  <c r="R252" i="5" s="1"/>
  <c r="P252" i="5"/>
  <c r="Q251" i="5"/>
  <c r="R251" i="5" s="1"/>
  <c r="P251" i="5"/>
  <c r="Q250" i="5"/>
  <c r="R250" i="5" s="1"/>
  <c r="P250" i="5"/>
  <c r="Q249" i="5"/>
  <c r="R249" i="5" s="1"/>
  <c r="P249" i="5"/>
  <c r="Q248" i="5"/>
  <c r="R248" i="5" s="1"/>
  <c r="P248" i="5"/>
  <c r="Q247" i="5"/>
  <c r="R247" i="5" s="1"/>
  <c r="P247" i="5"/>
  <c r="Q246" i="5"/>
  <c r="R246" i="5" s="1"/>
  <c r="P246" i="5"/>
  <c r="Q245" i="5"/>
  <c r="R245" i="5" s="1"/>
  <c r="P245" i="5"/>
  <c r="Q244" i="5"/>
  <c r="R244" i="5" s="1"/>
  <c r="P244" i="5"/>
  <c r="Q243" i="5"/>
  <c r="R243" i="5" s="1"/>
  <c r="P243" i="5"/>
  <c r="Q242" i="5"/>
  <c r="R242" i="5" s="1"/>
  <c r="P242" i="5"/>
  <c r="Q241" i="5"/>
  <c r="R241" i="5" s="1"/>
  <c r="P241" i="5"/>
  <c r="Q240" i="5"/>
  <c r="R240" i="5" s="1"/>
  <c r="P240" i="5"/>
  <c r="Q239" i="5"/>
  <c r="R239" i="5" s="1"/>
  <c r="P239" i="5"/>
  <c r="Q238" i="5"/>
  <c r="R238" i="5" s="1"/>
  <c r="P238" i="5"/>
  <c r="Q237" i="5"/>
  <c r="R237" i="5" s="1"/>
  <c r="P237" i="5"/>
  <c r="Q236" i="5"/>
  <c r="R236" i="5" s="1"/>
  <c r="P236" i="5"/>
  <c r="Q235" i="5"/>
  <c r="R235" i="5" s="1"/>
  <c r="P235" i="5"/>
  <c r="Q234" i="5"/>
  <c r="R234" i="5" s="1"/>
  <c r="P234" i="5"/>
  <c r="Q233" i="5"/>
  <c r="R233" i="5" s="1"/>
  <c r="P233" i="5"/>
  <c r="Q232" i="5"/>
  <c r="R232" i="5" s="1"/>
  <c r="P232" i="5"/>
  <c r="Q231" i="5"/>
  <c r="R231" i="5" s="1"/>
  <c r="P231" i="5"/>
  <c r="Q230" i="5"/>
  <c r="R230" i="5" s="1"/>
  <c r="P230" i="5"/>
  <c r="Q229" i="5"/>
  <c r="R229" i="5" s="1"/>
  <c r="P229" i="5"/>
  <c r="Q228" i="5"/>
  <c r="R228" i="5" s="1"/>
  <c r="P228" i="5"/>
  <c r="Q227" i="5"/>
  <c r="R227" i="5" s="1"/>
  <c r="P227" i="5"/>
  <c r="Q226" i="5"/>
  <c r="R226" i="5" s="1"/>
  <c r="P226" i="5"/>
  <c r="Q225" i="5"/>
  <c r="R225" i="5" s="1"/>
  <c r="P225" i="5"/>
  <c r="Q224" i="5"/>
  <c r="R224" i="5" s="1"/>
  <c r="P224" i="5"/>
  <c r="Q223" i="5"/>
  <c r="R223" i="5" s="1"/>
  <c r="P223" i="5"/>
  <c r="Q222" i="5"/>
  <c r="R222" i="5" s="1"/>
  <c r="P222" i="5"/>
  <c r="Q221" i="5"/>
  <c r="R221" i="5" s="1"/>
  <c r="P221" i="5"/>
  <c r="Q220" i="5"/>
  <c r="R220" i="5" s="1"/>
  <c r="P220" i="5"/>
  <c r="Q219" i="5"/>
  <c r="R219" i="5" s="1"/>
  <c r="P219" i="5"/>
  <c r="Q218" i="5"/>
  <c r="R218" i="5" s="1"/>
  <c r="P218" i="5"/>
  <c r="Q217" i="5"/>
  <c r="R217" i="5" s="1"/>
  <c r="P217" i="5"/>
  <c r="Q216" i="5"/>
  <c r="R216" i="5" s="1"/>
  <c r="P216" i="5"/>
  <c r="Q215" i="5"/>
  <c r="R215" i="5" s="1"/>
  <c r="P215" i="5"/>
  <c r="Q214" i="5"/>
  <c r="R214" i="5" s="1"/>
  <c r="P214" i="5"/>
  <c r="Q213" i="5"/>
  <c r="R213" i="5" s="1"/>
  <c r="P213" i="5"/>
  <c r="Q212" i="5"/>
  <c r="R212" i="5" s="1"/>
  <c r="P212" i="5"/>
  <c r="Q211" i="5"/>
  <c r="R211" i="5" s="1"/>
  <c r="P211" i="5"/>
  <c r="Q210" i="5"/>
  <c r="R210" i="5" s="1"/>
  <c r="P210" i="5"/>
  <c r="Q209" i="5"/>
  <c r="R209" i="5" s="1"/>
  <c r="P209" i="5"/>
  <c r="Q208" i="5"/>
  <c r="R208" i="5" s="1"/>
  <c r="P208" i="5"/>
  <c r="Q207" i="5"/>
  <c r="R207" i="5" s="1"/>
  <c r="P207" i="5"/>
  <c r="Q206" i="5"/>
  <c r="R206" i="5" s="1"/>
  <c r="P206" i="5"/>
  <c r="Q205" i="5"/>
  <c r="R205" i="5" s="1"/>
  <c r="P205" i="5"/>
  <c r="Q204" i="5"/>
  <c r="R204" i="5" s="1"/>
  <c r="P204" i="5"/>
  <c r="Q203" i="5"/>
  <c r="R203" i="5" s="1"/>
  <c r="P203" i="5"/>
  <c r="Q202" i="5"/>
  <c r="R202" i="5" s="1"/>
  <c r="P202" i="5"/>
  <c r="Q201" i="5"/>
  <c r="R201" i="5" s="1"/>
  <c r="P201" i="5"/>
  <c r="Q200" i="5"/>
  <c r="R200" i="5" s="1"/>
  <c r="P200" i="5"/>
  <c r="Q199" i="5"/>
  <c r="R199" i="5" s="1"/>
  <c r="P199" i="5"/>
  <c r="Q198" i="5"/>
  <c r="R198" i="5" s="1"/>
  <c r="P198" i="5"/>
  <c r="Q197" i="5"/>
  <c r="R197" i="5" s="1"/>
  <c r="P197" i="5"/>
  <c r="Q196" i="5"/>
  <c r="R196" i="5" s="1"/>
  <c r="P196" i="5"/>
  <c r="Q195" i="5"/>
  <c r="R195" i="5" s="1"/>
  <c r="P195" i="5"/>
  <c r="Q194" i="5"/>
  <c r="R194" i="5" s="1"/>
  <c r="P194" i="5"/>
  <c r="Q193" i="5"/>
  <c r="R193" i="5" s="1"/>
  <c r="P193" i="5"/>
  <c r="Q192" i="5"/>
  <c r="R192" i="5" s="1"/>
  <c r="P192" i="5"/>
  <c r="Q191" i="5"/>
  <c r="R191" i="5" s="1"/>
  <c r="P191" i="5"/>
  <c r="Q190" i="5"/>
  <c r="R190" i="5" s="1"/>
  <c r="P190" i="5"/>
  <c r="Q189" i="5"/>
  <c r="R189" i="5" s="1"/>
  <c r="P189" i="5"/>
  <c r="Q188" i="5"/>
  <c r="R188" i="5" s="1"/>
  <c r="P188" i="5"/>
  <c r="Q187" i="5"/>
  <c r="R187" i="5" s="1"/>
  <c r="P187" i="5"/>
  <c r="Q186" i="5"/>
  <c r="R186" i="5" s="1"/>
  <c r="P186" i="5"/>
  <c r="Q185" i="5"/>
  <c r="R185" i="5" s="1"/>
  <c r="P185" i="5"/>
  <c r="Q184" i="5"/>
  <c r="R184" i="5" s="1"/>
  <c r="P184" i="5"/>
  <c r="Q183" i="5"/>
  <c r="R183" i="5" s="1"/>
  <c r="P183" i="5"/>
  <c r="Q182" i="5"/>
  <c r="R182" i="5" s="1"/>
  <c r="P182" i="5"/>
  <c r="Q181" i="5"/>
  <c r="R181" i="5" s="1"/>
  <c r="P181" i="5"/>
  <c r="Q180" i="5"/>
  <c r="R180" i="5" s="1"/>
  <c r="P180" i="5"/>
  <c r="Q179" i="5"/>
  <c r="R179" i="5" s="1"/>
  <c r="P179" i="5"/>
  <c r="Q178" i="5"/>
  <c r="R178" i="5" s="1"/>
  <c r="P178" i="5"/>
  <c r="Q177" i="5"/>
  <c r="R177" i="5" s="1"/>
  <c r="P177" i="5"/>
  <c r="Q176" i="5"/>
  <c r="R176" i="5" s="1"/>
  <c r="P176" i="5"/>
  <c r="Q175" i="5"/>
  <c r="R175" i="5" s="1"/>
  <c r="P175" i="5"/>
  <c r="Q174" i="5"/>
  <c r="R174" i="5" s="1"/>
  <c r="P174" i="5"/>
  <c r="Q173" i="5"/>
  <c r="R173" i="5" s="1"/>
  <c r="P173" i="5"/>
  <c r="Q172" i="5"/>
  <c r="R172" i="5" s="1"/>
  <c r="P172" i="5"/>
  <c r="Q171" i="5"/>
  <c r="R171" i="5" s="1"/>
  <c r="P171" i="5"/>
  <c r="Q170" i="5"/>
  <c r="R170" i="5" s="1"/>
  <c r="P170" i="5"/>
  <c r="Q169" i="5"/>
  <c r="R169" i="5" s="1"/>
  <c r="P169" i="5"/>
  <c r="Q168" i="5"/>
  <c r="R168" i="5" s="1"/>
  <c r="P168" i="5"/>
  <c r="Q167" i="5"/>
  <c r="R167" i="5" s="1"/>
  <c r="P167" i="5"/>
  <c r="Q166" i="5"/>
  <c r="R166" i="5" s="1"/>
  <c r="P166" i="5"/>
  <c r="Q165" i="5"/>
  <c r="R165" i="5" s="1"/>
  <c r="P165" i="5"/>
  <c r="Q164" i="5"/>
  <c r="R164" i="5" s="1"/>
  <c r="P164" i="5"/>
  <c r="Q163" i="5"/>
  <c r="R163" i="5" s="1"/>
  <c r="P163" i="5"/>
  <c r="Q162" i="5"/>
  <c r="R162" i="5" s="1"/>
  <c r="P162" i="5"/>
  <c r="Q161" i="5"/>
  <c r="R161" i="5" s="1"/>
  <c r="P161" i="5"/>
  <c r="Q160" i="5"/>
  <c r="R160" i="5" s="1"/>
  <c r="P160" i="5"/>
  <c r="Q159" i="5"/>
  <c r="R159" i="5" s="1"/>
  <c r="P159" i="5"/>
  <c r="Q158" i="5"/>
  <c r="R158" i="5" s="1"/>
  <c r="P158" i="5"/>
  <c r="Q157" i="5"/>
  <c r="R157" i="5" s="1"/>
  <c r="P157" i="5"/>
  <c r="Q156" i="5"/>
  <c r="R156" i="5" s="1"/>
  <c r="P156" i="5"/>
  <c r="Q155" i="5"/>
  <c r="R155" i="5" s="1"/>
  <c r="P155" i="5"/>
  <c r="Q154" i="5"/>
  <c r="R154" i="5" s="1"/>
  <c r="P154" i="5"/>
  <c r="Q153" i="5"/>
  <c r="R153" i="5" s="1"/>
  <c r="P153" i="5"/>
  <c r="Q152" i="5"/>
  <c r="R152" i="5" s="1"/>
  <c r="P152" i="5"/>
  <c r="Q151" i="5"/>
  <c r="R151" i="5" s="1"/>
  <c r="P151" i="5"/>
  <c r="Q150" i="5"/>
  <c r="R150" i="5" s="1"/>
  <c r="P150" i="5"/>
  <c r="Q149" i="5"/>
  <c r="R149" i="5" s="1"/>
  <c r="P149" i="5"/>
  <c r="Q148" i="5"/>
  <c r="R148" i="5" s="1"/>
  <c r="P148" i="5"/>
  <c r="Q147" i="5"/>
  <c r="R147" i="5" s="1"/>
  <c r="P147" i="5"/>
  <c r="Q146" i="5"/>
  <c r="R146" i="5" s="1"/>
  <c r="P146" i="5"/>
  <c r="Q145" i="5"/>
  <c r="R145" i="5" s="1"/>
  <c r="P145" i="5"/>
  <c r="Q144" i="5"/>
  <c r="R144" i="5" s="1"/>
  <c r="P144" i="5"/>
  <c r="Q143" i="5"/>
  <c r="R143" i="5" s="1"/>
  <c r="P143" i="5"/>
  <c r="Q142" i="5"/>
  <c r="R142" i="5" s="1"/>
  <c r="P142" i="5"/>
  <c r="Q141" i="5"/>
  <c r="R141" i="5" s="1"/>
  <c r="P141" i="5"/>
  <c r="Q140" i="5"/>
  <c r="R140" i="5" s="1"/>
  <c r="P140" i="5"/>
  <c r="Q139" i="5"/>
  <c r="R139" i="5" s="1"/>
  <c r="P139" i="5"/>
  <c r="Q138" i="5"/>
  <c r="R138" i="5" s="1"/>
  <c r="P138" i="5"/>
  <c r="Q137" i="5"/>
  <c r="R137" i="5" s="1"/>
  <c r="P137" i="5"/>
  <c r="Q136" i="5"/>
  <c r="R136" i="5" s="1"/>
  <c r="P136" i="5"/>
  <c r="Q135" i="5"/>
  <c r="R135" i="5" s="1"/>
  <c r="P135" i="5"/>
  <c r="Q134" i="5"/>
  <c r="R134" i="5" s="1"/>
  <c r="P134" i="5"/>
  <c r="Q133" i="5"/>
  <c r="R133" i="5" s="1"/>
  <c r="U133" i="5" s="1"/>
  <c r="P133" i="5"/>
  <c r="Q132" i="5"/>
  <c r="R132" i="5" s="1"/>
  <c r="P132" i="5"/>
  <c r="Q131" i="5"/>
  <c r="R131" i="5" s="1"/>
  <c r="P131" i="5"/>
  <c r="Q130" i="5"/>
  <c r="R130" i="5" s="1"/>
  <c r="P130" i="5"/>
  <c r="Q129" i="5"/>
  <c r="R129" i="5" s="1"/>
  <c r="P129" i="5"/>
  <c r="Q128" i="5"/>
  <c r="R128" i="5" s="1"/>
  <c r="P128" i="5"/>
  <c r="Q127" i="5"/>
  <c r="R127" i="5" s="1"/>
  <c r="P127" i="5"/>
  <c r="Q126" i="5"/>
  <c r="R126" i="5" s="1"/>
  <c r="P126" i="5"/>
  <c r="Q125" i="5"/>
  <c r="R125" i="5" s="1"/>
  <c r="P125" i="5"/>
  <c r="Q124" i="5"/>
  <c r="R124" i="5" s="1"/>
  <c r="P124" i="5"/>
  <c r="Q123" i="5"/>
  <c r="R123" i="5" s="1"/>
  <c r="P123" i="5"/>
  <c r="Q122" i="5"/>
  <c r="R122" i="5" s="1"/>
  <c r="P122" i="5"/>
  <c r="Q121" i="5"/>
  <c r="R121" i="5" s="1"/>
  <c r="P121" i="5"/>
  <c r="Q120" i="5"/>
  <c r="R120" i="5" s="1"/>
  <c r="P120" i="5"/>
  <c r="Q119" i="5"/>
  <c r="R119" i="5" s="1"/>
  <c r="P119" i="5"/>
  <c r="Q118" i="5"/>
  <c r="R118" i="5" s="1"/>
  <c r="P118" i="5"/>
  <c r="Q117" i="5"/>
  <c r="R117" i="5" s="1"/>
  <c r="P117" i="5"/>
  <c r="Q116" i="5"/>
  <c r="R116" i="5" s="1"/>
  <c r="P116" i="5"/>
  <c r="Q115" i="5"/>
  <c r="R115" i="5" s="1"/>
  <c r="P115" i="5"/>
  <c r="Q114" i="5"/>
  <c r="R114" i="5" s="1"/>
  <c r="P114" i="5"/>
  <c r="Q113" i="5"/>
  <c r="R113" i="5" s="1"/>
  <c r="P113" i="5"/>
  <c r="Q112" i="5"/>
  <c r="R112" i="5" s="1"/>
  <c r="P112" i="5"/>
  <c r="Q111" i="5"/>
  <c r="R111" i="5" s="1"/>
  <c r="P111" i="5"/>
  <c r="Q110" i="5"/>
  <c r="R110" i="5" s="1"/>
  <c r="P110" i="5"/>
  <c r="Q109" i="5"/>
  <c r="R109" i="5" s="1"/>
  <c r="P109" i="5"/>
  <c r="Q108" i="5"/>
  <c r="R108" i="5" s="1"/>
  <c r="P108" i="5"/>
  <c r="Q107" i="5"/>
  <c r="R107" i="5" s="1"/>
  <c r="P107" i="5"/>
  <c r="Q106" i="5"/>
  <c r="R106" i="5" s="1"/>
  <c r="P106" i="5"/>
  <c r="Q105" i="5"/>
  <c r="R105" i="5" s="1"/>
  <c r="P105" i="5"/>
  <c r="Q104" i="5"/>
  <c r="R104" i="5" s="1"/>
  <c r="P104" i="5"/>
  <c r="Q103" i="5"/>
  <c r="R103" i="5" s="1"/>
  <c r="P103" i="5"/>
  <c r="Q102" i="5"/>
  <c r="R102" i="5" s="1"/>
  <c r="P102" i="5"/>
  <c r="Q101" i="5"/>
  <c r="R101" i="5" s="1"/>
  <c r="P101" i="5"/>
  <c r="Q100" i="5"/>
  <c r="R100" i="5" s="1"/>
  <c r="P100" i="5"/>
  <c r="Q99" i="5"/>
  <c r="R99" i="5" s="1"/>
  <c r="P99" i="5"/>
  <c r="Q98" i="5"/>
  <c r="R98" i="5" s="1"/>
  <c r="P98" i="5"/>
  <c r="Q97" i="5"/>
  <c r="R97" i="5" s="1"/>
  <c r="P97" i="5"/>
  <c r="Q96" i="5"/>
  <c r="R96" i="5" s="1"/>
  <c r="P96" i="5"/>
  <c r="Q95" i="5"/>
  <c r="R95" i="5" s="1"/>
  <c r="P95" i="5"/>
  <c r="Q94" i="5"/>
  <c r="R94" i="5" s="1"/>
  <c r="P94" i="5"/>
  <c r="Q93" i="5"/>
  <c r="R93" i="5" s="1"/>
  <c r="P93" i="5"/>
  <c r="Q92" i="5"/>
  <c r="R92" i="5" s="1"/>
  <c r="P92" i="5"/>
  <c r="Q91" i="5"/>
  <c r="R91" i="5" s="1"/>
  <c r="P91" i="5"/>
  <c r="Q90" i="5"/>
  <c r="R90" i="5" s="1"/>
  <c r="P90" i="5"/>
  <c r="Q89" i="5"/>
  <c r="R89" i="5" s="1"/>
  <c r="U89" i="5" s="1"/>
  <c r="P89" i="5"/>
  <c r="Q88" i="5"/>
  <c r="R88" i="5" s="1"/>
  <c r="P88" i="5"/>
  <c r="Q87" i="5"/>
  <c r="R87" i="5" s="1"/>
  <c r="P87" i="5"/>
  <c r="Q86" i="5"/>
  <c r="R86" i="5" s="1"/>
  <c r="P86" i="5"/>
  <c r="Q85" i="5"/>
  <c r="R85" i="5" s="1"/>
  <c r="P85" i="5"/>
  <c r="Q84" i="5"/>
  <c r="R84" i="5" s="1"/>
  <c r="P84" i="5"/>
  <c r="Q83" i="5"/>
  <c r="R83" i="5" s="1"/>
  <c r="P83" i="5"/>
  <c r="Q82" i="5"/>
  <c r="R82" i="5" s="1"/>
  <c r="P82" i="5"/>
  <c r="Q81" i="5"/>
  <c r="R81" i="5" s="1"/>
  <c r="P81" i="5"/>
  <c r="Q80" i="5"/>
  <c r="R80" i="5" s="1"/>
  <c r="P80" i="5"/>
  <c r="Q79" i="5"/>
  <c r="R79" i="5" s="1"/>
  <c r="P79" i="5"/>
  <c r="Q78" i="5"/>
  <c r="R78" i="5" s="1"/>
  <c r="P78" i="5"/>
  <c r="Q77" i="5"/>
  <c r="R77" i="5" s="1"/>
  <c r="P77" i="5"/>
  <c r="Q76" i="5"/>
  <c r="R76" i="5" s="1"/>
  <c r="P76" i="5"/>
  <c r="Q75" i="5"/>
  <c r="R75" i="5" s="1"/>
  <c r="P75" i="5"/>
  <c r="Q74" i="5"/>
  <c r="R74" i="5" s="1"/>
  <c r="P74" i="5"/>
  <c r="Q73" i="5"/>
  <c r="R73" i="5" s="1"/>
  <c r="P73" i="5"/>
  <c r="Q72" i="5"/>
  <c r="R72" i="5" s="1"/>
  <c r="P72" i="5"/>
  <c r="Q71" i="5"/>
  <c r="R71" i="5" s="1"/>
  <c r="P71" i="5"/>
  <c r="Q70" i="5"/>
  <c r="R70" i="5" s="1"/>
  <c r="P70" i="5"/>
  <c r="Q69" i="5"/>
  <c r="R69" i="5" s="1"/>
  <c r="P69" i="5"/>
  <c r="Q68" i="5"/>
  <c r="R68" i="5" s="1"/>
  <c r="P68" i="5"/>
  <c r="Q67" i="5"/>
  <c r="R67" i="5" s="1"/>
  <c r="P67" i="5"/>
  <c r="Q66" i="5"/>
  <c r="R66" i="5" s="1"/>
  <c r="P66" i="5"/>
  <c r="Q65" i="5"/>
  <c r="R65" i="5" s="1"/>
  <c r="P65" i="5"/>
  <c r="Q64" i="5"/>
  <c r="R64" i="5" s="1"/>
  <c r="P64" i="5"/>
  <c r="Q63" i="5"/>
  <c r="R63" i="5" s="1"/>
  <c r="P63" i="5"/>
  <c r="Q62" i="5"/>
  <c r="R62" i="5" s="1"/>
  <c r="P62" i="5"/>
  <c r="Q61" i="5"/>
  <c r="R61" i="5" s="1"/>
  <c r="P61" i="5"/>
  <c r="Q60" i="5"/>
  <c r="R60" i="5" s="1"/>
  <c r="P60" i="5"/>
  <c r="Q59" i="5"/>
  <c r="R59" i="5" s="1"/>
  <c r="P59" i="5"/>
  <c r="Q58" i="5"/>
  <c r="R58" i="5" s="1"/>
  <c r="P58" i="5"/>
  <c r="Q57" i="5"/>
  <c r="R57" i="5" s="1"/>
  <c r="P57" i="5"/>
  <c r="Q56" i="5"/>
  <c r="R56" i="5" s="1"/>
  <c r="P56" i="5"/>
  <c r="Q55" i="5"/>
  <c r="R55" i="5" s="1"/>
  <c r="P55" i="5"/>
  <c r="Q54" i="5"/>
  <c r="R54" i="5" s="1"/>
  <c r="P54" i="5"/>
  <c r="Q53" i="5"/>
  <c r="R53" i="5" s="1"/>
  <c r="P53" i="5"/>
  <c r="Q52" i="5"/>
  <c r="R52" i="5" s="1"/>
  <c r="P52" i="5"/>
  <c r="Q51" i="5"/>
  <c r="R51" i="5" s="1"/>
  <c r="P51" i="5"/>
  <c r="Q50" i="5"/>
  <c r="R50" i="5" s="1"/>
  <c r="P50" i="5"/>
  <c r="Q49" i="5"/>
  <c r="R49" i="5" s="1"/>
  <c r="P49" i="5"/>
  <c r="Q48" i="5"/>
  <c r="R48" i="5" s="1"/>
  <c r="U48" i="5" s="1"/>
  <c r="P48" i="5"/>
  <c r="Q47" i="5"/>
  <c r="R47" i="5" s="1"/>
  <c r="P47" i="5"/>
  <c r="Q46" i="5"/>
  <c r="R46" i="5" s="1"/>
  <c r="P46" i="5"/>
  <c r="Q45" i="5"/>
  <c r="R45" i="5" s="1"/>
  <c r="P45" i="5"/>
  <c r="Q44" i="5"/>
  <c r="R44" i="5" s="1"/>
  <c r="P44" i="5"/>
  <c r="Q43" i="5"/>
  <c r="R43" i="5" s="1"/>
  <c r="P43" i="5"/>
  <c r="Q42" i="5"/>
  <c r="R42" i="5" s="1"/>
  <c r="P42" i="5"/>
  <c r="Q41" i="5"/>
  <c r="R41" i="5" s="1"/>
  <c r="P41" i="5"/>
  <c r="Q40" i="5"/>
  <c r="R40" i="5" s="1"/>
  <c r="P40" i="5"/>
  <c r="Q39" i="5"/>
  <c r="R39" i="5" s="1"/>
  <c r="P39" i="5"/>
  <c r="Q38" i="5"/>
  <c r="R38" i="5" s="1"/>
  <c r="P38" i="5"/>
  <c r="Q37" i="5"/>
  <c r="R37" i="5" s="1"/>
  <c r="P37" i="5"/>
  <c r="Q36" i="5"/>
  <c r="R36" i="5" s="1"/>
  <c r="P36" i="5"/>
  <c r="Q35" i="5"/>
  <c r="R35" i="5" s="1"/>
  <c r="P35" i="5"/>
  <c r="Q34" i="5"/>
  <c r="R34" i="5" s="1"/>
  <c r="P34" i="5"/>
  <c r="Q33" i="5"/>
  <c r="R33" i="5" s="1"/>
  <c r="P33" i="5"/>
  <c r="Q32" i="5"/>
  <c r="R32" i="5" s="1"/>
  <c r="P32" i="5"/>
  <c r="Q31" i="5"/>
  <c r="R31" i="5" s="1"/>
  <c r="P31" i="5"/>
  <c r="Q30" i="5"/>
  <c r="R30" i="5" s="1"/>
  <c r="P30" i="5"/>
  <c r="Q29" i="5"/>
  <c r="R29" i="5" s="1"/>
  <c r="P29" i="5"/>
  <c r="Q28" i="5"/>
  <c r="R28" i="5" s="1"/>
  <c r="P28" i="5"/>
  <c r="Q27" i="5"/>
  <c r="R27" i="5" s="1"/>
  <c r="P27" i="5"/>
  <c r="Q26" i="5"/>
  <c r="R26" i="5" s="1"/>
  <c r="P26" i="5"/>
  <c r="Q25" i="5"/>
  <c r="R25" i="5" s="1"/>
  <c r="P25" i="5"/>
  <c r="Q24" i="5"/>
  <c r="R24" i="5" s="1"/>
  <c r="P24" i="5"/>
  <c r="Q23" i="5"/>
  <c r="R23" i="5" s="1"/>
  <c r="P23" i="5"/>
  <c r="Q22" i="5"/>
  <c r="R22" i="5" s="1"/>
  <c r="P22" i="5"/>
  <c r="Q21" i="5"/>
  <c r="R21" i="5" s="1"/>
  <c r="P21" i="5"/>
  <c r="Q20" i="5"/>
  <c r="R20" i="5" s="1"/>
  <c r="P20" i="5"/>
  <c r="Q19" i="5"/>
  <c r="R19" i="5" s="1"/>
  <c r="P19" i="5"/>
  <c r="Q18" i="5"/>
  <c r="R18" i="5" s="1"/>
  <c r="P18" i="5"/>
  <c r="Q17" i="5"/>
  <c r="R17" i="5" s="1"/>
  <c r="P17" i="5"/>
  <c r="Q16" i="5"/>
  <c r="R16" i="5" s="1"/>
  <c r="P16" i="5"/>
  <c r="Q15" i="5"/>
  <c r="R15" i="5" s="1"/>
  <c r="P15" i="5"/>
  <c r="Q14" i="5"/>
  <c r="R14" i="5" s="1"/>
  <c r="P14" i="5"/>
  <c r="Q13" i="5"/>
  <c r="R13" i="5" s="1"/>
  <c r="P13" i="5"/>
  <c r="Q12" i="5"/>
  <c r="R12" i="5" s="1"/>
  <c r="P12" i="5"/>
  <c r="Q11" i="5"/>
  <c r="R11" i="5" s="1"/>
  <c r="P11" i="5"/>
  <c r="Q10" i="5"/>
  <c r="R10" i="5" s="1"/>
  <c r="P10" i="5"/>
  <c r="Q9" i="5"/>
  <c r="R9" i="5" s="1"/>
  <c r="P9" i="5"/>
  <c r="Q8" i="5"/>
  <c r="R8" i="5" s="1"/>
  <c r="P8" i="5"/>
  <c r="Q7" i="5"/>
  <c r="R7" i="5" s="1"/>
  <c r="P7" i="5"/>
  <c r="Q6" i="5"/>
  <c r="R6" i="5" s="1"/>
  <c r="P6" i="5"/>
  <c r="Q5" i="5"/>
  <c r="R5" i="5" s="1"/>
  <c r="P5" i="5"/>
  <c r="Q4" i="5"/>
  <c r="R4" i="5" s="1"/>
  <c r="P4" i="5"/>
  <c r="Q3" i="5"/>
  <c r="R3" i="5" s="1"/>
  <c r="P3" i="5"/>
  <c r="Q2" i="5"/>
  <c r="R2" i="5" s="1"/>
  <c r="P2" i="5"/>
  <c r="G1001" i="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 r="Y8" i="5"/>
  <c r="Y12" i="5"/>
  <c r="U999" i="5" l="1"/>
  <c r="U995" i="5"/>
  <c r="U987" i="5"/>
  <c r="U979" i="5"/>
  <c r="U975" i="5"/>
  <c r="U971" i="5"/>
  <c r="U967" i="5"/>
  <c r="U963" i="5"/>
  <c r="U955" i="5"/>
  <c r="U947" i="5"/>
  <c r="U943" i="5"/>
  <c r="U939" i="5"/>
  <c r="U935" i="5"/>
  <c r="U931" i="5"/>
  <c r="U923" i="5"/>
  <c r="U915" i="5"/>
  <c r="U911" i="5"/>
  <c r="U907" i="5"/>
  <c r="U903" i="5"/>
  <c r="U891" i="5"/>
  <c r="U883" i="5"/>
  <c r="U879" i="5"/>
  <c r="U875" i="5"/>
  <c r="U871" i="5"/>
  <c r="U867" i="5"/>
  <c r="U859" i="5"/>
  <c r="U851" i="5"/>
  <c r="U847" i="5"/>
  <c r="U843" i="5"/>
  <c r="U839" i="5"/>
  <c r="U835" i="5"/>
  <c r="U827" i="5"/>
  <c r="U819" i="5"/>
  <c r="U811" i="5"/>
  <c r="U807" i="5"/>
  <c r="U803" i="5"/>
  <c r="U795" i="5"/>
  <c r="U787" i="5"/>
  <c r="U783" i="5"/>
  <c r="U779" i="5"/>
  <c r="U775" i="5"/>
  <c r="U763" i="5"/>
  <c r="U755" i="5"/>
  <c r="U751" i="5"/>
  <c r="U747" i="5"/>
  <c r="U743" i="5"/>
  <c r="U739" i="5"/>
  <c r="U731" i="5"/>
  <c r="U723" i="5"/>
  <c r="U719" i="5"/>
  <c r="U715" i="5"/>
  <c r="U711" i="5"/>
  <c r="U707" i="5"/>
  <c r="U699" i="5"/>
  <c r="U691" i="5"/>
  <c r="U687" i="5"/>
  <c r="U683" i="5"/>
  <c r="U679" i="5"/>
  <c r="U675" i="5"/>
  <c r="U667" i="5"/>
  <c r="U659" i="5"/>
  <c r="U655" i="5"/>
  <c r="U651" i="5"/>
  <c r="U647" i="5"/>
  <c r="U635" i="5"/>
  <c r="U627" i="5"/>
  <c r="U623" i="5"/>
  <c r="U619" i="5"/>
  <c r="U615" i="5"/>
  <c r="U611" i="5"/>
  <c r="U603" i="5"/>
  <c r="U595" i="5"/>
  <c r="U587" i="5"/>
  <c r="U579" i="5"/>
  <c r="U571" i="5"/>
  <c r="U563" i="5"/>
  <c r="U555" i="5"/>
  <c r="U547" i="5"/>
  <c r="U539" i="5"/>
  <c r="U523" i="5"/>
  <c r="U507" i="5"/>
  <c r="U491" i="5"/>
  <c r="U475" i="5"/>
  <c r="U459" i="5"/>
  <c r="U443" i="5"/>
  <c r="U427" i="5"/>
  <c r="U411" i="5"/>
  <c r="U395" i="5"/>
  <c r="U379" i="5"/>
  <c r="U7" i="5"/>
  <c r="U2" i="5"/>
  <c r="U998" i="5"/>
  <c r="U994" i="5"/>
  <c r="U990" i="5"/>
  <c r="U986" i="5"/>
  <c r="U982" i="5"/>
  <c r="U978" i="5"/>
  <c r="U974" i="5"/>
  <c r="U970" i="5"/>
  <c r="U966" i="5"/>
  <c r="U962" i="5"/>
  <c r="U958" i="5"/>
  <c r="U954" i="5"/>
  <c r="U950" i="5"/>
  <c r="U946" i="5"/>
  <c r="U942" i="5"/>
  <c r="U938" i="5"/>
  <c r="U934" i="5"/>
  <c r="U930" i="5"/>
  <c r="U926" i="5"/>
  <c r="U922" i="5"/>
  <c r="U918" i="5"/>
  <c r="U914" i="5"/>
  <c r="U910" i="5"/>
  <c r="U906" i="5"/>
  <c r="U902" i="5"/>
  <c r="U898" i="5"/>
  <c r="U894" i="5"/>
  <c r="U890" i="5"/>
  <c r="U886" i="5"/>
  <c r="U882" i="5"/>
  <c r="U878" i="5"/>
  <c r="U874" i="5"/>
  <c r="U870" i="5"/>
  <c r="U866" i="5"/>
  <c r="U862" i="5"/>
  <c r="U858" i="5"/>
  <c r="U854" i="5"/>
  <c r="U850" i="5"/>
  <c r="U846" i="5"/>
  <c r="U842" i="5"/>
  <c r="U838" i="5"/>
  <c r="U834" i="5"/>
  <c r="U830" i="5"/>
  <c r="U826" i="5"/>
  <c r="U822" i="5"/>
  <c r="U818" i="5"/>
  <c r="U814" i="5"/>
  <c r="U810" i="5"/>
  <c r="U806" i="5"/>
  <c r="U802" i="5"/>
  <c r="U798" i="5"/>
  <c r="U794" i="5"/>
  <c r="U790" i="5"/>
  <c r="U786" i="5"/>
  <c r="U782" i="5"/>
  <c r="U778" i="5"/>
  <c r="U774" i="5"/>
  <c r="U770" i="5"/>
  <c r="U766" i="5"/>
  <c r="U762" i="5"/>
  <c r="U758" i="5"/>
  <c r="U754" i="5"/>
  <c r="U750" i="5"/>
  <c r="U746" i="5"/>
  <c r="U742" i="5"/>
  <c r="U738" i="5"/>
  <c r="U734" i="5"/>
  <c r="U730" i="5"/>
  <c r="U726" i="5"/>
  <c r="U722" i="5"/>
  <c r="U718" i="5"/>
  <c r="U71" i="5"/>
  <c r="U714" i="5"/>
  <c r="U710" i="5"/>
  <c r="U706" i="5"/>
  <c r="U702" i="5"/>
  <c r="U698" i="5"/>
  <c r="U694" i="5"/>
  <c r="U690" i="5"/>
  <c r="U686" i="5"/>
  <c r="U682" i="5"/>
  <c r="U678" i="5"/>
  <c r="U674" i="5"/>
  <c r="U670" i="5"/>
  <c r="U666" i="5"/>
  <c r="U662" i="5"/>
  <c r="U658" i="5"/>
  <c r="U654" i="5"/>
  <c r="U650" i="5"/>
  <c r="U646" i="5"/>
  <c r="U642" i="5"/>
  <c r="U638" i="5"/>
  <c r="U634" i="5"/>
  <c r="U630" i="5"/>
  <c r="U626" i="5"/>
  <c r="U622" i="5"/>
  <c r="U618" i="5"/>
  <c r="U614" i="5"/>
  <c r="U610" i="5"/>
  <c r="U606" i="5"/>
  <c r="U602" i="5"/>
  <c r="U598" i="5"/>
  <c r="U594" i="5"/>
  <c r="U590" i="5"/>
  <c r="U586" i="5"/>
  <c r="U582" i="5"/>
  <c r="U578" i="5"/>
  <c r="U574" i="5"/>
  <c r="U570" i="5"/>
  <c r="U566" i="5"/>
  <c r="U562" i="5"/>
  <c r="U558" i="5"/>
  <c r="U554" i="5"/>
  <c r="U550" i="5"/>
  <c r="U546" i="5"/>
  <c r="U542" i="5"/>
  <c r="U538" i="5"/>
  <c r="U534" i="5"/>
  <c r="U530" i="5"/>
  <c r="U526" i="5"/>
  <c r="U522" i="5"/>
  <c r="U518" i="5"/>
  <c r="U514" i="5"/>
  <c r="U510" i="5"/>
  <c r="U506" i="5"/>
  <c r="U502" i="5"/>
  <c r="U498" i="5"/>
  <c r="U494" i="5"/>
  <c r="U490" i="5"/>
  <c r="U486" i="5"/>
  <c r="U482" i="5"/>
  <c r="U478" i="5"/>
  <c r="U474" i="5"/>
  <c r="U470" i="5"/>
  <c r="U466" i="5"/>
  <c r="U462" i="5"/>
  <c r="U458" i="5"/>
  <c r="U454" i="5"/>
  <c r="U450" i="5"/>
  <c r="U446" i="5"/>
  <c r="U442" i="5"/>
  <c r="U438" i="5"/>
  <c r="U434" i="5"/>
  <c r="U430" i="5"/>
  <c r="U426" i="5"/>
  <c r="U422" i="5"/>
  <c r="U418" i="5"/>
  <c r="U198" i="5"/>
  <c r="U182" i="5"/>
  <c r="U134" i="5"/>
  <c r="U214" i="5"/>
  <c r="U1001" i="5"/>
  <c r="U997" i="5"/>
  <c r="U993" i="5"/>
  <c r="U989" i="5"/>
  <c r="U985" i="5"/>
  <c r="U981" i="5"/>
  <c r="U977" i="5"/>
  <c r="U973" i="5"/>
  <c r="U969" i="5"/>
  <c r="U965" i="5"/>
  <c r="U961" i="5"/>
  <c r="U957" i="5"/>
  <c r="U953" i="5"/>
  <c r="U949" i="5"/>
  <c r="U945" i="5"/>
  <c r="U166" i="5"/>
  <c r="U176" i="5"/>
  <c r="U150" i="5"/>
  <c r="U363" i="5"/>
  <c r="U347" i="5"/>
  <c r="U331" i="5"/>
  <c r="U315" i="5"/>
  <c r="U299" i="5"/>
  <c r="U283" i="5"/>
  <c r="U267" i="5"/>
  <c r="U251" i="5"/>
  <c r="U235" i="5"/>
  <c r="U219" i="5"/>
  <c r="U203" i="5"/>
  <c r="U187" i="5"/>
  <c r="U171" i="5"/>
  <c r="U155" i="5"/>
  <c r="U139" i="5"/>
  <c r="U123" i="5"/>
  <c r="U103" i="5"/>
  <c r="U95" i="5"/>
  <c r="U39" i="5"/>
  <c r="U31" i="5"/>
  <c r="U118" i="5"/>
  <c r="U414" i="5"/>
  <c r="U410" i="5"/>
  <c r="U406" i="5"/>
  <c r="U402" i="5"/>
  <c r="U398" i="5"/>
  <c r="U394" i="5"/>
  <c r="U390" i="5"/>
  <c r="U386" i="5"/>
  <c r="U382" i="5"/>
  <c r="U378" i="5"/>
  <c r="U374" i="5"/>
  <c r="U370" i="5"/>
  <c r="U366" i="5"/>
  <c r="U362" i="5"/>
  <c r="U358" i="5"/>
  <c r="U354" i="5"/>
  <c r="U350" i="5"/>
  <c r="U346" i="5"/>
  <c r="U342" i="5"/>
  <c r="U338" i="5"/>
  <c r="U334" i="5"/>
  <c r="U330" i="5"/>
  <c r="U326" i="5"/>
  <c r="U322" i="5"/>
  <c r="U318" i="5"/>
  <c r="U314" i="5"/>
  <c r="U310" i="5"/>
  <c r="U306" i="5"/>
  <c r="U302" i="5"/>
  <c r="U298" i="5"/>
  <c r="U294" i="5"/>
  <c r="U290" i="5"/>
  <c r="U286" i="5"/>
  <c r="U282" i="5"/>
  <c r="U278" i="5"/>
  <c r="U274" i="5"/>
  <c r="U270" i="5"/>
  <c r="U266" i="5"/>
  <c r="U262" i="5"/>
  <c r="U258" i="5"/>
  <c r="U254" i="5"/>
  <c r="U250" i="5"/>
  <c r="U246" i="5"/>
  <c r="U242" i="5"/>
  <c r="U238" i="5"/>
  <c r="U234" i="5"/>
  <c r="U230" i="5"/>
  <c r="U226" i="5"/>
  <c r="U222" i="5"/>
  <c r="U218" i="5"/>
  <c r="U210" i="5"/>
  <c r="U202" i="5"/>
  <c r="U194" i="5"/>
  <c r="U186" i="5"/>
  <c r="U178" i="5"/>
  <c r="U170" i="5"/>
  <c r="U162" i="5"/>
  <c r="U154" i="5"/>
  <c r="U146" i="5"/>
  <c r="U138" i="5"/>
  <c r="U130" i="5"/>
  <c r="U122" i="5"/>
  <c r="U114" i="5"/>
  <c r="U261" i="5"/>
  <c r="U531" i="5"/>
  <c r="U515" i="5"/>
  <c r="U499" i="5"/>
  <c r="U483" i="5"/>
  <c r="U467" i="5"/>
  <c r="U451" i="5"/>
  <c r="U435" i="5"/>
  <c r="U419" i="5"/>
  <c r="U403" i="5"/>
  <c r="U387" i="5"/>
  <c r="U371" i="5"/>
  <c r="U355" i="5"/>
  <c r="U339" i="5"/>
  <c r="U323" i="5"/>
  <c r="U307" i="5"/>
  <c r="U291" i="5"/>
  <c r="U275" i="5"/>
  <c r="U259" i="5"/>
  <c r="U243" i="5"/>
  <c r="U227" i="5"/>
  <c r="U211" i="5"/>
  <c r="U195" i="5"/>
  <c r="U179" i="5"/>
  <c r="U163" i="5"/>
  <c r="U147" i="5"/>
  <c r="U131" i="5"/>
  <c r="U115" i="5"/>
  <c r="U63" i="5"/>
  <c r="U1000" i="5"/>
  <c r="U996" i="5"/>
  <c r="U992" i="5"/>
  <c r="U988" i="5"/>
  <c r="U984" i="5"/>
  <c r="U980" i="5"/>
  <c r="U976" i="5"/>
  <c r="U972" i="5"/>
  <c r="U968" i="5"/>
  <c r="U964" i="5"/>
  <c r="U960" i="5"/>
  <c r="U956" i="5"/>
  <c r="U952" i="5"/>
  <c r="U948" i="5"/>
  <c r="U944" i="5"/>
  <c r="U940" i="5"/>
  <c r="U936" i="5"/>
  <c r="U932" i="5"/>
  <c r="U928" i="5"/>
  <c r="U924" i="5"/>
  <c r="U920" i="5"/>
  <c r="U916" i="5"/>
  <c r="U912" i="5"/>
  <c r="U908" i="5"/>
  <c r="U904" i="5"/>
  <c r="U900" i="5"/>
  <c r="U896" i="5"/>
  <c r="U892" i="5"/>
  <c r="U888" i="5"/>
  <c r="U884" i="5"/>
  <c r="U880" i="5"/>
  <c r="U876" i="5"/>
  <c r="U872" i="5"/>
  <c r="U868" i="5"/>
  <c r="U864" i="5"/>
  <c r="U860" i="5"/>
  <c r="U856" i="5"/>
  <c r="U852" i="5"/>
  <c r="U848" i="5"/>
  <c r="U844" i="5"/>
  <c r="U840" i="5"/>
  <c r="U836" i="5"/>
  <c r="U832" i="5"/>
  <c r="U828" i="5"/>
  <c r="U824" i="5"/>
  <c r="U820" i="5"/>
  <c r="U816" i="5"/>
  <c r="U812" i="5"/>
  <c r="U808" i="5"/>
  <c r="U804" i="5"/>
  <c r="U800" i="5"/>
  <c r="U796" i="5"/>
  <c r="U792" i="5"/>
  <c r="U788" i="5"/>
  <c r="U784" i="5"/>
  <c r="U780" i="5"/>
  <c r="U776" i="5"/>
  <c r="U772" i="5"/>
  <c r="U768" i="5"/>
  <c r="U764" i="5"/>
  <c r="U760" i="5"/>
  <c r="U756" i="5"/>
  <c r="U752" i="5"/>
  <c r="U748" i="5"/>
  <c r="U744" i="5"/>
  <c r="U740" i="5"/>
  <c r="U736" i="5"/>
  <c r="U732" i="5"/>
  <c r="U728" i="5"/>
  <c r="U724" i="5"/>
  <c r="U720" i="5"/>
  <c r="U716" i="5"/>
  <c r="U712" i="5"/>
  <c r="U708" i="5"/>
  <c r="U704" i="5"/>
  <c r="U700" i="5"/>
  <c r="U696" i="5"/>
  <c r="U692" i="5"/>
  <c r="U688" i="5"/>
  <c r="U684" i="5"/>
  <c r="U680" i="5"/>
  <c r="U676" i="5"/>
  <c r="U672" i="5"/>
  <c r="U668" i="5"/>
  <c r="U664" i="5"/>
  <c r="U660" i="5"/>
  <c r="U656" i="5"/>
  <c r="U652" i="5"/>
  <c r="U648" i="5"/>
  <c r="U644" i="5"/>
  <c r="U640" i="5"/>
  <c r="U636" i="5"/>
  <c r="U632" i="5"/>
  <c r="U628" i="5"/>
  <c r="U624" i="5"/>
  <c r="U620" i="5"/>
  <c r="U616" i="5"/>
  <c r="U612" i="5"/>
  <c r="U608" i="5"/>
  <c r="U604" i="5"/>
  <c r="U600" i="5"/>
  <c r="U596" i="5"/>
  <c r="U592" i="5"/>
  <c r="U588" i="5"/>
  <c r="U584" i="5"/>
  <c r="U580" i="5"/>
  <c r="U576" i="5"/>
  <c r="U572" i="5"/>
  <c r="U568" i="5"/>
  <c r="U564" i="5"/>
  <c r="U560" i="5"/>
  <c r="U556" i="5"/>
  <c r="U552" i="5"/>
  <c r="U548" i="5"/>
  <c r="U544" i="5"/>
  <c r="U540" i="5"/>
  <c r="U536" i="5"/>
  <c r="U532" i="5"/>
  <c r="U528" i="5"/>
  <c r="U524" i="5"/>
  <c r="U520" i="5"/>
  <c r="U516" i="5"/>
  <c r="U512" i="5"/>
  <c r="U508" i="5"/>
  <c r="U504" i="5"/>
  <c r="U500" i="5"/>
  <c r="U496" i="5"/>
  <c r="U492" i="5"/>
  <c r="U488" i="5"/>
  <c r="U484" i="5"/>
  <c r="U480" i="5"/>
  <c r="U476" i="5"/>
  <c r="U472" i="5"/>
  <c r="U468" i="5"/>
  <c r="U464" i="5"/>
  <c r="U460" i="5"/>
  <c r="U456" i="5"/>
  <c r="U452" i="5"/>
  <c r="U448" i="5"/>
  <c r="U444" i="5"/>
  <c r="U440" i="5"/>
  <c r="U436" i="5"/>
  <c r="U432" i="5"/>
  <c r="U428" i="5"/>
  <c r="U424" i="5"/>
  <c r="U420" i="5"/>
  <c r="U416" i="5"/>
  <c r="U412" i="5"/>
  <c r="U408" i="5"/>
  <c r="U404" i="5"/>
  <c r="U400" i="5"/>
  <c r="U396" i="5"/>
  <c r="U392" i="5"/>
  <c r="U388" i="5"/>
  <c r="U384" i="5"/>
  <c r="U380" i="5"/>
  <c r="U376" i="5"/>
  <c r="U372" i="5"/>
  <c r="U368" i="5"/>
  <c r="U364" i="5"/>
  <c r="U360" i="5"/>
  <c r="U356" i="5"/>
  <c r="U352" i="5"/>
  <c r="U348" i="5"/>
  <c r="U344" i="5"/>
  <c r="U340" i="5"/>
  <c r="U336" i="5"/>
  <c r="U332" i="5"/>
  <c r="U328" i="5"/>
  <c r="U324" i="5"/>
  <c r="U320" i="5"/>
  <c r="U316" i="5"/>
  <c r="U312" i="5"/>
  <c r="U308" i="5"/>
  <c r="U300" i="5"/>
  <c r="U296" i="5"/>
  <c r="U292" i="5"/>
  <c r="U288" i="5"/>
  <c r="U284" i="5"/>
  <c r="U280" i="5"/>
  <c r="U276" i="5"/>
  <c r="U272" i="5"/>
  <c r="U268" i="5"/>
  <c r="U264" i="5"/>
  <c r="U260" i="5"/>
  <c r="U256" i="5"/>
  <c r="U252" i="5"/>
  <c r="U248" i="5"/>
  <c r="U244" i="5"/>
  <c r="U240" i="5"/>
  <c r="U236" i="5"/>
  <c r="U232" i="5"/>
  <c r="U228" i="5"/>
  <c r="U224" i="5"/>
  <c r="U220" i="5"/>
  <c r="U216" i="5"/>
  <c r="U212" i="5"/>
  <c r="U208" i="5"/>
  <c r="U204" i="5"/>
  <c r="U200" i="5"/>
  <c r="U196" i="5"/>
  <c r="U192" i="5"/>
  <c r="U188" i="5"/>
  <c r="U184" i="5"/>
  <c r="U180" i="5"/>
  <c r="U172" i="5"/>
  <c r="U168" i="5"/>
  <c r="U164" i="5"/>
  <c r="U160" i="5"/>
  <c r="U156" i="5"/>
  <c r="U152" i="5"/>
  <c r="U148" i="5"/>
  <c r="U144" i="5"/>
  <c r="U140" i="5"/>
  <c r="U136" i="5"/>
  <c r="U132" i="5"/>
  <c r="U128" i="5"/>
  <c r="U124" i="5"/>
  <c r="U120" i="5"/>
  <c r="U116" i="5"/>
  <c r="U112" i="5"/>
  <c r="U68" i="5"/>
  <c r="U206" i="5"/>
  <c r="U190" i="5"/>
  <c r="U174" i="5"/>
  <c r="U158" i="5"/>
  <c r="U142" i="5"/>
  <c r="U126" i="5"/>
  <c r="U991" i="5"/>
  <c r="U983" i="5"/>
  <c r="U959" i="5"/>
  <c r="U951" i="5"/>
  <c r="U927" i="5"/>
  <c r="U919" i="5"/>
  <c r="U895" i="5"/>
  <c r="U887" i="5"/>
  <c r="U863" i="5"/>
  <c r="U855" i="5"/>
  <c r="U831" i="5"/>
  <c r="U823" i="5"/>
  <c r="U799" i="5"/>
  <c r="U791" i="5"/>
  <c r="U767" i="5"/>
  <c r="U759" i="5"/>
  <c r="U735" i="5"/>
  <c r="U727" i="5"/>
  <c r="U703" i="5"/>
  <c r="U695" i="5"/>
  <c r="U671" i="5"/>
  <c r="U663" i="5"/>
  <c r="U639" i="5"/>
  <c r="U631" i="5"/>
  <c r="U607" i="5"/>
  <c r="U599" i="5"/>
  <c r="U591" i="5"/>
  <c r="U583" i="5"/>
  <c r="U575" i="5"/>
  <c r="U567" i="5"/>
  <c r="U559" i="5"/>
  <c r="U551" i="5"/>
  <c r="U543" i="5"/>
  <c r="U535" i="5"/>
  <c r="U527" i="5"/>
  <c r="U519" i="5"/>
  <c r="U511" i="5"/>
  <c r="U503" i="5"/>
  <c r="U495" i="5"/>
  <c r="U487" i="5"/>
  <c r="U479" i="5"/>
  <c r="U471" i="5"/>
  <c r="U463" i="5"/>
  <c r="U455" i="5"/>
  <c r="U447" i="5"/>
  <c r="U439" i="5"/>
  <c r="U431" i="5"/>
  <c r="U423" i="5"/>
  <c r="U415" i="5"/>
  <c r="U407" i="5"/>
  <c r="U399" i="5"/>
  <c r="U391" i="5"/>
  <c r="U383" i="5"/>
  <c r="U375" i="5"/>
  <c r="U367" i="5"/>
  <c r="U359" i="5"/>
  <c r="U351" i="5"/>
  <c r="U343" i="5"/>
  <c r="U335" i="5"/>
  <c r="U327" i="5"/>
  <c r="U319" i="5"/>
  <c r="U311" i="5"/>
  <c r="U303" i="5"/>
  <c r="U295" i="5"/>
  <c r="U287" i="5"/>
  <c r="U279" i="5"/>
  <c r="U271" i="5"/>
  <c r="U263" i="5"/>
  <c r="U255" i="5"/>
  <c r="U247" i="5"/>
  <c r="U239" i="5"/>
  <c r="U231" i="5"/>
  <c r="U223" i="5"/>
  <c r="U215" i="5"/>
  <c r="U207" i="5"/>
  <c r="U199" i="5"/>
  <c r="U191" i="5"/>
  <c r="U183" i="5"/>
  <c r="U175" i="5"/>
  <c r="U167" i="5"/>
  <c r="U159" i="5"/>
  <c r="U151" i="5"/>
  <c r="U143" i="5"/>
  <c r="U135" i="5"/>
  <c r="U127" i="5"/>
  <c r="U119" i="5"/>
  <c r="U111" i="5"/>
  <c r="U107" i="5"/>
  <c r="U99" i="5"/>
  <c r="U91" i="5"/>
  <c r="U87" i="5"/>
  <c r="U83" i="5"/>
  <c r="U79" i="5"/>
  <c r="U75" i="5"/>
  <c r="U67" i="5"/>
  <c r="U59" i="5"/>
  <c r="U55" i="5"/>
  <c r="U51" i="5"/>
  <c r="U47" i="5"/>
  <c r="U43" i="5"/>
  <c r="U35" i="5"/>
  <c r="U27" i="5"/>
  <c r="U23" i="5"/>
  <c r="U19" i="5"/>
  <c r="U15" i="5"/>
  <c r="U11" i="5"/>
  <c r="U3" i="5"/>
  <c r="U110" i="5"/>
  <c r="U106" i="5"/>
  <c r="U102" i="5"/>
  <c r="U98" i="5"/>
  <c r="U94" i="5"/>
  <c r="U90" i="5"/>
  <c r="U86" i="5"/>
  <c r="U82" i="5"/>
  <c r="U78" i="5"/>
  <c r="U74" i="5"/>
  <c r="U70" i="5"/>
  <c r="U66" i="5"/>
  <c r="U62" i="5"/>
  <c r="U58" i="5"/>
  <c r="U54" i="5"/>
  <c r="U50" i="5"/>
  <c r="U46" i="5"/>
  <c r="U42" i="5"/>
  <c r="U38" i="5"/>
  <c r="U34" i="5"/>
  <c r="U30" i="5"/>
  <c r="U26" i="5"/>
  <c r="U22" i="5"/>
  <c r="U18" i="5"/>
  <c r="U14" i="5"/>
  <c r="U10" i="5"/>
  <c r="U6" i="5"/>
  <c r="U941" i="5"/>
  <c r="U937" i="5"/>
  <c r="U933" i="5"/>
  <c r="U929" i="5"/>
  <c r="U925" i="5"/>
  <c r="U921" i="5"/>
  <c r="U917" i="5"/>
  <c r="U913" i="5"/>
  <c r="U909" i="5"/>
  <c r="U905" i="5"/>
  <c r="U901" i="5"/>
  <c r="U897" i="5"/>
  <c r="U893" i="5"/>
  <c r="U889" i="5"/>
  <c r="U885" i="5"/>
  <c r="U881" i="5"/>
  <c r="U877" i="5"/>
  <c r="U873" i="5"/>
  <c r="U869" i="5"/>
  <c r="U865" i="5"/>
  <c r="U861" i="5"/>
  <c r="U857" i="5"/>
  <c r="U853" i="5"/>
  <c r="U849" i="5"/>
  <c r="U845" i="5"/>
  <c r="U841" i="5"/>
  <c r="U837" i="5"/>
  <c r="U833" i="5"/>
  <c r="U829" i="5"/>
  <c r="U825" i="5"/>
  <c r="U821" i="5"/>
  <c r="U817" i="5"/>
  <c r="U813" i="5"/>
  <c r="U809" i="5"/>
  <c r="U805" i="5"/>
  <c r="U801" i="5"/>
  <c r="U797" i="5"/>
  <c r="U793" i="5"/>
  <c r="U789" i="5"/>
  <c r="U785" i="5"/>
  <c r="U781" i="5"/>
  <c r="U777" i="5"/>
  <c r="U773" i="5"/>
  <c r="U769" i="5"/>
  <c r="U765" i="5"/>
  <c r="U761" i="5"/>
  <c r="U757" i="5"/>
  <c r="U753" i="5"/>
  <c r="U749" i="5"/>
  <c r="U745" i="5"/>
  <c r="U741" i="5"/>
  <c r="U737" i="5"/>
  <c r="U733" i="5"/>
  <c r="U729" i="5"/>
  <c r="U725" i="5"/>
  <c r="U721" i="5"/>
  <c r="U717" i="5"/>
  <c r="U713" i="5"/>
  <c r="U709" i="5"/>
  <c r="U705" i="5"/>
  <c r="U701" i="5"/>
  <c r="U697" i="5"/>
  <c r="U693" i="5"/>
  <c r="U689" i="5"/>
  <c r="U685" i="5"/>
  <c r="U681" i="5"/>
  <c r="U677" i="5"/>
  <c r="U673" i="5"/>
  <c r="U669" i="5"/>
  <c r="U665" i="5"/>
  <c r="U661" i="5"/>
  <c r="U657" i="5"/>
  <c r="U653" i="5"/>
  <c r="U649" i="5"/>
  <c r="U645" i="5"/>
  <c r="U641" i="5"/>
  <c r="U637" i="5"/>
  <c r="U633" i="5"/>
  <c r="U629" i="5"/>
  <c r="U625" i="5"/>
  <c r="U621" i="5"/>
  <c r="U617" i="5"/>
  <c r="U613" i="5"/>
  <c r="U609" i="5"/>
  <c r="U605" i="5"/>
  <c r="U601" i="5"/>
  <c r="U597" i="5"/>
  <c r="U593" i="5"/>
  <c r="U589" i="5"/>
  <c r="U585" i="5"/>
  <c r="U581" i="5"/>
  <c r="U577" i="5"/>
  <c r="U573" i="5"/>
  <c r="U569" i="5"/>
  <c r="U565" i="5"/>
  <c r="U561" i="5"/>
  <c r="U557" i="5"/>
  <c r="U553" i="5"/>
  <c r="U549" i="5"/>
  <c r="U545" i="5"/>
  <c r="U541" i="5"/>
  <c r="U537" i="5"/>
  <c r="U533" i="5"/>
  <c r="U529" i="5"/>
  <c r="U525" i="5"/>
  <c r="U521" i="5"/>
  <c r="U517" i="5"/>
  <c r="U513" i="5"/>
  <c r="U509" i="5"/>
  <c r="U505" i="5"/>
  <c r="U501" i="5"/>
  <c r="U497" i="5"/>
  <c r="U493" i="5"/>
  <c r="U489" i="5"/>
  <c r="U485" i="5"/>
  <c r="U481" i="5"/>
  <c r="U477" i="5"/>
  <c r="U473" i="5"/>
  <c r="U469" i="5"/>
  <c r="U465" i="5"/>
  <c r="U461" i="5"/>
  <c r="U457" i="5"/>
  <c r="U453" i="5"/>
  <c r="U449" i="5"/>
  <c r="U445" i="5"/>
  <c r="U441" i="5"/>
  <c r="U437" i="5"/>
  <c r="U433" i="5"/>
  <c r="U429" i="5"/>
  <c r="U425" i="5"/>
  <c r="U421" i="5"/>
  <c r="U417" i="5"/>
  <c r="U413" i="5"/>
  <c r="U409" i="5"/>
  <c r="U405" i="5"/>
  <c r="U401" i="5"/>
  <c r="U397" i="5"/>
  <c r="U393" i="5"/>
  <c r="U389" i="5"/>
  <c r="U385" i="5"/>
  <c r="U381" i="5"/>
  <c r="U377" i="5"/>
  <c r="U373" i="5"/>
  <c r="U369" i="5"/>
  <c r="U365" i="5"/>
  <c r="U361" i="5"/>
  <c r="U357" i="5"/>
  <c r="U353" i="5"/>
  <c r="U349" i="5"/>
  <c r="U345" i="5"/>
  <c r="U341" i="5"/>
  <c r="U337" i="5"/>
  <c r="U333" i="5"/>
  <c r="U329" i="5"/>
  <c r="U325" i="5"/>
  <c r="U321" i="5"/>
  <c r="U317" i="5"/>
  <c r="U313" i="5"/>
  <c r="U309" i="5"/>
  <c r="U305" i="5"/>
  <c r="U301" i="5"/>
  <c r="U297" i="5"/>
  <c r="U293" i="5"/>
  <c r="U289" i="5"/>
  <c r="U285" i="5"/>
  <c r="U281" i="5"/>
  <c r="U277" i="5"/>
  <c r="U273" i="5"/>
  <c r="U269" i="5"/>
  <c r="U265" i="5"/>
  <c r="U257" i="5"/>
  <c r="U253" i="5"/>
  <c r="U249" i="5"/>
  <c r="U245" i="5"/>
  <c r="U241" i="5"/>
  <c r="U237" i="5"/>
  <c r="U233" i="5"/>
  <c r="U229" i="5"/>
  <c r="U225" i="5"/>
  <c r="U221" i="5"/>
  <c r="U217" i="5"/>
  <c r="U213" i="5"/>
  <c r="U209" i="5"/>
  <c r="U205" i="5"/>
  <c r="U201" i="5"/>
  <c r="U197" i="5"/>
  <c r="U193" i="5"/>
  <c r="U189" i="5"/>
  <c r="U185" i="5"/>
  <c r="U181" i="5"/>
  <c r="U177" i="5"/>
  <c r="U173" i="5"/>
  <c r="U169" i="5"/>
  <c r="U165" i="5"/>
  <c r="U161" i="5"/>
  <c r="U157" i="5"/>
  <c r="U153" i="5"/>
  <c r="U149" i="5"/>
  <c r="U145" i="5"/>
  <c r="U141" i="5"/>
  <c r="U137" i="5"/>
  <c r="U129" i="5"/>
  <c r="U125" i="5"/>
  <c r="U121" i="5"/>
  <c r="U117" i="5"/>
  <c r="U113" i="5"/>
  <c r="U69" i="5"/>
  <c r="U25" i="5"/>
  <c r="U109" i="5"/>
  <c r="U105" i="5"/>
  <c r="U101" i="5"/>
  <c r="U97" i="5"/>
  <c r="U93" i="5"/>
  <c r="U85" i="5"/>
  <c r="U81" i="5"/>
  <c r="U77" i="5"/>
  <c r="U73" i="5"/>
  <c r="U65" i="5"/>
  <c r="U61" i="5"/>
  <c r="U57" i="5"/>
  <c r="U53" i="5"/>
  <c r="U49" i="5"/>
  <c r="U45" i="5"/>
  <c r="U41" i="5"/>
  <c r="U37" i="5"/>
  <c r="U33" i="5"/>
  <c r="U29" i="5"/>
  <c r="U21" i="5"/>
  <c r="U17" i="5"/>
  <c r="U13" i="5"/>
  <c r="U9" i="5"/>
  <c r="U5" i="5"/>
  <c r="U108" i="5"/>
  <c r="U104" i="5"/>
  <c r="U100" i="5"/>
  <c r="U96" i="5"/>
  <c r="U92" i="5"/>
  <c r="U88" i="5"/>
  <c r="U84" i="5"/>
  <c r="U80" i="5"/>
  <c r="U76" i="5"/>
  <c r="U72" i="5"/>
  <c r="U64" i="5"/>
  <c r="U60" i="5"/>
  <c r="U56" i="5"/>
  <c r="U52" i="5"/>
  <c r="U44" i="5"/>
  <c r="U40" i="5"/>
  <c r="U36" i="5"/>
  <c r="U32" i="5"/>
  <c r="U28" i="5"/>
  <c r="U24" i="5"/>
  <c r="U20" i="5"/>
  <c r="U16" i="5"/>
  <c r="U12" i="5"/>
  <c r="U8" i="5"/>
  <c r="U4" i="5"/>
</calcChain>
</file>

<file path=xl/sharedStrings.xml><?xml version="1.0" encoding="utf-8"?>
<sst xmlns="http://schemas.openxmlformats.org/spreadsheetml/2006/main" count="14942" uniqueCount="6246">
  <si>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</si>
  <si>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</si>
  <si>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</si>
  <si>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</si>
  <si>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</si>
  <si>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</si>
  <si>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</si>
  <si>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</si>
  <si>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</si>
  <si>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</si>
  <si>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</si>
  <si>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</si>
  <si>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</si>
  <si>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</si>
  <si>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</si>
  <si>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</si>
  <si>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</si>
  <si>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</si>
  <si>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</si>
  <si>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</si>
  <si>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</si>
  <si>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</si>
  <si>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</si>
  <si>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</si>
  <si>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</si>
  <si>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</si>
  <si>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</si>
  <si>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</si>
  <si>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</si>
  <si>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</si>
  <si>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</si>
  <si>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</si>
  <si>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</si>
  <si>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</si>
  <si>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</si>
  <si>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</si>
  <si>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</si>
  <si>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</si>
  <si>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</si>
  <si>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</si>
  <si>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</si>
  <si>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</si>
  <si>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</si>
  <si>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</si>
  <si>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</si>
  <si>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</si>
  <si>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</si>
  <si>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</si>
  <si>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</si>
  <si>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</si>
  <si>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</si>
  <si>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</si>
  <si>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</si>
  <si>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</si>
  <si>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</si>
  <si>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</si>
  <si>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</si>
  <si>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</si>
  <si>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</si>
  <si>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</si>
  <si>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</si>
  <si>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</si>
  <si>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</si>
  <si>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</si>
  <si>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</si>
  <si>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</si>
  <si>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</si>
  <si>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</si>
  <si>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</si>
  <si>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</si>
  <si>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</si>
  <si>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</si>
  <si>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</si>
  <si>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</si>
  <si>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</si>
  <si>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</si>
  <si>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</si>
  <si>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</si>
  <si>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</si>
  <si>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</si>
  <si>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</si>
  <si>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</si>
  <si>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</si>
  <si>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</si>
  <si>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</si>
  <si>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</si>
  <si>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</si>
  <si>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</si>
  <si>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</si>
  <si>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</si>
  <si>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</si>
  <si>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</si>
  <si>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</si>
  <si>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</si>
  <si>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</si>
  <si>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</si>
  <si>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</si>
  <si>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</si>
  <si>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</si>
  <si>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</si>
  <si>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</si>
  <si>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</si>
  <si>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</si>
  <si>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</si>
  <si>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</si>
  <si>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</si>
  <si>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</si>
  <si>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</si>
  <si>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</si>
  <si>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</si>
  <si>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</si>
  <si>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</si>
  <si>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</si>
  <si>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</si>
  <si>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</si>
  <si>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</si>
  <si>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</si>
  <si>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</si>
  <si>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</si>
  <si>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</si>
  <si>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</si>
  <si>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</si>
  <si>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</si>
  <si>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</si>
  <si>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</si>
  <si>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</si>
  <si>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</si>
  <si>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</si>
  <si>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</si>
  <si>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</si>
  <si>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</si>
  <si>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</si>
  <si>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</si>
  <si>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</si>
  <si>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</si>
  <si>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</si>
  <si>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</si>
  <si>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</si>
  <si>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</si>
  <si>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</si>
  <si>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</si>
  <si>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</si>
  <si>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</si>
  <si>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</si>
  <si>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</si>
  <si>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</si>
  <si>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</si>
  <si>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</si>
  <si>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</si>
  <si>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</si>
  <si>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</si>
  <si>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</si>
  <si>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</si>
  <si>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</si>
  <si>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</si>
  <si>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</si>
  <si>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</si>
  <si>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</si>
  <si>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</si>
  <si>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</si>
  <si>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</si>
  <si>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</si>
  <si>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</si>
  <si>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</si>
  <si>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</si>
  <si>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</si>
  <si>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</si>
  <si>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</si>
  <si>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</si>
  <si>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</si>
  <si>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</si>
  <si>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</si>
  <si>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</si>
  <si>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</si>
  <si>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</si>
  <si>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</si>
  <si>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</si>
  <si>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</si>
  <si>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</si>
  <si>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</si>
  <si>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</si>
  <si>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</si>
  <si>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</si>
  <si>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</si>
  <si>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</si>
  <si>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</si>
  <si>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</si>
  <si>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</si>
  <si>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</si>
  <si>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</si>
  <si>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</si>
  <si>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</si>
  <si>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</si>
  <si>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</si>
  <si>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</si>
  <si>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</si>
  <si>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</si>
  <si>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</si>
  <si>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</si>
  <si>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</si>
  <si>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</si>
  <si>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</si>
  <si>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</si>
  <si>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</si>
  <si>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</si>
  <si>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</si>
  <si>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</si>
  <si>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</si>
  <si>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</si>
  <si>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</si>
  <si>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</si>
  <si>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</si>
  <si>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</si>
  <si>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</si>
  <si>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</si>
  <si>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</si>
  <si>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</si>
  <si>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</si>
  <si>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</si>
  <si>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</si>
  <si>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</si>
  <si>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</si>
  <si>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</si>
  <si>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</si>
  <si>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</si>
  <si>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</si>
  <si>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</si>
  <si>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</si>
  <si>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</si>
  <si>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</si>
  <si>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</si>
  <si>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</si>
  <si>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</si>
  <si>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</si>
  <si>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</si>
  <si>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</si>
  <si>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</si>
  <si>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</si>
  <si>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</si>
  <si>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</si>
  <si>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</si>
  <si>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</si>
  <si>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</si>
  <si>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</si>
  <si>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</si>
  <si>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</si>
  <si>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</si>
  <si>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</si>
  <si>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</si>
  <si>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</si>
  <si>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</si>
  <si>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</si>
  <si>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</si>
  <si>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</si>
  <si>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</si>
  <si>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</si>
  <si>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</si>
  <si>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</si>
  <si>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</si>
  <si>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</si>
  <si>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</si>
  <si>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</si>
  <si>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</si>
  <si>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</si>
  <si>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</si>
  <si>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</si>
  <si>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</si>
  <si>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</si>
  <si>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</si>
  <si>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</si>
  <si>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</si>
  <si>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</si>
  <si>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</si>
  <si>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</si>
  <si>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</si>
  <si>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</si>
  <si>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</si>
  <si>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</si>
  <si>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</si>
  <si>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</si>
  <si>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</si>
  <si>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</si>
  <si>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</si>
  <si>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</si>
  <si>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</si>
  <si>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</si>
  <si>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</si>
  <si>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</si>
  <si>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</si>
  <si>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</si>
  <si>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</si>
  <si>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</si>
  <si>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</si>
  <si>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</si>
  <si>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</si>
  <si>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</si>
  <si>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</si>
  <si>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</si>
  <si>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</si>
  <si>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</si>
  <si>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</si>
  <si>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</si>
  <si>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</si>
  <si>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</si>
  <si>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</si>
  <si>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</si>
  <si>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</si>
  <si>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</si>
  <si>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</si>
  <si>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</si>
  <si>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</si>
  <si>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</si>
  <si>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</si>
  <si>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</si>
  <si>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</si>
  <si>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</si>
  <si>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</si>
  <si>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</si>
  <si>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</si>
  <si>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</si>
  <si>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</si>
  <si>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</si>
  <si>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</si>
  <si>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</si>
  <si>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</si>
  <si>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</si>
  <si>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</si>
  <si>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</si>
  <si>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</si>
  <si>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</si>
  <si>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</si>
  <si>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</si>
  <si>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</si>
  <si>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</si>
  <si>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</si>
  <si>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</si>
  <si>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</si>
  <si>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</si>
  <si>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</si>
  <si>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</si>
  <si>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</si>
  <si>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</si>
  <si>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</si>
  <si>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</si>
  <si>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</si>
  <si>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</si>
  <si>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</si>
  <si>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</si>
  <si>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</si>
  <si>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</si>
  <si>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</si>
  <si>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</si>
  <si>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</si>
  <si>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</si>
  <si>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</si>
  <si>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</si>
  <si>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</si>
  <si>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</si>
  <si>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</si>
  <si>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</si>
  <si>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</si>
  <si>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</si>
  <si>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</si>
  <si>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</si>
  <si>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</si>
  <si>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</si>
  <si>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</si>
  <si>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</si>
  <si>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</si>
  <si>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</si>
  <si>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</si>
  <si>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</si>
  <si>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</si>
  <si>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</si>
  <si>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</si>
  <si>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</si>
  <si>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</si>
  <si>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</si>
  <si>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</si>
  <si>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</si>
  <si>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</si>
  <si>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</si>
  <si>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</si>
  <si>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</si>
  <si>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</si>
  <si>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</si>
  <si>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</si>
  <si>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</si>
  <si>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</si>
  <si>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</si>
  <si>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</si>
  <si>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</si>
  <si>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</si>
  <si>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</si>
  <si>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</si>
  <si>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</si>
  <si>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</si>
  <si>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</si>
  <si>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</si>
  <si>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</si>
  <si>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</si>
  <si>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</si>
  <si>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</si>
  <si>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</si>
  <si>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</si>
  <si>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</si>
  <si>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</si>
  <si>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</si>
  <si>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</si>
  <si>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</si>
  <si>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</si>
  <si>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</si>
  <si>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</si>
  <si>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</si>
  <si>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</si>
  <si>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</si>
  <si>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</si>
  <si>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</si>
  <si>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</si>
  <si>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</si>
  <si>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</si>
  <si>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</si>
  <si>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</si>
  <si>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</si>
  <si>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</si>
  <si>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</si>
  <si>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</si>
  <si>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</si>
  <si>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</si>
  <si>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</si>
  <si>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</si>
  <si>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</si>
  <si>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</si>
  <si>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</si>
  <si>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</si>
  <si>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</si>
  <si>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</si>
  <si>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</si>
  <si>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</si>
  <si>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</si>
  <si>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</si>
  <si>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</si>
  <si>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</si>
  <si>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</si>
  <si>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</si>
  <si>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</si>
  <si>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</si>
  <si>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</si>
  <si>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</si>
  <si>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</si>
  <si>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</si>
  <si>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</si>
  <si>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</si>
  <si>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</si>
  <si>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</si>
  <si>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</si>
  <si>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</si>
  <si>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</si>
  <si>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</si>
  <si>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</si>
  <si>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</si>
  <si>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</si>
  <si>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</si>
  <si>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</si>
  <si>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</si>
  <si>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</si>
  <si>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</si>
  <si>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</si>
  <si>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</si>
  <si>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</si>
  <si>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</si>
  <si>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</si>
  <si>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</si>
  <si>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</si>
  <si>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</si>
  <si>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</si>
  <si>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</si>
  <si>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</si>
  <si>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</si>
  <si>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</si>
  <si>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</si>
  <si>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</si>
  <si>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</si>
  <si>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</si>
  <si>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</si>
  <si>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</si>
  <si>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</si>
  <si>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</si>
  <si>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</si>
  <si>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</si>
  <si>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</si>
  <si>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</si>
  <si>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</si>
  <si>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</si>
  <si>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</si>
  <si>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</si>
  <si>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</si>
  <si>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</si>
  <si>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</si>
  <si>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</si>
  <si>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</si>
  <si>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</si>
  <si>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</si>
  <si>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</si>
  <si>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</si>
  <si>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</si>
  <si>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</si>
  <si>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</si>
  <si>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</si>
  <si>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</si>
  <si>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</si>
  <si>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</si>
  <si>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</si>
  <si>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</si>
  <si>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</si>
  <si>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</si>
  <si>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</si>
  <si>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</si>
  <si>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</si>
  <si>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</si>
  <si>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</si>
  <si>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</si>
  <si>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</si>
  <si>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</si>
  <si>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</si>
  <si>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</si>
  <si>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</si>
  <si>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</si>
  <si>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</si>
  <si>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</si>
  <si>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</si>
  <si>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</si>
  <si>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</si>
  <si>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</si>
  <si>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</si>
  <si>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</si>
  <si>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</si>
  <si>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</si>
  <si>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</si>
  <si>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</si>
  <si>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</si>
  <si>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</si>
  <si>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</si>
  <si>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</si>
  <si>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</si>
  <si>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</si>
  <si>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</si>
  <si>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</si>
  <si>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</si>
  <si>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</si>
  <si>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</si>
  <si>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</si>
  <si>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</si>
  <si>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</si>
  <si>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</si>
  <si>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</si>
  <si>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</si>
  <si>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</si>
  <si>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</si>
  <si>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</si>
  <si>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</si>
  <si>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</si>
  <si>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</si>
  <si>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</si>
  <si>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</si>
  <si>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</si>
  <si>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</si>
  <si>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</si>
  <si>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</si>
  <si>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</si>
  <si>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</si>
  <si>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</si>
  <si>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</si>
  <si>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</si>
  <si>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</si>
  <si>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</si>
  <si>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</si>
  <si>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</si>
  <si>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</si>
  <si>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</si>
  <si>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</si>
  <si>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</si>
  <si>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</si>
  <si>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</si>
  <si>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</si>
  <si>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</si>
  <si>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</si>
  <si>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</si>
  <si>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</si>
  <si>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</si>
  <si>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</si>
  <si>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</si>
  <si>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</si>
  <si>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</si>
  <si>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</si>
  <si>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</si>
  <si>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</si>
  <si>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</si>
  <si>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</si>
  <si>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</si>
  <si>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</si>
  <si>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</si>
  <si>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</si>
  <si>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</si>
  <si>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</si>
  <si>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</si>
  <si>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</si>
  <si>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</si>
  <si>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</si>
  <si>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</si>
  <si>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</si>
  <si>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</si>
  <si>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</si>
  <si>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</si>
  <si>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</si>
  <si>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</si>
  <si>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</si>
  <si>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</si>
  <si>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</si>
  <si>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</si>
  <si>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</si>
  <si>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</si>
  <si>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</si>
  <si>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</si>
  <si>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</si>
  <si>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</si>
  <si>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</si>
  <si>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</si>
  <si>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</si>
  <si>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</si>
  <si>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</si>
  <si>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</si>
  <si>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</si>
  <si>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</si>
  <si>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</si>
  <si>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</si>
  <si>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</si>
  <si>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</si>
  <si>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</si>
  <si>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</si>
  <si>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</si>
  <si>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</si>
  <si>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</si>
  <si>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</si>
  <si>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</si>
  <si>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</si>
  <si>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</si>
  <si>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</si>
  <si>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</si>
  <si>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</si>
  <si>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</si>
  <si>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</si>
  <si>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</si>
  <si>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</si>
  <si>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</si>
  <si>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</si>
  <si>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</si>
  <si>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</si>
  <si>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</si>
  <si>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</si>
  <si>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</si>
  <si>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</si>
  <si>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</si>
  <si>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</si>
  <si>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</si>
  <si>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</si>
  <si>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</si>
  <si>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</si>
  <si>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</si>
  <si>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</si>
  <si>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</si>
  <si>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</si>
  <si>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</si>
  <si>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</si>
  <si>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</si>
  <si>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</si>
  <si>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</si>
  <si>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</si>
  <si>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</si>
  <si>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</si>
  <si>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</si>
  <si>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</si>
  <si>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</si>
  <si>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</si>
  <si>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</si>
  <si>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</si>
  <si>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</si>
  <si>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</si>
  <si>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</si>
  <si>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</si>
  <si>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</si>
  <si>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</si>
  <si>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</si>
  <si>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</si>
  <si>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</si>
  <si>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</si>
  <si>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</si>
  <si>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</si>
  <si>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</si>
  <si>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</si>
  <si>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</si>
  <si>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</si>
  <si>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</si>
  <si>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</si>
  <si>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</si>
  <si>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</si>
  <si>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</si>
  <si>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</si>
  <si>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</si>
  <si>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</si>
  <si>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</si>
  <si>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</si>
  <si>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</si>
  <si>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</si>
  <si>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</si>
  <si>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</si>
  <si>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</si>
  <si>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</si>
  <si>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</si>
  <si>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</si>
  <si>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</si>
  <si>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</si>
  <si>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</si>
  <si>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</si>
  <si>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</si>
  <si>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</si>
  <si>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</si>
  <si>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</si>
  <si>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</si>
  <si>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</si>
  <si>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</si>
  <si>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</si>
  <si>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</si>
  <si>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</si>
  <si>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</si>
  <si>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</si>
  <si>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</si>
  <si>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</si>
  <si>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</si>
  <si>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</si>
  <si>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</si>
  <si>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</si>
  <si>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</si>
  <si>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</si>
  <si>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</si>
  <si>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</si>
  <si>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</si>
  <si>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</si>
  <si>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</si>
  <si>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</si>
  <si>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</si>
  <si>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</si>
  <si>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</si>
  <si>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</si>
  <si>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</si>
  <si>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</si>
  <si>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</si>
  <si>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</si>
  <si>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</si>
  <si>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</si>
  <si>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</si>
  <si>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</si>
  <si>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</si>
  <si>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</si>
  <si>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</si>
  <si>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</si>
  <si>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</si>
  <si>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</si>
  <si>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</si>
  <si>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</si>
  <si>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</si>
  <si>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</si>
  <si>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</si>
  <si>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</si>
  <si>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</si>
  <si>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</si>
  <si>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</si>
  <si>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</si>
  <si>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</si>
  <si>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</si>
  <si>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</si>
  <si>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</si>
  <si>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</si>
  <si>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</si>
  <si>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</si>
  <si>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</si>
  <si>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</si>
  <si>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</si>
  <si>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</si>
  <si>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</si>
  <si>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</si>
  <si>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</si>
  <si>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</si>
  <si>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</si>
  <si>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</si>
  <si>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</si>
  <si>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</si>
  <si>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</si>
  <si>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</si>
  <si>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</si>
  <si>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</si>
  <si>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</si>
  <si>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</si>
  <si>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</si>
  <si>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</si>
  <si>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</si>
  <si>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</si>
  <si>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</si>
  <si>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</si>
  <si>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</si>
  <si>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</si>
  <si>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</si>
  <si>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</si>
  <si>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</si>
  <si>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</si>
  <si>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</si>
  <si>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</si>
  <si>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</si>
  <si>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</si>
  <si>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</si>
  <si>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</si>
  <si>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</si>
  <si>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</si>
  <si>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</si>
  <si>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</si>
  <si>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</si>
  <si>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</si>
  <si>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</si>
  <si>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</si>
  <si>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</si>
  <si>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</si>
  <si>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</si>
  <si>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</si>
  <si>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</si>
  <si>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</si>
  <si>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</si>
  <si>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</si>
  <si>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</si>
  <si>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</si>
  <si>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</si>
  <si>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</si>
  <si>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</si>
  <si>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</si>
  <si>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</si>
  <si>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</si>
  <si>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</si>
  <si>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</si>
  <si>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</si>
  <si>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</si>
  <si>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</si>
  <si>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</si>
  <si>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</si>
  <si>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</si>
  <si>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</si>
  <si>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</si>
  <si>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</si>
  <si>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</si>
  <si>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</si>
  <si>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</si>
  <si>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</si>
  <si>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</si>
  <si>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</si>
  <si>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</si>
  <si>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</si>
  <si>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</si>
  <si>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</si>
  <si>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</si>
  <si>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</si>
  <si>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</si>
  <si>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</si>
  <si>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</si>
  <si>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</si>
  <si>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</si>
  <si>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</si>
  <si>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</si>
  <si>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</si>
  <si>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</si>
  <si>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</si>
  <si>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</si>
  <si>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</si>
  <si>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</si>
  <si>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</si>
  <si>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</si>
  <si>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</si>
  <si>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</si>
  <si>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</si>
  <si>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</si>
  <si>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</si>
  <si>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</si>
  <si>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</si>
  <si>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</si>
  <si>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</si>
  <si>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</si>
  <si>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</si>
  <si>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</si>
  <si>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</si>
  <si>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</si>
  <si>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</si>
  <si>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</si>
  <si>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</si>
  <si>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</si>
  <si>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</si>
  <si>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</si>
  <si>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</si>
  <si>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</si>
  <si>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</si>
  <si>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</si>
  <si>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</si>
  <si>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</si>
  <si>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</si>
  <si>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</si>
  <si>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</si>
  <si>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</si>
  <si>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</si>
  <si>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</si>
  <si>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</si>
  <si>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</si>
  <si>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</si>
  <si>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</si>
  <si>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</si>
  <si>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</si>
  <si>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</si>
  <si>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</si>
  <si>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</si>
  <si>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</si>
  <si>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</si>
  <si>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</si>
  <si>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</si>
  <si>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</si>
  <si>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</si>
  <si>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</si>
  <si>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</si>
  <si>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</si>
  <si>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</si>
  <si>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</si>
  <si>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</si>
  <si>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</si>
  <si>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</si>
  <si>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</si>
  <si>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</si>
  <si>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</si>
  <si>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</si>
  <si>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</si>
  <si>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</si>
  <si>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</si>
  <si>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</si>
  <si>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</si>
  <si>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</si>
  <si>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</si>
  <si>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</si>
  <si>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</si>
  <si>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</si>
  <si>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</si>
  <si>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</si>
  <si>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</si>
  <si>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</si>
  <si>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</si>
  <si>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</si>
  <si>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</si>
  <si>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</si>
  <si>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</si>
  <si>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</si>
  <si>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</si>
  <si>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</si>
  <si>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</si>
  <si>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</si>
  <si>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</si>
  <si>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</si>
  <si>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</si>
  <si>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</si>
  <si>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</si>
  <si>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</si>
  <si>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</si>
  <si>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</si>
  <si>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</si>
  <si>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</si>
  <si>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</si>
  <si>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</si>
  <si>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</si>
  <si>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</si>
  <si>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</si>
  <si>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</si>
  <si>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</si>
  <si>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</si>
  <si>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</si>
  <si>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</si>
  <si>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</si>
  <si>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</si>
  <si>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</si>
  <si>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</si>
  <si>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</si>
  <si>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</si>
  <si>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</si>
  <si>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</si>
  <si>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</si>
  <si>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</si>
  <si>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</si>
  <si>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</si>
  <si>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</si>
  <si>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</si>
  <si>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</si>
  <si>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</si>
  <si>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</si>
  <si>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</si>
  <si>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</si>
  <si>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</si>
  <si>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</si>
  <si>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</si>
  <si>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</si>
  <si>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</si>
  <si>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</si>
  <si>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</si>
  <si>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</si>
  <si>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</si>
  <si>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</si>
  <si>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</si>
  <si>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</si>
  <si>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</si>
  <si>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</si>
  <si>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</si>
  <si>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</si>
  <si>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</si>
  <si>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</si>
  <si>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</si>
  <si>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</si>
  <si>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</si>
  <si>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</si>
  <si>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</si>
  <si>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</si>
  <si>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</si>
  <si>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</si>
  <si>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</si>
  <si>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</si>
  <si>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</si>
  <si>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</si>
  <si>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</si>
  <si>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</si>
  <si>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</si>
  <si>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</si>
  <si>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</si>
  <si>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</si>
  <si>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</si>
  <si>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</si>
  <si>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</si>
  <si>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</si>
  <si>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</si>
  <si>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</si>
  <si>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</si>
  <si>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</si>
  <si>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</si>
  <si>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</si>
  <si>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</si>
  <si>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</si>
  <si>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</si>
  <si>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</si>
  <si>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</si>
  <si>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</si>
  <si>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</si>
  <si>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</si>
  <si>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</si>
  <si>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</si>
  <si>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</si>
  <si>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</si>
  <si>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</si>
  <si>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</si>
  <si>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</si>
  <si>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</si>
  <si>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</si>
  <si>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</si>
  <si>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</si>
  <si>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</si>
  <si>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</si>
  <si>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</si>
  <si>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</si>
  <si>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</si>
  <si>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</si>
  <si>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</si>
  <si>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</si>
  <si>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</si>
  <si>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</si>
  <si>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</si>
  <si>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</si>
  <si>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</si>
  <si>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</si>
  <si>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</si>
  <si>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</si>
  <si>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</si>
  <si>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</si>
  <si>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</si>
  <si>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</si>
  <si>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</si>
  <si>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</si>
  <si>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</si>
  <si>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</si>
  <si>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</si>
  <si>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</si>
  <si>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</si>
  <si>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</si>
  <si>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</si>
  <si>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</si>
  <si>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</si>
  <si>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</si>
  <si>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</si>
  <si>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</si>
  <si>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</si>
  <si>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</si>
  <si>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</si>
  <si>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</si>
  <si>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</si>
  <si>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</si>
  <si>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</si>
  <si>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</si>
  <si>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</si>
  <si>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</si>
  <si>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</si>
  <si>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</si>
  <si>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</si>
  <si>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</si>
  <si>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</si>
  <si>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</si>
  <si>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</si>
  <si>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</si>
  <si>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</si>
  <si>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</si>
  <si>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</si>
  <si>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</si>
  <si>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</si>
  <si>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</si>
  <si>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</si>
  <si>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</si>
  <si>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</si>
  <si>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</si>
  <si>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</si>
  <si>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</si>
  <si>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</si>
  <si>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</si>
  <si>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</si>
  <si>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</si>
  <si>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</si>
  <si>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</si>
  <si>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</si>
  <si>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</si>
  <si>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</si>
  <si>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</si>
  <si>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</si>
  <si>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</si>
  <si>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</si>
  <si>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</si>
  <si>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</si>
  <si>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</si>
  <si>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</si>
  <si>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</si>
  <si>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</si>
  <si>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</si>
  <si>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</si>
  <si>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</si>
  <si>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</si>
  <si>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</si>
  <si>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</si>
  <si>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</si>
  <si>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</si>
  <si>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</si>
  <si>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</si>
  <si>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</si>
  <si>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</si>
  <si>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</si>
  <si>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</si>
  <si>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</si>
  <si>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</si>
  <si>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</si>
  <si>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</si>
  <si>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</si>
  <si>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</si>
  <si>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</si>
  <si>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</si>
  <si>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</si>
  <si>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</si>
  <si>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</si>
  <si>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</si>
  <si>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</si>
  <si>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</si>
  <si>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</si>
  <si>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</si>
  <si>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</si>
  <si>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</si>
  <si>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</si>
  <si>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</si>
  <si>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</si>
  <si>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</si>
  <si>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</si>
  <si>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</si>
  <si>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</si>
  <si>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</si>
  <si>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</si>
  <si>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</si>
  <si>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</si>
  <si>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</si>
  <si>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</si>
  <si>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</si>
  <si>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</si>
  <si>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</si>
  <si>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</si>
  <si>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</si>
  <si>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</si>
  <si>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</si>
  <si>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</si>
  <si>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</si>
  <si>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</si>
  <si>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</si>
  <si>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</si>
  <si>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</si>
  <si>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</si>
  <si>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</si>
  <si>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</si>
  <si>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</si>
  <si>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</si>
  <si>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</si>
  <si>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</si>
  <si>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</si>
  <si>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</si>
  <si>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</si>
  <si>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</si>
  <si>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</si>
  <si>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</si>
  <si>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</si>
  <si>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</si>
  <si>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</si>
  <si>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</si>
  <si>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</si>
  <si>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</si>
  <si>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</si>
  <si>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</si>
  <si>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</si>
  <si>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</si>
  <si>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</si>
  <si>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</si>
  <si>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</si>
  <si>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</si>
  <si>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</si>
  <si>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</si>
  <si>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</si>
  <si>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</si>
  <si>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</si>
  <si>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</si>
  <si>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</si>
  <si>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</si>
  <si>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</si>
  <si>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</si>
  <si>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</si>
  <si>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</si>
  <si>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</si>
  <si>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</si>
  <si>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</si>
  <si>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</si>
  <si>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</si>
  <si>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</si>
  <si>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</si>
  <si>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</si>
  <si>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</si>
  <si>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</si>
  <si>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</si>
  <si>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</si>
  <si>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</si>
  <si>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</si>
  <si>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</si>
  <si>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</si>
  <si>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</si>
  <si>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</si>
  <si>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</si>
  <si>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</si>
  <si>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</si>
  <si>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</si>
  <si>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</si>
  <si>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</si>
  <si>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</si>
  <si>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</si>
  <si>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</si>
  <si>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</si>
  <si>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</si>
  <si>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</si>
  <si>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</si>
  <si>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</si>
  <si>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</si>
  <si>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</si>
  <si>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</si>
  <si>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</si>
  <si>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</si>
  <si>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</si>
  <si>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</si>
  <si>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</si>
  <si>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</si>
  <si>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</si>
  <si>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</si>
  <si>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</si>
  <si>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</si>
  <si>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</si>
  <si>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</si>
  <si>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</si>
  <si>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</si>
  <si>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</si>
  <si>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</si>
  <si>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</si>
  <si>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</si>
  <si>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</si>
  <si>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</si>
  <si>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</si>
  <si>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</si>
  <si>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</si>
  <si>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</si>
  <si>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</si>
  <si>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</si>
  <si>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</si>
  <si>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</si>
  <si>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</si>
  <si>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</si>
  <si>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</si>
  <si>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</si>
  <si>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</si>
  <si>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</si>
  <si>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</si>
  <si>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</si>
  <si>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</si>
  <si>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</si>
  <si>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</si>
  <si>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</si>
  <si>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</si>
  <si>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</si>
  <si>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</si>
  <si>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</si>
  <si>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</si>
  <si>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</si>
  <si>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</si>
  <si>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</si>
  <si>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</si>
  <si>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</si>
  <si>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</si>
  <si>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</si>
  <si>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</si>
  <si>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</si>
  <si>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</si>
  <si>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</si>
  <si>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</si>
  <si>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</si>
  <si>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</si>
  <si>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</si>
  <si>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</si>
  <si>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</si>
  <si>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</si>
  <si>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</si>
  <si>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</si>
  <si>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</si>
  <si>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</si>
  <si>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</si>
  <si>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</si>
  <si>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</si>
  <si>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</si>
  <si>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</si>
  <si>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</si>
  <si>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</si>
  <si>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</si>
  <si>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</si>
  <si>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</si>
  <si>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</si>
  <si>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</si>
  <si>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</si>
  <si>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</si>
  <si>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</si>
  <si>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</si>
  <si>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</si>
  <si>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</si>
  <si>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</si>
  <si>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</si>
  <si>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</si>
  <si>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</si>
  <si>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</si>
  <si>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</si>
  <si>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</si>
  <si>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</si>
  <si>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</si>
  <si>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</si>
  <si>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</si>
  <si>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</si>
  <si>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</si>
  <si>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</si>
  <si>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</si>
  <si>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</si>
  <si>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</si>
  <si>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</si>
  <si>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</si>
  <si>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</si>
  <si>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</si>
  <si>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</si>
  <si>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</si>
  <si>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</si>
  <si>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</si>
  <si>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</si>
  <si>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</si>
  <si>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</si>
  <si>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</si>
  <si>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</si>
  <si>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</si>
  <si>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</si>
  <si>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</si>
  <si>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</si>
  <si>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</si>
  <si>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</si>
  <si>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</si>
  <si>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</si>
  <si>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</si>
  <si>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</si>
  <si>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</si>
  <si>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</si>
  <si>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</si>
  <si>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</si>
  <si>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</si>
  <si>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</si>
  <si>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</si>
  <si>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</si>
  <si>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</si>
  <si>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</si>
  <si>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</si>
  <si>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</si>
  <si>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</si>
  <si>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</si>
  <si>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</si>
  <si>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</si>
  <si>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</si>
  <si>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</si>
  <si>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</si>
  <si>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</si>
  <si>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</si>
  <si>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</si>
  <si>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</si>
  <si>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</si>
  <si>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</si>
  <si>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</si>
  <si>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</si>
  <si>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</si>
  <si>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</si>
  <si>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</si>
  <si>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</si>
  <si>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</si>
  <si>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</si>
  <si>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</si>
  <si>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</si>
  <si>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</si>
  <si>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</si>
  <si>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</si>
  <si>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</si>
  <si>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</si>
  <si>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</si>
  <si>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</si>
  <si>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</si>
  <si>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</si>
  <si>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</si>
  <si>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</si>
  <si>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</si>
  <si>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</si>
  <si>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</si>
  <si>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</si>
  <si>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</si>
  <si>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</si>
  <si>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</si>
  <si>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</si>
  <si>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</si>
  <si>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</si>
  <si>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</si>
  <si>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</si>
  <si>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</si>
  <si>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</si>
  <si>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</si>
  <si>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</si>
  <si>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</si>
  <si>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</si>
  <si>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</si>
  <si>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</si>
  <si>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</si>
  <si>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</si>
  <si>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</si>
  <si>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</si>
  <si>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</si>
  <si>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</si>
  <si>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</si>
  <si>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</si>
  <si>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</si>
  <si>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</si>
  <si>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</si>
  <si>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</si>
  <si>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</si>
  <si>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</si>
  <si>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</si>
  <si>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</si>
  <si>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</si>
  <si>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</si>
  <si>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</si>
  <si>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</si>
  <si>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</si>
  <si>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</si>
  <si>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</si>
  <si>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</si>
  <si>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</si>
  <si>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</si>
  <si>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</si>
  <si>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</si>
  <si>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</si>
  <si>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</si>
  <si>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</si>
  <si>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</si>
  <si>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</si>
  <si>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</si>
  <si>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</si>
  <si>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</si>
  <si>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</si>
  <si>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</si>
  <si>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</si>
  <si>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</si>
  <si>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</si>
  <si>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</si>
  <si>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</si>
  <si>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</si>
  <si>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</si>
  <si>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</si>
  <si>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</si>
  <si>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</si>
  <si>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</si>
  <si>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</si>
  <si>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</si>
  <si>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</si>
  <si>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</si>
  <si>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</si>
  <si>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</si>
  <si>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</si>
  <si>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</si>
  <si>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</si>
  <si>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</si>
  <si>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</si>
  <si>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</si>
  <si>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</si>
  <si>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</si>
  <si>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</si>
  <si>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</si>
  <si>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</si>
  <si>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</si>
  <si>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</si>
  <si>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</si>
  <si>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</si>
  <si>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</si>
  <si>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</si>
  <si>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</si>
  <si>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</si>
  <si>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</si>
  <si>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</si>
  <si>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</si>
  <si>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</si>
  <si>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</si>
  <si>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</si>
  <si>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</si>
  <si>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</si>
  <si>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</si>
  <si>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</si>
  <si>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</si>
  <si>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</si>
  <si>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</si>
  <si>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</si>
  <si>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</si>
  <si>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</si>
  <si>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</si>
  <si>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</si>
  <si>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</si>
  <si>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</si>
  <si>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</si>
  <si>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</si>
  <si>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</si>
  <si>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</si>
  <si>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</si>
  <si>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</si>
  <si>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</si>
  <si>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</si>
  <si>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</si>
  <si>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</si>
  <si>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</si>
  <si>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</si>
  <si>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</si>
  <si>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</si>
  <si>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</si>
  <si>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</si>
  <si>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</si>
  <si>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</si>
  <si>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</si>
  <si>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</si>
  <si>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</si>
  <si>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</si>
  <si>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</si>
  <si>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</si>
  <si>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</si>
  <si>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</si>
  <si>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</si>
  <si>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</si>
  <si>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</si>
  <si>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</si>
  <si>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</si>
  <si>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</si>
  <si>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</si>
  <si>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</si>
  <si>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</si>
  <si>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</si>
  <si>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</si>
  <si>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</si>
  <si>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</si>
  <si>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</si>
  <si>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</si>
  <si>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</si>
  <si>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</si>
  <si>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</si>
  <si>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</si>
  <si>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</si>
  <si>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</si>
  <si>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</si>
  <si>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</si>
  <si>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</si>
  <si>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</si>
  <si>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</si>
  <si>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</si>
  <si>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</si>
  <si>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</si>
  <si>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</si>
  <si>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</si>
  <si>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</si>
  <si>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</si>
  <si>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</si>
  <si>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</si>
  <si>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</si>
  <si>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</si>
  <si>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</si>
  <si>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</si>
  <si>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</si>
  <si>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</si>
  <si>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</si>
  <si>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</si>
  <si>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</si>
  <si>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</si>
  <si>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</si>
  <si>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</si>
  <si>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</si>
  <si>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</si>
  <si>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</si>
  <si>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</si>
  <si>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</si>
  <si>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</si>
  <si>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</si>
  <si>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</si>
  <si>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</si>
  <si>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</si>
  <si>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</si>
  <si>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</si>
  <si>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</si>
  <si>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</si>
  <si>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</si>
  <si>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</si>
  <si>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</si>
  <si>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</si>
  <si>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</si>
  <si>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</si>
  <si>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</si>
  <si>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</si>
  <si>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</si>
  <si>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</si>
  <si>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</si>
  <si>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</si>
  <si>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</si>
  <si>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</si>
  <si>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</si>
  <si>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</si>
  <si>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</si>
  <si>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</si>
  <si>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</si>
  <si>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</si>
  <si>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</si>
  <si>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</si>
  <si>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</si>
  <si>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</si>
  <si>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</si>
  <si>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</si>
  <si>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</si>
  <si>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</si>
  <si>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</si>
  <si>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</si>
  <si>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</si>
  <si>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</si>
  <si>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</si>
  <si>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</si>
  <si>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</si>
  <si>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</si>
  <si>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</si>
  <si>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</si>
  <si>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</si>
  <si>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</si>
  <si>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</si>
  <si>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</si>
  <si>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</si>
  <si>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</si>
  <si>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</si>
  <si>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</si>
  <si>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</si>
  <si>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</si>
  <si>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</si>
  <si>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</si>
  <si>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</si>
  <si>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</si>
  <si>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</si>
  <si>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</si>
  <si>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</si>
  <si>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</si>
  <si>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</si>
  <si>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</si>
  <si>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</si>
  <si>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</si>
  <si>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</si>
  <si>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</si>
  <si>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</si>
  <si>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</si>
  <si>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</si>
  <si>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</si>
  <si>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</si>
  <si>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</si>
  <si>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</si>
  <si>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</si>
  <si>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</si>
  <si>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</si>
  <si>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</si>
  <si>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</si>
  <si>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</si>
  <si>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</si>
  <si>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</si>
  <si>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</si>
  <si>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</si>
  <si>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</si>
  <si>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</si>
  <si>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</si>
  <si>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</si>
  <si>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</si>
  <si>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</si>
  <si>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</si>
  <si>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</si>
  <si>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</si>
  <si>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</si>
  <si>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</si>
  <si>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</si>
  <si>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</si>
  <si>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</si>
  <si>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</si>
  <si>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</si>
  <si>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</si>
  <si>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</si>
  <si>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</si>
  <si>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</si>
  <si>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</si>
  <si>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</si>
  <si>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</si>
  <si>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</si>
  <si>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</si>
  <si>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</si>
  <si>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</si>
  <si>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</si>
  <si>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</si>
  <si>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</si>
  <si>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</si>
  <si>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</si>
  <si>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</si>
  <si>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</si>
  <si>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</si>
  <si>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</si>
  <si>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</si>
  <si>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</si>
  <si>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</si>
  <si>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</si>
  <si>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</si>
  <si>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</si>
  <si>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</si>
  <si>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</si>
  <si>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</si>
  <si>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</si>
  <si>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</si>
  <si>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</si>
  <si>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</si>
  <si>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</si>
  <si>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</si>
  <si>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</si>
  <si>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</si>
  <si>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</si>
  <si>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</si>
  <si>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</si>
  <si>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</si>
  <si>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</si>
  <si>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</si>
  <si>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</si>
  <si>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</si>
  <si>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</si>
  <si>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</si>
  <si>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</si>
  <si>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</si>
  <si>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</si>
  <si>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</si>
  <si>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</si>
  <si>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</si>
  <si>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</si>
  <si>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</si>
  <si>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</si>
  <si>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</si>
  <si>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</si>
  <si>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</si>
  <si>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</si>
  <si>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</si>
  <si>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</si>
  <si>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</si>
  <si>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</si>
  <si>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</si>
  <si>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</si>
  <si>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</si>
  <si>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</si>
  <si>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</si>
  <si>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</si>
  <si>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</si>
  <si>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</si>
  <si>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</si>
  <si>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</si>
  <si>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</si>
  <si>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</si>
  <si>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</si>
  <si>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</si>
  <si>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</si>
  <si>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</si>
  <si>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</si>
  <si>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</si>
  <si>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</si>
  <si>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</si>
  <si>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</si>
  <si>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</si>
  <si>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</si>
  <si>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</si>
  <si>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</si>
  <si>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</si>
  <si>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</si>
  <si>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</si>
  <si>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</si>
  <si>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</si>
  <si>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</si>
  <si>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</si>
  <si>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</si>
  <si>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</si>
  <si>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</si>
  <si>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</si>
  <si>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</si>
  <si>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</si>
  <si>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</si>
  <si>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</si>
  <si>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</si>
  <si>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</si>
  <si>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</si>
  <si>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</si>
  <si>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</si>
  <si>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</si>
  <si>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</si>
  <si>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</si>
  <si>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</si>
  <si>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</si>
  <si>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</si>
  <si>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</si>
  <si>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</si>
  <si>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</si>
  <si>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</si>
  <si>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</si>
  <si>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</si>
  <si>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</si>
  <si>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</si>
  <si>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</si>
  <si>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</si>
  <si>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</si>
  <si>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</si>
  <si>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</si>
  <si>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</si>
  <si>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</si>
  <si>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</si>
  <si>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</si>
  <si>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</si>
  <si>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</si>
  <si>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</si>
  <si>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</si>
  <si>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</si>
  <si>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</si>
  <si>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</si>
  <si>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</si>
  <si>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</si>
  <si>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</si>
  <si>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</si>
  <si>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</si>
  <si>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</si>
  <si>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</si>
  <si>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</si>
  <si>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</si>
  <si>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</si>
  <si>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</si>
  <si>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</si>
  <si>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</si>
  <si>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</si>
  <si>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</si>
  <si>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</si>
  <si>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</si>
  <si>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</si>
  <si>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</si>
  <si>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</si>
  <si>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</si>
  <si>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</si>
  <si>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</si>
  <si>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</si>
  <si>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</si>
  <si>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</si>
  <si>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</si>
  <si>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</si>
  <si>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</si>
  <si>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</si>
  <si>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</si>
  <si>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</si>
  <si>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</si>
  <si>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</si>
  <si>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</si>
  <si>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</si>
  <si>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</si>
  <si>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</si>
  <si>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</si>
  <si>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</si>
  <si>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</si>
  <si>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</si>
  <si>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</si>
  <si>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</si>
  <si>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</si>
  <si>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</si>
  <si>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</si>
  <si>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</si>
  <si>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</si>
  <si>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</si>
  <si>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</si>
  <si>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</si>
  <si>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</si>
  <si>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</si>
  <si>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</si>
  <si>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</si>
  <si>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</si>
  <si>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</si>
  <si>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</si>
  <si>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</si>
  <si>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</si>
  <si>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</si>
  <si>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</si>
  <si>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</si>
  <si>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</si>
  <si>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</si>
  <si>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</si>
  <si>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</si>
  <si>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</si>
  <si>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</si>
  <si>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</si>
  <si>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</si>
  <si>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</si>
  <si>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</si>
  <si>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</si>
  <si>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</si>
  <si>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</si>
  <si>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</si>
  <si>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</si>
  <si>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</si>
  <si>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</si>
  <si>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</si>
  <si>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</si>
  <si>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</si>
  <si>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</si>
  <si>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</si>
  <si>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</si>
  <si>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</si>
  <si>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</si>
  <si>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</si>
  <si>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</si>
  <si>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</si>
  <si>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</si>
  <si>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</si>
  <si>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</si>
  <si>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</si>
  <si>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</si>
  <si>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</si>
  <si>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</si>
  <si>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</si>
  <si>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</si>
  <si>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</si>
  <si>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</si>
  <si>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</si>
  <si>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</si>
  <si>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</si>
  <si>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</si>
  <si>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</si>
  <si>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</si>
  <si>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</si>
  <si>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</si>
  <si>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</si>
  <si>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</si>
  <si>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</si>
  <si>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</si>
  <si>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</si>
  <si>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</si>
  <si>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</si>
  <si>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</si>
  <si>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</si>
  <si>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</si>
  <si>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</si>
  <si>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</si>
  <si>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</si>
  <si>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</si>
  <si>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</si>
  <si>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</si>
  <si>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</si>
  <si>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</si>
  <si>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</si>
  <si>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</si>
  <si>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</si>
  <si>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</si>
  <si>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</si>
  <si>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</si>
  <si>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</si>
  <si>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</si>
  <si>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</si>
  <si>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</si>
  <si>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</si>
  <si>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</si>
  <si>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</si>
  <si>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</si>
  <si>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</si>
  <si>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</si>
  <si>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</si>
  <si>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</si>
  <si>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</si>
  <si>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</si>
  <si>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</si>
  <si>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</si>
  <si>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</si>
  <si>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</si>
  <si>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</si>
  <si>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</si>
  <si>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</si>
  <si>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</si>
  <si>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</si>
  <si>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</si>
  <si>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</si>
  <si>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</si>
  <si>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</si>
  <si>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</si>
  <si>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</si>
  <si>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</si>
  <si>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</si>
  <si>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</si>
  <si>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</si>
  <si>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</si>
  <si>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</si>
  <si>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</si>
  <si>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</si>
  <si>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</si>
  <si>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</si>
  <si>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</si>
  <si>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</si>
  <si>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</si>
  <si>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</si>
  <si>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</si>
  <si>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</si>
  <si>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</si>
  <si>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</si>
  <si>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</si>
  <si>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</si>
  <si>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</si>
  <si>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</si>
  <si>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</si>
  <si>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</si>
  <si>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</si>
  <si>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</si>
  <si>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</si>
  <si>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</si>
  <si>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</si>
  <si>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</si>
  <si>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</si>
  <si>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</si>
  <si>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</si>
  <si>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</si>
  <si>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</si>
  <si>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</si>
  <si>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</si>
  <si>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</si>
  <si>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</si>
  <si>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</si>
  <si>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</si>
  <si>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</si>
  <si>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</si>
  <si>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</si>
  <si>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</si>
  <si>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</si>
  <si>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</si>
  <si>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</si>
  <si>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</si>
  <si>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</si>
  <si>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</si>
  <si>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</si>
  <si>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</si>
  <si>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</si>
  <si>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</si>
  <si>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</si>
  <si>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</si>
  <si>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</si>
  <si>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</si>
  <si>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</si>
  <si>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</si>
  <si>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</si>
  <si>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</si>
  <si>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</si>
  <si>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</si>
  <si>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</si>
  <si>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</si>
  <si>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</si>
  <si>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</si>
  <si>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</si>
  <si>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</si>
  <si>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</si>
  <si>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</si>
  <si>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</si>
  <si>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</si>
  <si>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</si>
  <si>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</si>
  <si>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</si>
  <si>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</si>
  <si>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</si>
  <si>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</si>
  <si>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</si>
  <si>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</si>
  <si>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</si>
  <si>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</si>
  <si>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</si>
  <si>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</si>
  <si>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</si>
  <si>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</si>
  <si>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</si>
  <si>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</si>
  <si>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</si>
  <si>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</si>
  <si>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</si>
  <si>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</si>
  <si>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</si>
  <si>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</si>
  <si>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</si>
  <si>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</si>
  <si>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</si>
  <si>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</si>
  <si>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</si>
  <si>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</si>
  <si>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</si>
  <si>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</si>
  <si>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</si>
  <si>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</si>
  <si>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</si>
  <si>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</si>
  <si>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</si>
  <si>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</si>
  <si>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</si>
  <si>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</si>
  <si>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</si>
  <si>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</si>
  <si>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</si>
  <si>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</si>
  <si>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</si>
  <si>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</si>
  <si>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</si>
  <si>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</si>
  <si>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</si>
  <si>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</si>
  <si>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</si>
  <si>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</si>
  <si>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</si>
  <si>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</si>
  <si>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</si>
  <si>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</si>
  <si>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</si>
  <si>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</si>
  <si>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</si>
  <si>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</si>
  <si>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</si>
  <si>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</si>
  <si>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</si>
  <si>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</si>
  <si>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</si>
  <si>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</si>
  <si>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</si>
  <si>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</si>
  <si>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</si>
  <si>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</si>
  <si>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</si>
  <si>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</si>
  <si>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</si>
  <si>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</si>
  <si>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</si>
  <si>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</si>
  <si>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</si>
  <si>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</si>
  <si>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</si>
  <si>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</si>
  <si>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</si>
  <si>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</si>
  <si>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</si>
  <si>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</si>
  <si>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</si>
  <si>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</si>
  <si>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</si>
  <si>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</si>
  <si>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</si>
  <si>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</si>
  <si>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</si>
  <si>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</si>
  <si>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</si>
  <si>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</si>
  <si>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</si>
  <si>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</si>
  <si>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</si>
  <si>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</si>
  <si>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</si>
  <si>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</si>
  <si>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</si>
  <si>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</si>
  <si>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</si>
  <si>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</si>
  <si>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</si>
  <si>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</si>
  <si>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</si>
  <si>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</si>
  <si>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</si>
  <si>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</si>
  <si>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</si>
  <si>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</si>
  <si>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</si>
  <si>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</si>
  <si>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</si>
  <si>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</si>
  <si>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</si>
  <si>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</si>
  <si>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</si>
  <si>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</si>
  <si>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</si>
  <si>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</si>
  <si>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</si>
  <si>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</si>
  <si>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</si>
  <si>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</si>
  <si>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</si>
  <si>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</si>
  <si>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</si>
  <si>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</si>
  <si>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</si>
  <si>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</si>
  <si>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</si>
  <si>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</si>
  <si>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</si>
  <si>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</si>
  <si>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</si>
  <si>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</si>
  <si>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</si>
  <si>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</si>
  <si>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</si>
  <si>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</si>
  <si>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</si>
  <si>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</si>
  <si>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</si>
  <si>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</si>
  <si>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</si>
  <si>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</si>
  <si>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</si>
  <si>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</si>
  <si>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</si>
  <si>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</si>
  <si>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</si>
  <si>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</si>
  <si>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</si>
  <si>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</si>
  <si>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</si>
  <si>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</si>
  <si>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</si>
  <si>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</si>
  <si>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</si>
  <si>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</si>
  <si>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</si>
  <si>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</si>
  <si>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</si>
  <si>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</si>
  <si>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</si>
  <si>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</si>
  <si>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</si>
  <si>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</si>
  <si>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</si>
  <si>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</si>
  <si>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</si>
  <si>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</si>
  <si>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</si>
  <si>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</si>
  <si>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</si>
  <si>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</si>
  <si>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</si>
  <si>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</si>
  <si>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</si>
  <si>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</si>
  <si>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</si>
  <si>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</si>
  <si>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</si>
  <si>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</si>
  <si>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</si>
  <si>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</si>
  <si>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</si>
  <si>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</si>
  <si>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</si>
  <si>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</si>
  <si>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</si>
  <si>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</si>
  <si>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</si>
  <si>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</si>
  <si>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</si>
  <si>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</si>
  <si>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</si>
  <si>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</si>
  <si>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</si>
  <si>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</si>
  <si>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</si>
  <si>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</si>
  <si>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</si>
  <si>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</si>
  <si>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</si>
  <si>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</si>
  <si>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</si>
  <si>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</si>
  <si>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</si>
  <si>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</si>
  <si>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</si>
  <si>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</si>
  <si>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</si>
  <si>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</si>
  <si>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</si>
  <si>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</si>
  <si>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</si>
  <si>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</si>
  <si>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</si>
  <si>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</si>
  <si>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</si>
  <si>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</si>
  <si>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</si>
  <si>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</si>
  <si>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</si>
  <si>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</si>
  <si>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</si>
  <si>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</si>
  <si>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</si>
  <si>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</si>
  <si>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</si>
  <si>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</si>
  <si>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</si>
  <si>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</si>
  <si>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</si>
  <si>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</si>
  <si>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</si>
  <si>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</si>
  <si>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</si>
  <si>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</si>
  <si>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</si>
  <si>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</si>
  <si>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</si>
  <si>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</si>
  <si>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</si>
  <si>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</si>
  <si>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</si>
  <si>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</si>
  <si>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</si>
  <si>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</si>
  <si>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</si>
  <si>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</si>
  <si>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</si>
  <si>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</si>
  <si>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</si>
  <si>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</si>
  <si>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</si>
  <si>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</si>
  <si>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</si>
  <si>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</si>
  <si>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</si>
  <si>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</si>
  <si>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</si>
  <si>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</si>
  <si>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</si>
  <si>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</si>
  <si>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</si>
  <si>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</si>
  <si>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</si>
  <si>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</si>
  <si>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</si>
  <si>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</si>
  <si>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</si>
  <si>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</si>
  <si>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</si>
  <si>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</si>
  <si>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</si>
  <si>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</si>
  <si>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</si>
  <si>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</si>
  <si>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</si>
  <si>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</si>
  <si>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</si>
  <si>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</si>
  <si>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</si>
  <si>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</si>
  <si>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</si>
  <si>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</si>
  <si>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</si>
  <si>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</si>
  <si>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</si>
  <si>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</si>
  <si>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</si>
  <si>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</si>
  <si>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</si>
  <si>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</si>
  <si>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</si>
  <si>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</si>
  <si>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</si>
  <si>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</si>
  <si>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</si>
  <si>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</si>
  <si>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</si>
  <si>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</si>
  <si>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</si>
  <si>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</si>
  <si>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</si>
  <si>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</si>
  <si>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</si>
  <si>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</si>
  <si>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</si>
  <si>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</si>
  <si>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</si>
  <si>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</si>
  <si>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</si>
  <si>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</si>
  <si>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</si>
  <si>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</si>
  <si>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</si>
  <si>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</si>
  <si>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</si>
  <si>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</si>
  <si>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</si>
  <si>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</si>
  <si>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</si>
  <si>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</si>
  <si>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</si>
  <si>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</si>
  <si>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</si>
  <si>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</si>
  <si>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</si>
  <si>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</si>
  <si>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</si>
  <si>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</si>
  <si>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</si>
  <si>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</si>
  <si>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</si>
  <si>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</si>
  <si>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</si>
  <si>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</si>
  <si>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</si>
  <si>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</si>
  <si>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</si>
  <si>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</si>
  <si>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</si>
  <si>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</si>
  <si>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</si>
  <si>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</si>
  <si>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</si>
  <si>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</si>
  <si>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</si>
  <si>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</si>
  <si>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</si>
  <si>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</si>
  <si>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</si>
  <si>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</si>
  <si>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</si>
  <si>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</si>
  <si>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</si>
  <si>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</si>
  <si>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</si>
  <si>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</si>
  <si>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</si>
  <si>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</si>
  <si>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</si>
  <si>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</si>
  <si>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</si>
  <si>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</si>
  <si>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</si>
  <si>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</si>
  <si>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</si>
  <si>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</si>
  <si>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</si>
  <si>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</si>
  <si>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</si>
  <si>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</si>
  <si>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</si>
  <si>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</si>
  <si>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</si>
  <si>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</si>
  <si>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</si>
  <si>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</si>
  <si>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</si>
  <si>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</si>
  <si>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</si>
  <si>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</si>
  <si>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</si>
  <si>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</si>
  <si>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</si>
  <si>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</si>
  <si>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</si>
  <si>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</si>
  <si>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</si>
  <si>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</si>
  <si>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</si>
  <si>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</si>
  <si>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</si>
  <si>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</si>
  <si>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</si>
  <si>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</si>
  <si>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</si>
  <si>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</si>
  <si>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</si>
  <si>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</si>
  <si>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</si>
  <si>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</si>
  <si>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</si>
  <si>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</si>
  <si>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</si>
  <si>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</si>
  <si>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</si>
  <si>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</si>
  <si>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</si>
  <si>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</si>
  <si>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</si>
  <si>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</si>
  <si>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</si>
  <si>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</si>
  <si>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</si>
  <si>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</si>
  <si>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</si>
  <si>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</si>
  <si>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</si>
  <si>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</si>
  <si>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</si>
  <si>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</si>
  <si>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</si>
  <si>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</si>
  <si>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</si>
  <si>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</si>
  <si>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</si>
  <si>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</si>
  <si>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</si>
  <si>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</si>
  <si>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</si>
  <si>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</si>
  <si>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</si>
  <si>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</si>
  <si>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</si>
  <si>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</si>
  <si>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</si>
  <si>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</si>
  <si>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</si>
  <si>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</si>
  <si>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</si>
  <si>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</si>
  <si>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</si>
  <si>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</si>
  <si>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</si>
  <si>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</si>
  <si>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</si>
  <si>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</si>
  <si>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</si>
  <si>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</si>
  <si>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</si>
  <si>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</si>
  <si>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</si>
  <si>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</si>
  <si>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</si>
  <si>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</si>
  <si>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</si>
  <si>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</si>
  <si>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</si>
  <si>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</si>
  <si>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</si>
  <si>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</si>
  <si>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</si>
  <si>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</si>
  <si>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</si>
  <si>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</si>
  <si>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</si>
  <si>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</si>
  <si>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</si>
  <si>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</si>
  <si>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</si>
  <si>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</si>
  <si>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</si>
  <si>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</si>
  <si>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</si>
  <si>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</si>
  <si>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</si>
  <si>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</si>
  <si>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</si>
  <si>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</si>
  <si>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</si>
  <si>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</si>
  <si>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</si>
  <si>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</si>
  <si>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</si>
  <si>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</si>
  <si>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</si>
  <si>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</si>
  <si>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</si>
  <si>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</si>
  <si>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</si>
  <si>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</si>
  <si>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</si>
  <si>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</si>
  <si>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</si>
  <si>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</si>
  <si>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</si>
  <si>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</si>
  <si>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</si>
  <si>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</si>
  <si>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</si>
  <si>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</si>
  <si>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</si>
  <si>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</si>
  <si>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</si>
  <si>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</si>
  <si>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</si>
  <si>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</si>
  <si>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</si>
  <si>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</si>
  <si>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</si>
  <si>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</si>
  <si>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</si>
  <si>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</si>
  <si>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</si>
  <si>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</si>
  <si>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</si>
  <si>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</si>
  <si>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</si>
  <si>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</si>
  <si>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</si>
  <si>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</si>
  <si>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</si>
  <si>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</si>
  <si>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</si>
  <si>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</si>
  <si>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</si>
  <si>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</si>
  <si>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</si>
  <si>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</si>
  <si>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</si>
  <si>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</si>
  <si>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</si>
  <si>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</si>
  <si>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</si>
  <si>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</si>
  <si>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</si>
  <si>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</si>
  <si>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</si>
  <si>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</si>
  <si>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</si>
  <si>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</si>
  <si>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</si>
  <si>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</si>
  <si>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</si>
  <si>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</si>
  <si>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</si>
  <si>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</si>
  <si>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</si>
  <si>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</si>
  <si>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</si>
  <si>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</si>
  <si>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</si>
  <si>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</si>
  <si>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</si>
  <si>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</si>
  <si>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</si>
  <si>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</si>
  <si>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</si>
  <si>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</si>
  <si>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</si>
  <si>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</si>
  <si>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</si>
  <si>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</si>
  <si>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</si>
  <si>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</si>
  <si>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</si>
  <si>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</si>
  <si>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</si>
  <si>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</si>
  <si>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</si>
  <si>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</si>
  <si>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</si>
  <si>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</si>
  <si>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</si>
  <si>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</si>
  <si>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</si>
  <si>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</si>
  <si>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</si>
  <si>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</si>
  <si>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</si>
  <si>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</si>
  <si>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</si>
  <si>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</si>
  <si>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</si>
  <si>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</si>
  <si>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</si>
  <si>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</si>
  <si>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</si>
  <si>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</si>
  <si>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</si>
  <si>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</si>
  <si>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</si>
  <si>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</si>
  <si>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</si>
  <si>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</si>
  <si>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</si>
  <si>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</si>
  <si>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</si>
  <si>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</si>
  <si>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</si>
  <si>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</si>
  <si>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</si>
  <si>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</si>
  <si>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</si>
  <si>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</si>
  <si>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</si>
  <si>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</si>
  <si>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</si>
  <si>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</si>
  <si>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</si>
  <si>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</si>
  <si>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</si>
  <si>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</si>
  <si>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</si>
  <si>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</si>
  <si>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</si>
  <si>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</si>
  <si>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</si>
  <si>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</si>
  <si>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</si>
  <si>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</si>
  <si>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</si>
  <si>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</si>
  <si>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</si>
  <si>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</si>
  <si>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</si>
  <si>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</si>
  <si>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</si>
  <si>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</si>
  <si>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</si>
  <si>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</si>
  <si>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</si>
  <si>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</si>
  <si>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</si>
  <si>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</si>
  <si>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</si>
  <si>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</si>
  <si>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</si>
  <si>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</si>
  <si>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</si>
  <si>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</si>
  <si>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</si>
  <si>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</si>
  <si>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</si>
  <si>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</si>
  <si>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</si>
  <si>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</si>
  <si>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</si>
  <si>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</si>
  <si>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</si>
  <si>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</si>
  <si>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</si>
  <si>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</si>
  <si>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</si>
  <si>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</si>
  <si>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</si>
  <si>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</si>
  <si>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</si>
  <si>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</si>
  <si>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</si>
  <si>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</si>
  <si>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</si>
  <si>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</si>
  <si>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</si>
  <si>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</si>
  <si>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</si>
  <si>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</si>
  <si>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</si>
  <si>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</si>
  <si>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</si>
  <si>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</si>
  <si>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</si>
  <si>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</si>
  <si>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</si>
  <si>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</si>
  <si>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</si>
  <si>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</si>
  <si>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</si>
  <si>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</si>
  <si>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</si>
  <si>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</si>
  <si>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</si>
  <si>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</si>
  <si>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</si>
  <si>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</si>
  <si>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</si>
  <si>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</si>
  <si>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</si>
  <si>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</si>
  <si>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</si>
  <si>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</si>
  <si>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</si>
  <si>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</si>
  <si>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</si>
  <si>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</si>
  <si>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</si>
  <si>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</si>
  <si>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</si>
  <si>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</si>
  <si>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</si>
  <si>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</si>
  <si>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</si>
  <si>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</si>
  <si>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</si>
  <si>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</si>
  <si>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</si>
  <si>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</si>
  <si>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</si>
  <si>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</si>
  <si>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</si>
  <si>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</si>
  <si>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</si>
  <si>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</si>
  <si>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</si>
  <si>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</si>
  <si>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</si>
  <si>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</si>
  <si>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</si>
  <si>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</si>
  <si>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</si>
  <si>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</si>
  <si>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</si>
  <si>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</si>
  <si>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</si>
  <si>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</si>
  <si>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</si>
  <si>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</si>
  <si>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</si>
  <si>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</si>
  <si>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</si>
  <si>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</si>
  <si>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</si>
  <si>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</si>
  <si>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</si>
  <si>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</si>
  <si>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</si>
  <si>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</si>
  <si>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</si>
  <si>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</si>
  <si>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</si>
  <si>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</si>
  <si>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</si>
  <si>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</si>
  <si>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</si>
  <si>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</si>
  <si>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</si>
  <si>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</si>
  <si>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</si>
  <si>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</si>
  <si>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</si>
  <si>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</si>
  <si>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</si>
  <si>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</si>
  <si>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</si>
  <si>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</si>
  <si>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</si>
  <si>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</si>
  <si>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</si>
  <si>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</si>
  <si>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</si>
  <si>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</si>
  <si>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</si>
  <si>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</si>
  <si>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</si>
  <si>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</si>
  <si>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</si>
  <si>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</si>
  <si>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</si>
  <si>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</si>
  <si>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</si>
  <si>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</si>
  <si>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</si>
  <si>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</si>
  <si>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</si>
  <si>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</si>
  <si>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</si>
  <si>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</si>
  <si>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</si>
  <si>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</si>
  <si>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</si>
  <si>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</si>
  <si>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</si>
  <si>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</si>
  <si>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</si>
  <si>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</si>
  <si>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</si>
  <si>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</si>
  <si>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</si>
  <si>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</si>
  <si>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</si>
  <si>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</si>
  <si>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</si>
  <si>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</si>
  <si>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</si>
  <si>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</si>
  <si>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</si>
  <si>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</si>
  <si>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</si>
  <si>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</si>
  <si>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</si>
  <si>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</si>
  <si>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</si>
  <si>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</si>
  <si>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</si>
  <si>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</si>
  <si>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</si>
  <si>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</si>
  <si>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</si>
  <si>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</si>
  <si>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</si>
  <si>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</si>
  <si>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</si>
  <si>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</si>
  <si>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</si>
  <si>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</si>
  <si>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</si>
  <si>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</si>
  <si>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</si>
  <si>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</si>
  <si>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</si>
  <si>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</si>
  <si>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</si>
  <si>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</si>
  <si>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</si>
  <si>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</si>
  <si>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</si>
  <si>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</si>
  <si>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</si>
  <si>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</si>
  <si>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</si>
  <si>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</si>
  <si>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</si>
  <si>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</si>
  <si>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</si>
  <si>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</si>
  <si>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</si>
  <si>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</si>
  <si>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</si>
  <si>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</si>
  <si>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</si>
  <si>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</si>
  <si>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</si>
  <si>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</si>
  <si>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</si>
  <si>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</si>
  <si>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</si>
  <si>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</si>
  <si>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</si>
  <si>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</si>
  <si>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</si>
  <si>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</si>
  <si>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</si>
  <si>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</si>
  <si>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</si>
  <si>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</si>
  <si>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</si>
  <si>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</si>
  <si>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</si>
  <si>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</si>
  <si>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</si>
  <si>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</si>
  <si>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</si>
  <si>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</si>
  <si>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</si>
  <si>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</si>
  <si>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</si>
  <si>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</si>
  <si>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</si>
  <si>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</si>
  <si>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</si>
  <si>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</si>
  <si>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</si>
  <si>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</si>
  <si>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</si>
  <si>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</si>
  <si>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</si>
  <si>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</si>
  <si>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</si>
  <si>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</si>
  <si>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</si>
  <si>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</si>
  <si>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</si>
  <si>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</si>
  <si>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</si>
  <si>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</si>
  <si>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</si>
  <si>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</si>
  <si>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</si>
  <si>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</si>
  <si>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</si>
  <si>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</si>
  <si>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</si>
  <si>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</si>
  <si>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</si>
  <si>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</si>
  <si>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</si>
  <si>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</si>
  <si>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</si>
  <si>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</si>
  <si>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</si>
  <si>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</si>
  <si>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</si>
  <si>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</si>
  <si>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</si>
  <si>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</si>
  <si>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</si>
  <si>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</si>
  <si>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</si>
  <si>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</si>
  <si>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</si>
  <si>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</si>
  <si>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</si>
  <si>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</si>
  <si>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</si>
  <si>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</si>
  <si>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</si>
  <si>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</si>
  <si>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</si>
  <si>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</si>
  <si>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</si>
  <si>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</si>
  <si>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</si>
  <si>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</si>
  <si>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</si>
  <si>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</si>
  <si>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</si>
  <si>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</si>
  <si>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</si>
  <si>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</si>
  <si>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</si>
  <si>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</si>
  <si>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</si>
  <si>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</si>
  <si>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</si>
  <si>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</si>
  <si>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</si>
  <si>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</si>
  <si>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</si>
  <si>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</si>
  <si>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</si>
  <si>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</si>
  <si>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</si>
  <si>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</si>
  <si>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</si>
  <si>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</si>
  <si>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</si>
  <si>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</si>
  <si>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</si>
  <si>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</si>
  <si>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</si>
  <si>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</si>
  <si>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</si>
  <si>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</si>
  <si>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</si>
  <si>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</si>
  <si>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</si>
  <si>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</si>
  <si>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</si>
  <si>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</si>
  <si>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</si>
  <si>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</si>
  <si>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</si>
  <si>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</si>
  <si>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</si>
  <si>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</si>
  <si>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</si>
  <si>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</si>
  <si>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</si>
  <si>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</si>
  <si>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</si>
  <si>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</si>
  <si>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</si>
  <si>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</si>
  <si>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</si>
  <si>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</si>
  <si>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</si>
  <si>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</si>
  <si>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</si>
  <si>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</si>
  <si>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</si>
  <si>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</si>
  <si>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</si>
  <si>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</si>
  <si>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</si>
  <si>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</si>
  <si>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</si>
  <si>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</si>
  <si>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</si>
  <si>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</si>
  <si>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</si>
  <si>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</si>
  <si>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</si>
  <si>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</si>
  <si>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</si>
  <si>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</si>
  <si>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</si>
  <si>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</si>
  <si>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</si>
  <si>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</si>
  <si>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</si>
  <si>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</si>
  <si>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</si>
  <si>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</si>
  <si>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</si>
  <si>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</si>
  <si>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</si>
  <si>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</si>
  <si>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</si>
  <si>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</si>
  <si>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</si>
  <si>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</si>
  <si>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</si>
  <si>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</si>
  <si>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</si>
  <si>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</si>
  <si>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</si>
  <si>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</si>
  <si>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</si>
  <si>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</si>
  <si>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</si>
  <si>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</si>
  <si>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</si>
  <si>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</si>
  <si>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</si>
  <si>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</si>
  <si>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</si>
  <si>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</si>
  <si>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</si>
  <si>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</si>
  <si>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</si>
  <si>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</si>
  <si>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</si>
  <si>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</si>
  <si>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</si>
  <si>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</si>
  <si>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</si>
  <si>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</si>
  <si>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</si>
  <si>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</si>
  <si>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</si>
  <si>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</si>
  <si>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</si>
  <si>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</si>
  <si>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</si>
  <si>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</si>
  <si>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</si>
  <si>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</si>
  <si>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</si>
  <si>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</si>
  <si>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</si>
  <si>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</si>
  <si>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</si>
  <si>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</si>
  <si>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</si>
  <si>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</si>
  <si>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</si>
  <si>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</si>
  <si>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</si>
  <si>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</si>
  <si>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</si>
  <si>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</si>
  <si>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</si>
  <si>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</si>
  <si>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</si>
  <si>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</si>
  <si>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</si>
  <si>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</si>
  <si>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</si>
  <si>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</si>
  <si>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</si>
  <si>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</si>
  <si>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</si>
  <si>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</si>
  <si>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</si>
  <si>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</si>
  <si>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</si>
  <si>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</si>
  <si>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</si>
  <si>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</si>
  <si>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</si>
  <si>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</si>
  <si>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</si>
  <si>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</si>
  <si>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</si>
  <si>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</si>
  <si>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</si>
  <si>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</si>
  <si>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</si>
  <si>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</si>
  <si>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</si>
  <si>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</si>
  <si>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</si>
  <si>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</si>
  <si>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</si>
  <si>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</si>
  <si>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</si>
  <si>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</si>
  <si>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</si>
  <si>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</si>
  <si>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</si>
  <si>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</si>
  <si>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</si>
  <si>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</si>
  <si>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</si>
  <si>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</si>
  <si>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</si>
  <si>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</si>
  <si>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</si>
  <si>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</si>
  <si>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</si>
  <si>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</si>
  <si>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</si>
  <si>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</si>
  <si>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</si>
  <si>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</si>
  <si>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</si>
  <si>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</si>
  <si>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</si>
  <si>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</si>
  <si>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</si>
  <si>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</si>
  <si>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</si>
  <si>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</si>
  <si>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</si>
  <si>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</si>
  <si>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</si>
  <si>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</si>
  <si>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</si>
  <si>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</si>
  <si>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</si>
  <si>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</si>
  <si>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</si>
  <si>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</si>
  <si>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</si>
  <si>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</si>
  <si>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</si>
  <si>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</si>
  <si>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</si>
  <si>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</si>
  <si>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</si>
  <si>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</si>
  <si>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</si>
  <si>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</si>
  <si>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</si>
  <si>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</si>
  <si>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</si>
  <si>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</si>
  <si>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</si>
  <si>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</si>
  <si>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</si>
  <si>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</si>
  <si>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</si>
  <si>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</si>
  <si>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</si>
  <si>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</si>
  <si>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</si>
  <si>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</si>
  <si>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</si>
  <si>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</si>
  <si>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</si>
  <si>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</si>
  <si>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</si>
  <si>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</si>
  <si>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</si>
  <si>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</si>
  <si>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</si>
  <si>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</si>
  <si>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</si>
  <si>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</si>
  <si>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</si>
  <si>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</si>
  <si>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</si>
  <si>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</si>
  <si>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</si>
  <si>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</si>
  <si>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</si>
  <si>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</si>
  <si>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</si>
  <si>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</si>
  <si>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</si>
  <si>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</si>
  <si>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</si>
  <si>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</si>
  <si>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</si>
  <si>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</si>
  <si>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</si>
  <si>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</si>
  <si>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</si>
  <si>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</si>
  <si>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</si>
  <si>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</si>
  <si>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</si>
  <si>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</si>
  <si>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</si>
  <si>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</si>
  <si>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</si>
  <si>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</si>
  <si>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</si>
  <si>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</si>
  <si>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</si>
  <si>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</si>
  <si>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</si>
  <si>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</si>
  <si>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</si>
  <si>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</si>
  <si>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</si>
  <si>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</si>
  <si>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</si>
  <si>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</si>
  <si>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</si>
  <si>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</si>
  <si>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</si>
  <si>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</si>
  <si>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</si>
  <si>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</si>
  <si>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</si>
  <si>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</si>
  <si>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</si>
  <si>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</si>
  <si>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</si>
  <si>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</si>
  <si>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</si>
  <si>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</si>
  <si>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</si>
  <si>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</si>
  <si>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</si>
  <si>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</si>
  <si>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</si>
  <si>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</si>
  <si>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</si>
  <si>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</si>
  <si>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</si>
  <si>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</si>
  <si>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</si>
  <si>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</si>
  <si>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</si>
  <si>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</si>
  <si>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</si>
  <si>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</si>
  <si>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</si>
  <si>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</si>
  <si>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</si>
  <si>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</si>
  <si>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</si>
  <si>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</si>
  <si>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</si>
  <si>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</si>
  <si>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</si>
  <si>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</si>
  <si>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</si>
  <si>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</si>
  <si>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</si>
  <si>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</si>
  <si>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</si>
  <si>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</si>
  <si>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</si>
  <si>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</si>
  <si>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</si>
  <si>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</si>
  <si>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</si>
  <si>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</si>
  <si>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</si>
  <si>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</si>
  <si>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</si>
  <si>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</si>
  <si>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</si>
  <si>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</si>
  <si>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</si>
  <si>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</si>
  <si>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</si>
  <si>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</si>
  <si>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</si>
  <si>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</si>
  <si>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</si>
  <si>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</si>
  <si>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</si>
  <si>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</si>
  <si>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</si>
  <si>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</si>
  <si>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</si>
  <si>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</si>
  <si>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</si>
  <si>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</si>
  <si>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</si>
  <si>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</si>
  <si>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</si>
  <si>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</si>
  <si>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</si>
  <si>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</si>
  <si>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</si>
  <si>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</si>
  <si>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</si>
  <si>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</si>
  <si>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</si>
  <si>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</si>
  <si>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</si>
  <si>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</si>
  <si>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</si>
  <si>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</si>
  <si>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</si>
  <si>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</si>
  <si>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</si>
  <si>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</si>
  <si>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</si>
  <si>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</si>
  <si>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</si>
  <si>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</si>
  <si>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</si>
  <si>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</si>
  <si>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</si>
  <si>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</si>
  <si>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</si>
  <si>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</si>
  <si>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</si>
  <si>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</si>
  <si>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</si>
  <si>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</si>
  <si>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</si>
  <si>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</si>
  <si>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</si>
  <si>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</si>
  <si>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</si>
  <si>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</si>
  <si>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</si>
  <si>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</si>
  <si>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</si>
  <si>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</si>
  <si>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</si>
  <si>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</si>
  <si>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</si>
  <si>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</si>
  <si>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</si>
  <si>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</si>
  <si>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</si>
  <si>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</si>
  <si>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</si>
  <si>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</si>
  <si>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</si>
  <si>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</si>
  <si>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</si>
  <si>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</si>
  <si>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</si>
  <si>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</si>
  <si>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</si>
  <si>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</si>
  <si>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</si>
  <si>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</si>
  <si>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</si>
  <si>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</si>
  <si>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</si>
  <si>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</si>
  <si>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</si>
  <si>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</si>
  <si>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</si>
  <si>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</si>
  <si>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</si>
  <si>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</si>
  <si>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</si>
  <si>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</si>
  <si>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</si>
  <si>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</si>
  <si>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</si>
  <si>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</si>
  <si>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</si>
  <si>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</si>
  <si>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</si>
  <si>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</si>
  <si>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</si>
  <si>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</si>
  <si>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</si>
  <si>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</si>
  <si>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</si>
  <si>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</si>
  <si>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</si>
  <si>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</si>
  <si>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</si>
  <si>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</si>
  <si>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</si>
  <si>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</si>
  <si>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</si>
  <si>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</si>
  <si>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</si>
  <si>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</si>
  <si>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</si>
  <si>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</si>
  <si>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</si>
  <si>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</si>
  <si>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</si>
  <si>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</si>
  <si>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</si>
  <si>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</si>
  <si>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</si>
  <si>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</si>
  <si>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</si>
  <si>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</si>
  <si>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</si>
  <si>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</si>
  <si>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</si>
  <si>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</si>
  <si>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</si>
  <si>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</si>
  <si>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</si>
  <si>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</si>
  <si>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</si>
  <si>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</si>
  <si>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</si>
  <si>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</si>
  <si>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</si>
  <si>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</si>
  <si>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</si>
  <si>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</si>
  <si>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</si>
  <si>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</si>
  <si>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</si>
  <si>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</si>
  <si>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</si>
  <si>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</si>
  <si>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</si>
  <si>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</si>
  <si>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</si>
  <si>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</si>
  <si>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</si>
  <si>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</si>
  <si>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</si>
  <si>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</si>
  <si>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</si>
  <si>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</si>
  <si>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</si>
  <si>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</si>
  <si>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</si>
  <si>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</si>
  <si>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</si>
  <si>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</si>
  <si>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</si>
  <si>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</si>
  <si>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</si>
  <si>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</si>
  <si>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</si>
  <si>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</si>
  <si>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</si>
  <si>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</si>
  <si>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</si>
  <si>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</si>
  <si>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</si>
  <si>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</si>
  <si>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</si>
  <si>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</si>
  <si>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</si>
  <si>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</si>
  <si>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</si>
  <si>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</si>
  <si>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</si>
  <si>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</si>
  <si>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</si>
  <si>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</si>
  <si>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</si>
  <si>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</si>
  <si>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</si>
  <si>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</si>
  <si>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</si>
  <si>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</si>
  <si>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</si>
  <si>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</si>
  <si>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</si>
  <si>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</si>
  <si>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</si>
  <si>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</si>
  <si>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</si>
  <si>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</si>
  <si>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</si>
  <si>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</si>
  <si>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</si>
  <si>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</si>
  <si>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</si>
  <si>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</si>
  <si>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</si>
  <si>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</si>
  <si>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</si>
  <si>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</si>
  <si>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</si>
  <si>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</si>
  <si>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</si>
  <si>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</si>
  <si>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</si>
  <si>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</si>
  <si>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</si>
  <si>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</si>
  <si>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</si>
  <si>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</si>
  <si>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</si>
  <si>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</si>
  <si>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</si>
  <si>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</si>
  <si>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</si>
  <si>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</si>
  <si>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</si>
  <si>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</si>
  <si>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</si>
  <si>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</si>
  <si>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</si>
  <si>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</si>
  <si>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</si>
  <si>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</si>
  <si>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</si>
  <si>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</si>
  <si>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</si>
  <si>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</si>
  <si>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</si>
  <si>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</si>
  <si>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</si>
  <si>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</si>
  <si>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</si>
  <si>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</si>
  <si>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</si>
  <si>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</si>
  <si>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</si>
  <si>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</si>
  <si>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</si>
  <si>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</si>
  <si>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</si>
  <si>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</si>
  <si>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</si>
  <si>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</si>
  <si>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</si>
  <si>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</si>
  <si>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</si>
  <si>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</si>
  <si>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</si>
  <si>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</si>
  <si>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</si>
  <si>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</si>
  <si>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</si>
  <si>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</si>
  <si>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</si>
  <si>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</si>
  <si>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</si>
  <si>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</si>
  <si>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</si>
  <si>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</si>
  <si>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</si>
  <si>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</si>
  <si>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</si>
  <si>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</si>
  <si>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</si>
  <si>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</si>
  <si>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</si>
  <si>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</si>
  <si>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</si>
  <si>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</si>
  <si>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</si>
  <si>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</si>
  <si>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</si>
  <si>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</si>
  <si>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</si>
  <si>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</si>
  <si>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</si>
  <si>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</si>
  <si>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</si>
  <si>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</si>
  <si>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</si>
  <si>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</si>
  <si>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</si>
  <si>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</si>
  <si>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</si>
  <si>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</si>
  <si>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</si>
  <si>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</si>
  <si>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</si>
  <si>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</si>
  <si>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</si>
  <si>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</si>
  <si>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</si>
  <si>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</si>
  <si>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</si>
  <si>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</si>
  <si>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</si>
  <si>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</si>
  <si>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</si>
  <si>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</si>
  <si>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</si>
  <si>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</si>
  <si>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</si>
  <si>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</si>
  <si>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</si>
  <si>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</si>
  <si>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</si>
  <si>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</si>
  <si>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</si>
  <si>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</si>
  <si>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</si>
  <si>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</si>
  <si>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</si>
  <si>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</si>
  <si>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</si>
  <si>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</si>
  <si>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</si>
  <si>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</si>
  <si>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</si>
  <si>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</si>
  <si>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</si>
  <si>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</si>
  <si>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</si>
  <si>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</si>
  <si>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</si>
  <si>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</si>
  <si>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</si>
  <si>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</si>
  <si>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</si>
  <si>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</si>
  <si>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</si>
  <si>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</si>
  <si>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</si>
  <si>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</si>
  <si>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</si>
  <si>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</si>
  <si>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</si>
  <si>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</si>
  <si>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</si>
  <si>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</si>
  <si>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</si>
  <si>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</si>
  <si>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</si>
  <si>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</si>
  <si>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</si>
  <si>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</si>
  <si>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</si>
  <si>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</si>
  <si>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</si>
  <si>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</si>
  <si>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</si>
  <si>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</si>
  <si>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</si>
  <si>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</si>
  <si>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</si>
  <si>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</si>
  <si>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</si>
  <si>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</si>
  <si>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</si>
  <si>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</si>
  <si>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</si>
  <si>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</si>
  <si>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</si>
  <si>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</si>
  <si>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</si>
  <si>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</si>
  <si>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</si>
  <si>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</si>
  <si>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</si>
  <si>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</si>
  <si>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</si>
  <si>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</si>
  <si>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</si>
  <si>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</si>
  <si>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</si>
  <si>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</si>
  <si>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</si>
  <si>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</si>
  <si>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</si>
  <si>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</si>
  <si>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</si>
  <si>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</si>
  <si>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</si>
  <si>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</si>
  <si>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</si>
  <si>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</si>
  <si>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</si>
  <si>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</si>
  <si>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</si>
  <si>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</si>
  <si>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</si>
  <si>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</si>
  <si>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</si>
  <si>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</si>
  <si>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</si>
  <si>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</si>
  <si>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</si>
  <si>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</si>
  <si>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</si>
  <si>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</si>
  <si>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</si>
  <si>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</si>
  <si>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</si>
  <si>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</si>
  <si>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</si>
  <si>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</si>
  <si>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</si>
  <si>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</si>
  <si>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</si>
  <si>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</si>
  <si>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</si>
  <si>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</si>
  <si>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</si>
  <si>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</si>
  <si>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</si>
  <si>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</si>
  <si>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</si>
  <si>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</si>
  <si>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</si>
  <si>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</si>
  <si>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</si>
  <si>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</si>
  <si>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</si>
  <si>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</si>
  <si>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</si>
  <si>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</si>
  <si>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</si>
  <si>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</si>
  <si>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</si>
  <si>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</si>
  <si>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</si>
  <si>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</si>
  <si>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</si>
  <si>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</si>
  <si>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</si>
  <si>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</si>
  <si>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</si>
  <si>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</si>
  <si>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</si>
  <si>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</si>
  <si>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</si>
  <si>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</si>
  <si>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</si>
  <si>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</si>
  <si>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</si>
  <si>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</si>
  <si>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</si>
  <si>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</si>
  <si>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</si>
  <si>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</si>
  <si>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</si>
  <si>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</si>
  <si>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</si>
  <si>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</si>
  <si>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</si>
  <si>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</si>
  <si>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</si>
  <si>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</si>
  <si>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</si>
  <si>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</si>
  <si>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</si>
  <si>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</si>
  <si>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</si>
  <si>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</si>
  <si>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</si>
  <si>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</si>
  <si>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</si>
  <si>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</si>
  <si>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</si>
  <si>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</si>
  <si>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</si>
  <si>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</si>
  <si>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</si>
  <si>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</si>
  <si>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</si>
  <si>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</si>
  <si>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</si>
  <si>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</si>
  <si>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</si>
  <si>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</si>
  <si>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</si>
  <si>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</si>
  <si>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</si>
  <si>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</si>
  <si>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</si>
  <si>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</si>
  <si>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</si>
  <si>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</si>
  <si>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</si>
  <si>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</si>
  <si>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</si>
  <si>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</si>
  <si>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</si>
  <si>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</si>
  <si>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</si>
  <si>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</si>
  <si>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</si>
  <si>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</si>
  <si>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</si>
  <si>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</si>
  <si>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</si>
  <si>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</si>
  <si>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</si>
  <si>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</si>
  <si>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</si>
  <si>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</si>
  <si>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</si>
  <si>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</si>
  <si>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</si>
  <si>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</si>
  <si>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</si>
  <si>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</si>
  <si>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</si>
  <si>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</si>
  <si>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</si>
  <si>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</si>
  <si>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</si>
  <si>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</si>
  <si>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</si>
  <si>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</si>
  <si>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</si>
  <si>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</si>
  <si>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</si>
  <si>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</si>
  <si>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</si>
  <si>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</si>
  <si>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</si>
  <si>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</si>
  <si>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</si>
  <si>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</si>
  <si>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</si>
  <si>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</si>
  <si>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</si>
  <si>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</si>
  <si>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</si>
  <si>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</si>
  <si>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</si>
  <si>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</si>
  <si>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</si>
  <si>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</si>
  <si>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</si>
  <si>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</si>
  <si>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</si>
  <si>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</si>
  <si>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</si>
  <si>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</si>
  <si>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</si>
  <si>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</si>
  <si>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</si>
  <si>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</si>
  <si>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</si>
  <si>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</si>
  <si>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</si>
  <si>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</si>
  <si>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</si>
  <si>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</si>
  <si>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</si>
  <si>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</si>
  <si>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</si>
  <si>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</si>
  <si>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</si>
  <si>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</si>
  <si>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</si>
  <si>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</si>
  <si>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</si>
  <si>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</si>
  <si>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</si>
  <si>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</si>
  <si>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</si>
  <si>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</si>
  <si>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</si>
  <si>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</si>
  <si>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</si>
  <si>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</si>
  <si>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</si>
  <si>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</si>
  <si>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</si>
  <si>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</si>
  <si>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</si>
  <si>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</si>
  <si>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</si>
  <si>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</si>
  <si>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</si>
  <si>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</si>
  <si>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</si>
  <si>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</si>
  <si>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</si>
  <si>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</si>
  <si>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</si>
  <si>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</si>
  <si>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</si>
  <si>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</si>
  <si>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</si>
  <si>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</si>
  <si>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</si>
  <si>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</si>
  <si>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</si>
  <si>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</si>
  <si>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</si>
  <si>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</si>
  <si>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</si>
  <si>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</si>
  <si>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</si>
  <si>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</si>
  <si>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</si>
  <si>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</si>
  <si>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</si>
  <si>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</si>
  <si>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</si>
  <si>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</si>
  <si>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</si>
  <si>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</si>
  <si>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</si>
  <si>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</si>
  <si>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</si>
  <si>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</si>
  <si>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</si>
  <si>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</si>
  <si>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</si>
  <si>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</si>
  <si>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</si>
  <si>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</si>
  <si>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</si>
  <si>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</si>
  <si>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</si>
  <si>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</si>
  <si>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</si>
  <si>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</si>
  <si>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</si>
  <si>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</si>
  <si>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</si>
  <si>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</si>
  <si>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</si>
  <si>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</si>
  <si>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</si>
  <si>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</si>
  <si>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</si>
  <si>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</si>
  <si>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</si>
  <si>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</si>
  <si>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</si>
  <si>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</si>
  <si>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</si>
  <si>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</si>
  <si>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</si>
  <si>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</si>
  <si>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</si>
  <si>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</si>
  <si>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</si>
  <si>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</si>
  <si>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</si>
  <si>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</si>
  <si>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</si>
  <si>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</si>
  <si>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</si>
  <si>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</si>
  <si>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</si>
  <si>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</si>
  <si>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</si>
  <si>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</si>
  <si>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</si>
  <si>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</si>
  <si>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</si>
  <si>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</si>
  <si>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</si>
  <si>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</si>
  <si>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</si>
  <si>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</si>
  <si>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</si>
  <si>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</si>
  <si>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</si>
  <si>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</si>
  <si>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</si>
  <si>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</si>
  <si>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</si>
  <si>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</si>
  <si>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</si>
  <si>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</si>
  <si>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</si>
  <si>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</si>
  <si>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</si>
  <si>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</si>
  <si>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</si>
  <si>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</si>
  <si>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</si>
  <si>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</si>
  <si>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</si>
  <si>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</si>
  <si>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</si>
  <si>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</si>
  <si>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</si>
  <si>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</si>
  <si>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</si>
  <si>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</si>
  <si>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</si>
  <si>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</si>
  <si>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</si>
  <si>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</si>
  <si>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</si>
  <si>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</si>
  <si>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</si>
  <si>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</si>
  <si>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</si>
  <si>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</si>
  <si>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</si>
  <si>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</si>
  <si>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</si>
  <si>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</si>
  <si>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</si>
  <si>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</si>
  <si>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</si>
  <si>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</si>
  <si>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</si>
  <si>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</si>
  <si>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</si>
  <si>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</si>
  <si>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</si>
  <si>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</si>
  <si>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</si>
  <si>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</si>
  <si>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</si>
  <si>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</si>
  <si>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</si>
  <si>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</si>
  <si>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</si>
  <si>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</si>
  <si>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</si>
  <si>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</si>
  <si>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</si>
  <si>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</si>
  <si>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</si>
  <si>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</si>
  <si>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</si>
  <si>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</si>
  <si>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</si>
  <si>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</si>
  <si>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</si>
  <si>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</si>
  <si>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</si>
  <si>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</si>
  <si>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</si>
  <si>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</si>
  <si>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</si>
  <si>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</si>
  <si>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</si>
  <si>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</si>
  <si>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</si>
  <si>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</si>
  <si>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</si>
  <si>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</si>
  <si>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</si>
  <si>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</si>
  <si>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</si>
  <si>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</si>
  <si>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</si>
  <si>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</si>
  <si>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</si>
  <si>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</si>
  <si>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</si>
  <si>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</si>
  <si>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</si>
  <si>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</si>
  <si>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</si>
  <si>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</si>
  <si>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</si>
  <si>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</si>
  <si>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</si>
  <si>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</si>
  <si>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</si>
  <si>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</si>
  <si>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</si>
  <si>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</si>
  <si>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</si>
  <si>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</si>
  <si>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</si>
  <si>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</si>
  <si>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</si>
  <si>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</si>
  <si>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</si>
  <si>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</si>
  <si>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</si>
  <si>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</si>
  <si>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</si>
  <si>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</si>
  <si>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</si>
  <si>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</si>
  <si>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</si>
  <si>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</si>
  <si>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</si>
  <si>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</si>
  <si>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</si>
  <si>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</si>
  <si>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</si>
  <si>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</si>
  <si>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</si>
  <si>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</si>
  <si>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</si>
  <si>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</si>
  <si>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</si>
  <si>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</si>
  <si>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</si>
  <si>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</si>
  <si>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</si>
  <si>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</si>
  <si>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</si>
  <si>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</si>
  <si>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</si>
  <si>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</si>
  <si>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</si>
  <si>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</si>
  <si>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</si>
  <si>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</si>
  <si>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</si>
  <si>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</si>
  <si>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</si>
  <si>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</si>
  <si>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</si>
  <si>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</si>
  <si>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</si>
  <si>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</si>
  <si>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</si>
  <si>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</si>
  <si>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</si>
  <si>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</si>
  <si>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</si>
  <si>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</si>
  <si>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</si>
  <si>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</si>
  <si>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</si>
  <si>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</si>
  <si>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</si>
  <si>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</si>
  <si>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</si>
  <si>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</si>
  <si>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</si>
  <si>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</si>
  <si>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</si>
  <si>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</si>
  <si>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</si>
  <si>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</si>
  <si>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</si>
  <si>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</si>
  <si>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</si>
  <si>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</si>
  <si>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</si>
  <si>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</si>
  <si>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</si>
  <si>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</si>
  <si>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</si>
  <si>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</si>
  <si>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</si>
  <si>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</si>
  <si>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</si>
  <si>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</si>
  <si>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</si>
  <si>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</si>
  <si>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</si>
  <si>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</si>
  <si>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</si>
  <si>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</si>
  <si>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</si>
  <si>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</si>
  <si>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</si>
  <si>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</si>
  <si>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</si>
  <si>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</si>
  <si>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</si>
  <si>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</si>
  <si>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</si>
  <si>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</si>
  <si>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</si>
  <si>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</si>
  <si>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</si>
  <si>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</si>
  <si>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</si>
  <si>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</si>
  <si>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</si>
  <si>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</si>
  <si>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</si>
  <si>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</si>
  <si>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</si>
  <si>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</si>
  <si>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</si>
  <si>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</si>
  <si>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</si>
  <si>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</si>
  <si>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</si>
  <si>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</si>
  <si>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</si>
  <si>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</si>
  <si>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</si>
  <si>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</si>
  <si>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</si>
  <si>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</si>
  <si>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</si>
  <si>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</si>
  <si>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</si>
  <si>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</si>
  <si>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</si>
  <si>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</si>
  <si>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</si>
  <si>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</si>
  <si>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</si>
  <si>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</si>
  <si>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</si>
  <si>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</si>
  <si>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</si>
  <si>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</si>
  <si>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</si>
  <si>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</si>
  <si>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</si>
  <si>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</si>
  <si>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</si>
  <si>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</si>
  <si>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</si>
  <si>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</si>
  <si>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</si>
  <si>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</si>
  <si>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</si>
  <si>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</si>
  <si>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</si>
  <si>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</si>
  <si>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</si>
  <si>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</si>
  <si>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</si>
  <si>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</si>
  <si>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</si>
  <si>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</si>
  <si>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</si>
  <si>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</si>
  <si>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</si>
  <si>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</si>
  <si>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</si>
  <si>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</si>
  <si>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</si>
  <si>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</si>
  <si>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</si>
  <si>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</si>
  <si>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</si>
  <si>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</si>
  <si>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</si>
  <si>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</si>
  <si>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</si>
  <si>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</si>
  <si>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</si>
  <si>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</si>
  <si>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</si>
  <si>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</si>
  <si>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</si>
  <si>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</si>
  <si>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</si>
  <si>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</si>
  <si>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</si>
  <si>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</si>
  <si>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</si>
  <si>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</si>
  <si>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</si>
  <si>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</si>
  <si>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</si>
  <si>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</si>
  <si>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</si>
  <si>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</si>
  <si>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</si>
  <si>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</si>
  <si>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</si>
  <si>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</si>
  <si>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</si>
  <si>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</si>
  <si>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</si>
  <si>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</si>
  <si>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</si>
  <si>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</si>
  <si>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</si>
  <si>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</si>
  <si>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</si>
  <si>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</si>
  <si>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</si>
  <si>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</si>
  <si>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</si>
  <si>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</si>
  <si>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</si>
  <si>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</si>
  <si>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</si>
  <si>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</si>
  <si>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</si>
  <si>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</si>
  <si>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</si>
  <si>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</si>
  <si>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</si>
  <si>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</si>
  <si>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</si>
  <si>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</si>
  <si>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</si>
  <si>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</si>
  <si>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</si>
  <si>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</si>
  <si>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</si>
  <si>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</si>
  <si>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</si>
  <si>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</si>
  <si>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</si>
  <si>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</si>
  <si>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</si>
  <si>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</si>
  <si>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</si>
  <si>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</si>
  <si>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</si>
  <si>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</si>
  <si>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</si>
  <si>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</si>
  <si>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</si>
  <si>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</si>
  <si>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</si>
  <si>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</si>
  <si>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</si>
  <si>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</si>
  <si>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</si>
  <si>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</si>
  <si>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</si>
  <si>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</si>
  <si>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</si>
  <si>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</si>
  <si>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</si>
  <si>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</si>
  <si>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</si>
  <si>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</si>
  <si>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</si>
  <si>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</si>
  <si>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</si>
  <si>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</si>
  <si>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</si>
  <si>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</si>
  <si>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</si>
  <si>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</si>
  <si>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</si>
  <si>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</si>
  <si>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</si>
  <si>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</si>
  <si>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</si>
  <si>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</si>
  <si>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</si>
  <si>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</si>
  <si>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</si>
  <si>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</si>
  <si>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</si>
  <si>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</si>
  <si>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</si>
  <si>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</si>
  <si>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</si>
  <si>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</si>
  <si>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</si>
  <si>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</si>
  <si>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</si>
  <si>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</si>
  <si>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</si>
  <si>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</si>
  <si>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</si>
  <si>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</si>
  <si>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</si>
  <si>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</si>
  <si>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</si>
  <si>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</si>
  <si>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</si>
  <si>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</si>
  <si>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</si>
  <si>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</si>
  <si>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</si>
  <si>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</si>
  <si>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</si>
  <si>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</si>
  <si>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</si>
  <si>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</si>
  <si>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</si>
  <si>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</si>
  <si>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</si>
  <si>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</si>
  <si>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</si>
  <si>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</si>
  <si>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</si>
  <si>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</si>
  <si>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</si>
  <si>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</si>
  <si>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</si>
  <si>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</si>
  <si>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</si>
  <si>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</si>
  <si>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</si>
  <si>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</si>
  <si>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</si>
  <si>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</si>
  <si>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</si>
  <si>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</si>
  <si>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</si>
  <si>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</si>
  <si>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</si>
  <si>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</si>
  <si>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</si>
  <si>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</si>
  <si>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</si>
  <si>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</si>
  <si>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</si>
  <si>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</si>
  <si>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</si>
  <si>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</si>
  <si>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</si>
  <si>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</si>
  <si>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</si>
  <si>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</si>
  <si>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</si>
  <si>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</si>
  <si>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</si>
  <si>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</si>
  <si>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</si>
  <si>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</si>
  <si>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</si>
  <si>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</si>
  <si>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</si>
  <si>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</si>
  <si>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</si>
  <si>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</si>
  <si>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</si>
  <si>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</si>
  <si>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</si>
  <si>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</si>
  <si>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</si>
  <si>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</si>
  <si>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</si>
  <si>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</si>
  <si>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</si>
  <si>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</si>
  <si>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</si>
  <si>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</si>
  <si>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</si>
  <si>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</si>
  <si>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</si>
  <si>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</si>
  <si>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</si>
  <si>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</si>
  <si>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</si>
  <si>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</si>
  <si>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</si>
  <si>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</si>
  <si>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</si>
  <si>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</si>
  <si>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</si>
  <si>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</si>
  <si>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</si>
  <si>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</si>
  <si>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</si>
  <si>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</si>
  <si>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</si>
  <si>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</si>
  <si>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</si>
  <si>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</si>
  <si>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</si>
  <si>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</si>
  <si>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</si>
  <si>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</si>
  <si>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</si>
  <si>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</si>
  <si>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</si>
  <si>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</si>
  <si>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</si>
  <si>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</si>
  <si>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</si>
  <si>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</si>
  <si>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</si>
  <si>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</si>
  <si>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</si>
  <si>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</si>
  <si>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</si>
  <si>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</si>
  <si>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</si>
  <si>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</si>
  <si>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</si>
  <si>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</si>
  <si>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</si>
  <si>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</si>
  <si>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</si>
  <si>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</si>
  <si>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</si>
  <si>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</si>
  <si>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</si>
  <si>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</si>
  <si>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</si>
  <si>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</si>
  <si>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</si>
  <si>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</si>
  <si>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</si>
  <si>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</si>
  <si>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</si>
  <si>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</si>
  <si>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</si>
  <si>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</si>
  <si>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</si>
  <si>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</si>
  <si>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</si>
  <si>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</si>
  <si>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</si>
  <si>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</si>
  <si>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</si>
  <si>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</si>
  <si>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</si>
  <si>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</si>
  <si>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</si>
  <si>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</si>
  <si>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</si>
  <si>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</si>
  <si>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</si>
  <si>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</si>
  <si>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</si>
  <si>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</si>
  <si>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</si>
  <si>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</si>
  <si>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</si>
  <si>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</si>
  <si>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</si>
  <si>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</si>
  <si>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</si>
  <si>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</si>
  <si>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</si>
  <si>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</si>
  <si>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</si>
  <si>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</si>
  <si>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</si>
  <si>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</si>
  <si>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</si>
  <si>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</si>
  <si>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</si>
  <si>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</si>
  <si>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</si>
  <si>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</si>
  <si>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</si>
  <si>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</si>
  <si>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</si>
  <si>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</si>
  <si>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</si>
  <si>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</si>
  <si>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</si>
  <si>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</si>
  <si>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</si>
  <si>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</si>
  <si>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</si>
  <si>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</si>
  <si>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</si>
  <si>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</si>
  <si>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</si>
  <si>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</si>
  <si>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</si>
  <si>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</si>
  <si>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</si>
  <si>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</si>
  <si>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</si>
  <si>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</si>
  <si>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</si>
  <si>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</si>
  <si>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</si>
  <si>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</si>
  <si>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</si>
  <si>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</si>
  <si>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</si>
  <si>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</si>
  <si>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</si>
  <si>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</si>
  <si>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</si>
  <si>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</si>
  <si>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</si>
  <si>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</si>
  <si>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</si>
  <si>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</si>
  <si>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</si>
  <si>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</si>
  <si>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</si>
  <si>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</si>
  <si>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</si>
  <si>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</si>
  <si>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</si>
  <si>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</si>
  <si>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</si>
  <si>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</si>
  <si>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</si>
  <si>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</si>
  <si>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</si>
  <si>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</si>
  <si>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</si>
  <si>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</si>
  <si>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</si>
  <si>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</si>
  <si>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</si>
  <si>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</si>
  <si>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</si>
  <si>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</si>
  <si>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</si>
  <si>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</si>
  <si>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</si>
  <si>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</si>
  <si>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</si>
  <si>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</si>
  <si>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</si>
  <si>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</si>
  <si>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</si>
  <si>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</si>
  <si>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</si>
  <si>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</si>
  <si>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</si>
  <si>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</si>
  <si>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</si>
  <si>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</si>
  <si>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</si>
  <si>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</si>
  <si>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</si>
  <si>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</si>
  <si>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</si>
  <si>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</si>
  <si>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</si>
  <si>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</si>
  <si>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</si>
  <si>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</si>
  <si>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</si>
  <si>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</si>
  <si>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</si>
  <si>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</si>
  <si>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</si>
  <si>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</si>
  <si>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</si>
  <si>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</si>
  <si>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</si>
  <si>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</si>
  <si>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</si>
  <si>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</si>
  <si>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</si>
  <si>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</si>
  <si>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</si>
  <si>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</si>
  <si>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</si>
  <si>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</si>
  <si>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</si>
  <si>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</si>
  <si>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</si>
  <si>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</si>
  <si>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</si>
  <si>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</si>
  <si>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</si>
  <si>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</si>
  <si>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</si>
  <si>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</si>
  <si>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</si>
  <si>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</si>
  <si>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</si>
  <si>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</si>
  <si>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</si>
  <si>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</si>
  <si>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</si>
  <si>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</si>
  <si>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</si>
  <si>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</si>
  <si>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</si>
  <si>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</si>
  <si>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</si>
  <si>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</si>
  <si>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</si>
  <si>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</si>
  <si>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</si>
  <si>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</si>
  <si>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</si>
  <si>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</si>
  <si>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</si>
  <si>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</si>
  <si>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</si>
  <si>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</si>
  <si>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</si>
  <si>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</si>
  <si>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</si>
  <si>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</si>
  <si>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</si>
  <si>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</si>
  <si>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</si>
  <si>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</si>
  <si>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</si>
  <si>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</si>
  <si>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</si>
  <si>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</si>
  <si>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</si>
  <si>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</si>
  <si>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</si>
  <si>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</si>
  <si>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</si>
  <si>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</si>
  <si>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</si>
  <si>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</si>
  <si>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</si>
  <si>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</si>
  <si>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</si>
  <si>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</si>
  <si>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</si>
  <si>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</si>
  <si>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</si>
  <si>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</si>
  <si>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</si>
  <si>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</si>
  <si>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</si>
  <si>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</si>
  <si>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</si>
  <si>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</si>
  <si>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</si>
  <si>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</si>
  <si>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</si>
  <si>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</si>
  <si>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</si>
  <si>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</si>
  <si>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</si>
  <si>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</si>
  <si>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</si>
  <si>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</si>
  <si>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</si>
  <si>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</si>
  <si>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</si>
  <si>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</si>
  <si>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</si>
  <si>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</si>
  <si>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</si>
  <si>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</si>
  <si>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</si>
  <si>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</si>
  <si>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</si>
  <si>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</si>
  <si>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</si>
  <si>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</si>
  <si>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</si>
  <si>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</si>
  <si>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</si>
  <si>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</si>
  <si>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</si>
  <si>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</si>
  <si>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</si>
  <si>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</si>
  <si>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</si>
  <si>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</si>
  <si>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</si>
  <si>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</si>
  <si>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</si>
  <si>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</si>
  <si>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</si>
  <si>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</si>
  <si>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</si>
  <si>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</si>
  <si>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</si>
  <si>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</si>
  <si>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</si>
  <si>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</si>
  <si>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</si>
  <si>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</si>
  <si>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</si>
  <si>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</si>
  <si>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</si>
  <si>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</si>
  <si>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</si>
  <si>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</si>
  <si>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</si>
  <si>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</si>
  <si>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</si>
  <si>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</si>
  <si>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</si>
  <si>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</si>
  <si>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</si>
  <si>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</si>
  <si>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</si>
  <si>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</si>
  <si>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</si>
  <si>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</si>
  <si>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</si>
  <si>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</si>
  <si>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</si>
  <si>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</si>
  <si>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</si>
  <si>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</si>
  <si>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</si>
  <si>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</si>
  <si>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</si>
  <si>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</si>
  <si>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</si>
  <si>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</si>
  <si>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</si>
  <si>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</si>
  <si>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</si>
  <si>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</si>
  <si>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</si>
  <si>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</si>
  <si>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</si>
  <si>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</si>
  <si>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</si>
  <si>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</si>
  <si>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</si>
  <si>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</si>
  <si>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</si>
  <si>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</si>
  <si>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</si>
  <si>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</si>
  <si>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</si>
  <si>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</si>
  <si>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</si>
  <si>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</si>
  <si>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</si>
  <si>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</si>
  <si>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</si>
  <si>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</si>
  <si>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</si>
  <si>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</si>
  <si>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</si>
  <si>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</si>
  <si>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</si>
  <si>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</si>
  <si>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</si>
  <si>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</si>
  <si>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</si>
  <si>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</si>
  <si>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</si>
  <si>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</si>
  <si>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</si>
  <si>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</si>
  <si>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</si>
  <si>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</si>
  <si>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</si>
  <si>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</si>
  <si>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</si>
  <si>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</si>
  <si>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</si>
  <si>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</si>
  <si>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</si>
  <si>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</si>
  <si>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</si>
  <si>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</si>
  <si>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</si>
  <si>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</si>
  <si>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</si>
  <si>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</si>
  <si>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</si>
  <si>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</si>
  <si>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</si>
  <si>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</si>
  <si>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</si>
  <si>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</si>
  <si>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</si>
  <si>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</si>
  <si>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</si>
  <si>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</si>
  <si>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</si>
  <si>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</si>
  <si>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</si>
  <si>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</si>
  <si>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</si>
  <si>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</si>
  <si>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</si>
  <si>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</si>
  <si>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</si>
  <si>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</si>
  <si>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</si>
  <si>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</si>
  <si>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</si>
  <si>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</si>
  <si>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</si>
  <si>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</si>
  <si>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</si>
  <si>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</si>
  <si>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</si>
  <si>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</si>
  <si>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</si>
  <si>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</si>
  <si>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</si>
  <si>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</si>
  <si>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</si>
  <si>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</si>
  <si>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</si>
  <si>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</si>
  <si>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</si>
  <si>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</si>
  <si>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</si>
  <si>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</si>
  <si>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</si>
  <si>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</si>
  <si>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</si>
  <si>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</si>
  <si>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</si>
  <si>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</si>
  <si>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</si>
  <si>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</si>
  <si>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</si>
  <si>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</si>
  <si>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</si>
  <si>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</si>
  <si>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</si>
  <si>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</si>
  <si>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</si>
  <si>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</si>
  <si>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</si>
  <si>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</si>
  <si>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</si>
  <si>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</si>
  <si>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</si>
  <si>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</si>
  <si>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</si>
  <si>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</si>
  <si>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</si>
  <si>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</si>
  <si>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</si>
  <si>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</si>
  <si>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</si>
  <si>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</si>
  <si>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</si>
  <si>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</si>
  <si>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</si>
  <si>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</si>
  <si>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</si>
  <si>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</si>
  <si>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</si>
  <si>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</si>
  <si>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</si>
  <si>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</si>
  <si>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</si>
  <si>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</si>
  <si>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</si>
  <si>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</si>
  <si>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</si>
  <si>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</si>
  <si>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</si>
  <si>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</si>
  <si>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</si>
  <si>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</si>
  <si>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</si>
  <si>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</si>
  <si>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</si>
  <si>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</si>
  <si>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</si>
  <si>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</si>
  <si>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</si>
  <si>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</si>
  <si>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</si>
  <si>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</si>
  <si>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</si>
  <si>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</si>
  <si>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</si>
  <si>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</si>
  <si>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</si>
  <si>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</si>
  <si>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</si>
  <si>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</si>
  <si>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</si>
  <si>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</si>
  <si>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</si>
  <si>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</si>
  <si>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</si>
  <si>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</si>
  <si>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</si>
  <si>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</si>
  <si>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</si>
  <si>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</si>
  <si>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</si>
  <si>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</si>
  <si>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</si>
  <si>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</si>
  <si>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</si>
  <si>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</si>
  <si>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</si>
  <si>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</si>
  <si>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</si>
  <si>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</si>
  <si>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</si>
  <si>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</si>
  <si>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</si>
  <si>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</si>
  <si>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</si>
  <si>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</si>
  <si>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</si>
  <si>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</si>
  <si>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</si>
  <si>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</si>
  <si>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</si>
  <si>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</si>
  <si>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</si>
  <si>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</si>
  <si>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</si>
  <si>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</si>
  <si>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</si>
  <si>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</si>
  <si>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</si>
  <si>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</si>
  <si>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</si>
  <si>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</si>
  <si>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</si>
  <si>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</si>
  <si>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</si>
  <si>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</si>
  <si>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</si>
  <si>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</si>
  <si>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</si>
  <si>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</si>
  <si>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</si>
  <si>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</si>
  <si>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</si>
  <si>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</si>
  <si>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</si>
  <si>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</si>
  <si>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</si>
  <si>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</si>
  <si>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</si>
  <si>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</si>
  <si>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</si>
  <si>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</si>
  <si>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</si>
  <si>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</si>
  <si>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</si>
  <si>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</si>
  <si>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</si>
  <si>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</si>
  <si>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</si>
  <si>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</si>
  <si>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</si>
  <si>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</si>
  <si>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</si>
  <si>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</si>
  <si>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</si>
  <si>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</si>
  <si>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</si>
  <si>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</si>
  <si>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</si>
  <si>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</si>
  <si>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</si>
  <si>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</si>
  <si>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</si>
  <si>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</si>
  <si>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</si>
  <si>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</si>
  <si>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</si>
  <si>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</si>
  <si>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</si>
  <si>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</si>
  <si>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</si>
  <si>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</si>
  <si>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</si>
  <si>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</si>
  <si>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</si>
  <si>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</si>
  <si>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</si>
  <si>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</si>
  <si>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</si>
  <si>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</si>
  <si>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</si>
  <si>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</si>
  <si>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</si>
  <si>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</si>
  <si>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</si>
  <si>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</si>
  <si>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</si>
  <si>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</si>
  <si>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</si>
  <si>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</si>
  <si>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</si>
  <si>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</si>
  <si>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</si>
  <si>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</si>
  <si>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</si>
  <si>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</si>
  <si>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</si>
  <si>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</si>
  <si>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</si>
  <si>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</si>
  <si>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</si>
  <si>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</si>
  <si>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</si>
  <si>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</si>
  <si>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</si>
  <si>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</si>
  <si>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</si>
  <si>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</si>
  <si>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</si>
  <si>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</si>
  <si>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</si>
  <si>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</si>
  <si>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</si>
  <si>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</si>
  <si>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</si>
  <si>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</si>
  <si>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</si>
  <si>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</si>
  <si>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</si>
  <si>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</si>
  <si>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</si>
  <si>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</si>
  <si>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</si>
  <si>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</si>
  <si>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</si>
  <si>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</si>
  <si>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</si>
  <si>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</si>
  <si>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</si>
  <si>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</si>
  <si>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</si>
  <si>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</si>
  <si>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</si>
  <si>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</si>
  <si>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</si>
  <si>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</si>
  <si>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</si>
  <si>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</si>
  <si>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</si>
  <si>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</si>
  <si>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</si>
  <si>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</si>
  <si>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</si>
  <si>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</si>
  <si>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</si>
  <si>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</si>
  <si>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</si>
  <si>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</si>
  <si>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</si>
  <si>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</si>
  <si>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</si>
  <si>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</si>
  <si>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</si>
  <si>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</si>
  <si>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</si>
  <si>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</si>
  <si>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</si>
  <si>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</si>
  <si>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</si>
  <si>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</si>
  <si>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</si>
  <si>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</si>
  <si>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</si>
  <si>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</si>
  <si>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</si>
  <si>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</si>
  <si>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</si>
  <si>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</si>
  <si>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</si>
  <si>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</si>
  <si>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</si>
  <si>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</si>
  <si>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</si>
  <si>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</si>
  <si>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</si>
  <si>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</si>
  <si>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</si>
  <si>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</si>
  <si>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</si>
  <si>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</si>
  <si>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</si>
  <si>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</si>
  <si>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</si>
  <si>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</si>
  <si>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</si>
  <si>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</si>
  <si>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</si>
  <si>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</si>
  <si>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</si>
  <si>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</si>
  <si>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</si>
  <si>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</si>
  <si>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</si>
  <si>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</si>
  <si>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</si>
  <si>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</si>
  <si>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</si>
  <si>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</si>
  <si>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</si>
  <si>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</si>
  <si>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</si>
  <si>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</si>
  <si>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</si>
  <si>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</si>
  <si>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</si>
  <si>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</si>
  <si>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</si>
  <si>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</si>
  <si>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</si>
  <si>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</si>
  <si>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</si>
  <si>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</si>
  <si>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</si>
  <si>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</si>
  <si>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</si>
  <si>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</si>
  <si>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</si>
  <si>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</si>
  <si>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</si>
  <si>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</si>
  <si>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</si>
  <si>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</si>
  <si>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</si>
  <si>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</si>
  <si>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</si>
  <si>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</si>
  <si>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</si>
  <si>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</si>
  <si>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</si>
  <si>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</si>
  <si>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</si>
  <si>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</si>
  <si>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</si>
  <si>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</si>
  <si>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</si>
  <si>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</si>
  <si>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</si>
  <si>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</si>
  <si>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</si>
  <si>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</si>
  <si>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</si>
  <si>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</si>
  <si>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</si>
  <si>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</si>
  <si>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</si>
  <si>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</si>
  <si>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</si>
  <si>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</si>
  <si>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</si>
  <si>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</si>
  <si>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</si>
  <si>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</si>
  <si>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</si>
  <si>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</si>
  <si>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</si>
  <si>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</si>
  <si>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</si>
  <si>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</si>
  <si>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</si>
  <si>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</si>
  <si>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</si>
  <si>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</si>
  <si>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</si>
  <si>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</si>
  <si>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</si>
  <si>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</si>
  <si>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</si>
  <si>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</si>
  <si>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</si>
  <si>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</si>
  <si>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</si>
  <si>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</si>
  <si>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</si>
  <si>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</si>
  <si>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</si>
  <si>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</si>
  <si>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</si>
  <si>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</si>
  <si>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</si>
  <si>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</si>
  <si>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</si>
  <si>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</si>
  <si>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</si>
  <si>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</si>
  <si>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</si>
  <si>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</si>
  <si>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</si>
  <si>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</si>
  <si>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</si>
  <si>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</si>
  <si>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</si>
  <si>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</si>
  <si>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</si>
  <si>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</si>
  <si>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</si>
  <si>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</si>
  <si>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</si>
  <si>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</si>
  <si>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</si>
  <si>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</si>
  <si>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</si>
  <si>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</si>
  <si>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</si>
  <si>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</si>
  <si>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</si>
  <si>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</si>
  <si>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</si>
  <si>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</si>
  <si>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</si>
  <si>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</si>
  <si>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</si>
  <si>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</si>
  <si>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</si>
  <si>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</si>
  <si>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</si>
  <si>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</si>
  <si>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</si>
  <si>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</si>
  <si>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</si>
  <si>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</si>
  <si>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</si>
  <si>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</si>
  <si>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</si>
  <si>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</si>
  <si>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</si>
  <si>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</si>
  <si>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</si>
  <si>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</si>
  <si>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</si>
  <si>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</si>
  <si>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</si>
  <si>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</si>
  <si>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</si>
  <si>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</si>
  <si>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</si>
  <si>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</si>
  <si>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</si>
  <si>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</si>
  <si>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</si>
  <si>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</si>
  <si>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</si>
  <si>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</si>
  <si>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</si>
  <si>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</si>
  <si>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</si>
  <si>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</si>
  <si>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</si>
  <si>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</si>
  <si>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</si>
  <si>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</si>
  <si>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</si>
  <si>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</si>
  <si>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</si>
  <si>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</si>
  <si>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</si>
  <si>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</si>
  <si>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</si>
  <si>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</si>
  <si>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</si>
  <si>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</si>
  <si>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</si>
  <si>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</si>
  <si>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</si>
  <si>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</si>
  <si>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</si>
  <si>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</si>
  <si>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</si>
  <si>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</si>
  <si>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</si>
  <si>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</si>
  <si>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</si>
  <si>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</si>
  <si>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</si>
  <si>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</si>
  <si>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</si>
  <si>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</si>
  <si>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</si>
  <si>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</si>
  <si>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</si>
  <si>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</si>
  <si>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</si>
  <si>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</si>
  <si>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</si>
  <si>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</si>
  <si>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</si>
  <si>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</si>
  <si>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</si>
  <si>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</si>
  <si>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</si>
  <si>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</si>
  <si>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</si>
  <si>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</si>
  <si>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</si>
  <si>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</si>
  <si>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</si>
  <si>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</si>
  <si>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</si>
  <si>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</si>
  <si>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</si>
  <si>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</si>
  <si>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</si>
  <si>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</si>
  <si>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</si>
  <si>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</si>
  <si>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</si>
  <si>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</si>
  <si>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</si>
  <si>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</si>
  <si>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</si>
  <si>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</si>
  <si>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</si>
  <si>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</si>
  <si>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</si>
  <si>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</si>
  <si>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</si>
  <si>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</si>
  <si>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</si>
  <si>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</si>
  <si>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</si>
  <si>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</si>
  <si>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</si>
  <si>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</si>
  <si>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</si>
  <si>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</si>
  <si>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</si>
  <si>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</si>
  <si>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</si>
  <si>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</si>
  <si>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</si>
  <si>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</si>
  <si>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</si>
  <si>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</si>
  <si>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</si>
  <si>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</si>
  <si>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</si>
  <si>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</si>
  <si>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</si>
  <si>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</si>
  <si>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</si>
  <si>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</si>
  <si>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</si>
  <si>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</si>
  <si>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</si>
  <si>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</si>
  <si>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</si>
  <si>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</si>
  <si>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</si>
  <si>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</si>
  <si>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</si>
  <si>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</si>
  <si>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</si>
  <si>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</si>
  <si>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</si>
  <si>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</si>
  <si>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</si>
  <si>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</si>
  <si>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</si>
  <si>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</si>
  <si>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</si>
  <si>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</si>
  <si>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</si>
  <si>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</si>
  <si>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</si>
  <si>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</si>
  <si>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</si>
  <si>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</si>
  <si>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</si>
  <si>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</si>
  <si>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</si>
  <si>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</si>
  <si>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</si>
  <si>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</si>
  <si>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</si>
  <si>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</si>
  <si>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</si>
  <si>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</si>
  <si>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</si>
  <si>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</si>
  <si>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</si>
  <si>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</si>
  <si>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</si>
  <si>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</si>
  <si>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</si>
  <si>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</si>
  <si>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</si>
  <si>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</si>
  <si>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</si>
  <si>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</si>
  <si>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</si>
  <si>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</si>
  <si>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</si>
  <si>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</si>
  <si>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</si>
  <si>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</si>
  <si>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</si>
  <si>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</si>
  <si>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</si>
  <si>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</si>
  <si>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</si>
  <si>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</si>
  <si>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</si>
  <si>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</si>
  <si>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</si>
  <si>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</si>
  <si>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</si>
  <si>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</si>
  <si>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</si>
  <si>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</si>
  <si>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</si>
  <si>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</si>
  <si>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</si>
  <si>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</si>
  <si>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</si>
  <si>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</si>
  <si>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</si>
  <si>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</si>
  <si>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</si>
  <si>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</si>
  <si>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</si>
  <si>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</si>
  <si>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</si>
  <si>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</si>
  <si>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</si>
  <si>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</si>
  <si>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</si>
  <si>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</si>
  <si>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</si>
  <si>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</si>
  <si>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</si>
  <si>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</si>
  <si>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</si>
  <si>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</si>
  <si>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</si>
  <si>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</si>
  <si>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</si>
  <si>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</si>
  <si>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</si>
  <si>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</si>
  <si>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</si>
  <si>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</si>
  <si>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</si>
  <si>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</si>
  <si>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</si>
  <si>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</si>
  <si>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</si>
  <si>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</si>
  <si>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</si>
  <si>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</si>
  <si>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</si>
  <si>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</si>
  <si>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</si>
  <si>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</si>
  <si>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</si>
  <si>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</si>
  <si>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</si>
  <si>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</si>
  <si>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</si>
  <si>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</si>
  <si>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</si>
  <si>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</si>
  <si>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</si>
  <si>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</si>
  <si>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</si>
  <si>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</si>
  <si>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</si>
  <si>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</si>
  <si>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</si>
  <si>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</si>
  <si>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</si>
  <si>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</si>
  <si>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</si>
  <si>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</si>
  <si>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</si>
  <si>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</si>
  <si>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</si>
  <si>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</si>
  <si>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</si>
  <si>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</si>
  <si>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</si>
  <si>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</si>
  <si>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</si>
  <si>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</si>
  <si>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</si>
  <si>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</si>
  <si>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</si>
  <si>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</si>
  <si>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</si>
  <si>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</si>
  <si>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</si>
  <si>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</si>
  <si>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</si>
  <si>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</si>
  <si>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</si>
  <si>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</si>
  <si>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</si>
  <si>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</si>
  <si>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</si>
  <si>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</si>
  <si>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</si>
  <si>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</si>
  <si>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</si>
  <si>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</si>
  <si>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</si>
  <si>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</si>
  <si>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</si>
  <si>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</si>
  <si>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</si>
  <si>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</si>
  <si>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</si>
  <si>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</si>
  <si>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</si>
  <si>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</si>
  <si>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</si>
  <si>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</si>
  <si>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</si>
  <si>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</si>
  <si>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</si>
  <si>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</si>
  <si>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</si>
  <si>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</si>
  <si>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</si>
  <si>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</si>
  <si>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</si>
  <si>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</si>
  <si>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</si>
  <si>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</si>
  <si>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</si>
  <si>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</si>
  <si>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</si>
  <si>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</si>
  <si>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</si>
  <si>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</si>
  <si>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</si>
  <si>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</si>
  <si>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</si>
  <si>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</si>
  <si>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</si>
  <si>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</si>
  <si>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</si>
  <si>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</si>
  <si>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</si>
  <si>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</si>
  <si>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</si>
  <si>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</si>
  <si>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</si>
  <si>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</si>
  <si>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</si>
  <si>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</si>
  <si>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</si>
  <si>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</si>
  <si>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</si>
  <si>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</si>
  <si>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</si>
  <si>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</si>
  <si>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</si>
  <si>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</si>
  <si>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</si>
  <si>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</si>
  <si>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</si>
  <si>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</si>
  <si>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</si>
  <si>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</si>
  <si>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</si>
  <si>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</si>
  <si>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</si>
  <si>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</si>
  <si>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</si>
  <si>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</si>
  <si>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</si>
  <si>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</si>
  <si>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</si>
  <si>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</si>
  <si>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</si>
  <si>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</si>
  <si>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</si>
  <si>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</si>
  <si>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</si>
  <si>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</si>
  <si>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</si>
  <si>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</si>
  <si>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</si>
  <si>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</si>
  <si>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</si>
  <si>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</si>
  <si>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</si>
  <si>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</si>
  <si>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</si>
  <si>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</si>
  <si>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</si>
  <si>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</si>
  <si>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</si>
  <si>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</si>
  <si>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</si>
  <si>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</si>
  <si>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</si>
  <si>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</si>
  <si>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</si>
  <si>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</si>
  <si>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</si>
  <si>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</si>
  <si>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</si>
  <si>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</si>
  <si>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</si>
  <si>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</si>
  <si>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</si>
  <si>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</si>
  <si>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</si>
  <si>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</si>
  <si>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</si>
  <si>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</si>
  <si>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</si>
  <si>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</si>
  <si>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</si>
  <si>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</si>
  <si>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</si>
  <si>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</si>
  <si>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</si>
  <si>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</si>
  <si>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</si>
  <si>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</si>
  <si>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</si>
  <si>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</si>
  <si>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</si>
  <si>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</si>
  <si>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</si>
  <si>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</si>
  <si>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</si>
  <si>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</si>
  <si>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</si>
  <si>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</si>
  <si>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</si>
  <si>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</si>
  <si>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</si>
  <si>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</si>
  <si>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</si>
  <si>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</si>
  <si>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</si>
  <si>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</si>
  <si>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</si>
  <si>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</si>
  <si>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</si>
  <si>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</si>
  <si>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</si>
  <si>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</si>
  <si>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</si>
  <si>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</si>
  <si>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</si>
  <si>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</si>
  <si>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</si>
  <si>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</si>
  <si>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</si>
  <si>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</si>
  <si>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</si>
  <si>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</si>
  <si>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</si>
  <si>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</si>
  <si>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</si>
  <si>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</si>
  <si>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</si>
  <si>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</si>
  <si>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</si>
  <si>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</si>
  <si>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</si>
  <si>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</si>
  <si>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</si>
  <si>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</si>
  <si>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</si>
  <si>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</si>
  <si>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</si>
  <si>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</si>
  <si>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</si>
  <si>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</si>
  <si>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</si>
  <si>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</si>
  <si>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</si>
  <si>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</si>
  <si>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</si>
  <si>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</si>
  <si>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</si>
  <si>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</si>
  <si>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</si>
  <si>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</si>
  <si>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</si>
  <si>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</si>
  <si>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</si>
  <si>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</si>
  <si>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</si>
  <si>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</si>
  <si>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</si>
  <si>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</si>
  <si>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</si>
  <si>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</si>
  <si>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</si>
  <si>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</si>
  <si>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</si>
  <si>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</si>
  <si>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</si>
  <si>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</si>
  <si>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</si>
  <si>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</si>
  <si>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</si>
  <si>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</si>
  <si>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</si>
  <si>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</si>
  <si>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</si>
  <si>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</si>
  <si>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</si>
  <si>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</si>
  <si>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</si>
  <si>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</si>
  <si>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</si>
  <si>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</si>
  <si>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</si>
  <si>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</si>
  <si>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</si>
  <si>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</si>
  <si>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</si>
  <si>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</si>
  <si>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</si>
  <si>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</si>
  <si>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</si>
  <si>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</si>
  <si>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</si>
  <si>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</si>
  <si>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</si>
  <si>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</si>
  <si>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</si>
  <si>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</si>
  <si>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</si>
  <si>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</si>
  <si>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</si>
  <si>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</si>
  <si>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</si>
  <si>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</si>
  <si>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</si>
  <si>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</si>
  <si>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</si>
  <si>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</si>
  <si>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</si>
  <si>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</si>
  <si>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</si>
  <si>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</si>
  <si>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</si>
  <si>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</si>
  <si>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</si>
  <si>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</si>
  <si>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</si>
  <si>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</si>
  <si>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</si>
  <si>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</si>
  <si>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</si>
  <si>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</si>
  <si>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</si>
  <si>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</si>
  <si>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</si>
  <si>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</si>
  <si>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</si>
  <si>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</si>
  <si>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</si>
  <si>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</si>
  <si>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</si>
  <si>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</si>
  <si>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</si>
  <si>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</si>
  <si>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</si>
  <si>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</si>
  <si>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</si>
  <si>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</si>
  <si>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</si>
  <si>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</si>
  <si>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</si>
  <si>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</si>
  <si>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</si>
  <si>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</si>
  <si>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</si>
  <si>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</si>
  <si>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</si>
  <si>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</si>
  <si>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</si>
  <si>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</si>
  <si>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</si>
  <si>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</si>
  <si>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</si>
  <si>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</si>
  <si>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</si>
  <si>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</si>
  <si>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</si>
  <si>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</si>
  <si>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</si>
  <si>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</si>
  <si>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</si>
  <si>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</si>
  <si>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</si>
  <si>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</si>
  <si>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</si>
  <si>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</si>
  <si>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</si>
  <si>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</si>
  <si>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</si>
  <si>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</si>
  <si>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</si>
  <si>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</si>
  <si>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</si>
  <si>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</si>
  <si>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</si>
  <si>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</si>
  <si>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</si>
  <si>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</si>
  <si>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</si>
  <si>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</si>
  <si>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</si>
  <si>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</si>
  <si>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</si>
  <si>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</si>
  <si>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</si>
  <si>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</si>
  <si>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</si>
  <si>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</si>
  <si>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</si>
  <si>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</si>
  <si>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</si>
  <si>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</si>
  <si>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</si>
  <si>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</si>
  <si>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</si>
  <si>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</si>
  <si>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</si>
  <si>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</si>
  <si>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</si>
  <si>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</si>
  <si>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</si>
  <si>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</si>
  <si>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</si>
  <si>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</si>
  <si>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</si>
  <si>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</si>
  <si>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</si>
  <si>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</si>
  <si>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</si>
  <si>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</si>
  <si>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</si>
  <si>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</si>
  <si>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</si>
  <si>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</si>
  <si>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</si>
  <si>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</si>
  <si>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</si>
  <si>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</si>
  <si>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</si>
  <si>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</si>
  <si>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</si>
  <si>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</si>
  <si>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</si>
  <si>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</si>
  <si>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</si>
  <si>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</si>
  <si>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</si>
  <si>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</si>
  <si>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</si>
  <si>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</si>
  <si>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</si>
  <si>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</si>
  <si>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</si>
  <si>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</si>
  <si>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</si>
  <si>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</si>
  <si>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</si>
  <si>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</si>
  <si>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</si>
  <si>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</si>
  <si>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</si>
  <si>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</si>
  <si>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</si>
  <si>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</si>
  <si>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</si>
  <si>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</si>
  <si>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</si>
  <si>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</si>
  <si>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</si>
  <si>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</si>
  <si>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</si>
  <si>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</si>
  <si>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</si>
  <si>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</si>
  <si>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</si>
  <si>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</si>
  <si>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</si>
  <si>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</si>
  <si>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</si>
  <si>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</si>
  <si>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</si>
  <si>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</si>
  <si>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</si>
  <si>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</si>
  <si>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</si>
  <si>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</si>
  <si>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</si>
  <si>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</si>
  <si>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</si>
  <si>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</si>
  <si>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</si>
  <si>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</si>
  <si>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</si>
  <si>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</si>
  <si>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</si>
  <si>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</si>
  <si>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</si>
  <si>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</si>
  <si>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</si>
  <si>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</si>
  <si>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</si>
  <si>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</si>
  <si>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</si>
  <si>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</si>
  <si>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</si>
  <si>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</si>
  <si>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</si>
  <si>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</si>
  <si>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</si>
  <si>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</si>
  <si>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</si>
  <si>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</si>
  <si>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</si>
  <si>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</si>
  <si>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</si>
  <si>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</si>
  <si>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</si>
  <si>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</si>
  <si>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</si>
  <si>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</si>
  <si>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</si>
  <si>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</si>
  <si>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</si>
  <si>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</si>
  <si>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</si>
  <si>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</si>
  <si>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</si>
  <si>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</si>
  <si>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</si>
  <si>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</si>
  <si>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</si>
  <si>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</si>
  <si>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</si>
  <si>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</si>
  <si>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</si>
  <si>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</si>
  <si>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</si>
  <si>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</si>
  <si>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</si>
  <si>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</si>
  <si>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</si>
  <si>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</si>
  <si>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</si>
  <si>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</si>
  <si>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</si>
  <si>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</si>
  <si>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</si>
  <si>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</si>
  <si>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</si>
  <si>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</si>
  <si>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</si>
  <si>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</si>
  <si>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</si>
  <si>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</si>
  <si>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</si>
  <si>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</si>
  <si>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</si>
  <si>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</si>
  <si>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</si>
  <si>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</si>
  <si>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</si>
  <si>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</si>
  <si>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</si>
  <si>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</si>
  <si>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</si>
  <si>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</si>
  <si>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</si>
  <si>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</si>
  <si>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</si>
  <si>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</si>
  <si>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</si>
  <si>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</si>
  <si>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</si>
  <si>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</si>
  <si>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</si>
  <si>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</si>
  <si>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</si>
  <si>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</si>
  <si>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</si>
  <si>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</si>
  <si>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</si>
  <si>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</si>
  <si>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</si>
  <si>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</si>
  <si>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</si>
  <si>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</si>
  <si>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</si>
  <si>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</si>
  <si>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</si>
  <si>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</si>
  <si>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</si>
  <si>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</si>
  <si>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</si>
  <si>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</si>
  <si>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</si>
  <si>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</si>
  <si>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</si>
  <si>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</si>
  <si>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</si>
  <si>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Arabica</t>
  </si>
  <si>
    <t>Robusta</t>
  </si>
  <si>
    <t>Liberica</t>
  </si>
  <si>
    <t>Excelsa</t>
  </si>
  <si>
    <t>Light</t>
  </si>
  <si>
    <t>Dark</t>
  </si>
  <si>
    <t>Year</t>
  </si>
  <si>
    <t>Month</t>
  </si>
  <si>
    <t>UNKNOWN</t>
  </si>
  <si>
    <t>Phone number</t>
  </si>
  <si>
    <t>Coffee type</t>
  </si>
  <si>
    <t>Roast type</t>
  </si>
  <si>
    <t>Medium</t>
  </si>
  <si>
    <t>Total Profit</t>
  </si>
  <si>
    <t>Profit Margin</t>
  </si>
  <si>
    <t>QE+A2:O991V-37451-860</t>
  </si>
  <si>
    <t>Grand Total</t>
  </si>
  <si>
    <t>2022</t>
  </si>
  <si>
    <t>1. What is the overall sales performance by coffee type over a specified period?.</t>
  </si>
  <si>
    <t>2.How do sales vary across different countries.</t>
  </si>
  <si>
    <t>Total Sales</t>
  </si>
  <si>
    <t>3.What are the key cities contributing to total sales, and what is their respective performance?</t>
  </si>
  <si>
    <t>Cities</t>
  </si>
  <si>
    <t>4.Which roast type drives the highest sales,and how does each roast type compare?</t>
  </si>
  <si>
    <t>Roast types</t>
  </si>
  <si>
    <t>5.How is the customer base distributed by country.</t>
  </si>
  <si>
    <t>6.What is the distribution of customers by city?</t>
  </si>
  <si>
    <t>Total no of customers</t>
  </si>
  <si>
    <t>7.How has the customer base evolved over the years?.</t>
  </si>
  <si>
    <t>2019</t>
  </si>
  <si>
    <t>2020</t>
  </si>
  <si>
    <t>2021</t>
  </si>
  <si>
    <t xml:space="preserve">Total no. of Customer </t>
  </si>
  <si>
    <t>Number of Customer Name</t>
  </si>
  <si>
    <t>8.Who are the top 5 customers by purchase volumn or value?.</t>
  </si>
  <si>
    <t>Number of Quantity</t>
  </si>
  <si>
    <t>9.What are the monthly sales performance trends,and are there any seasonal patterns?.</t>
  </si>
  <si>
    <t>January</t>
  </si>
  <si>
    <t>February</t>
  </si>
  <si>
    <t>March</t>
  </si>
  <si>
    <t>April</t>
  </si>
  <si>
    <t>May</t>
  </si>
  <si>
    <t>June</t>
  </si>
  <si>
    <t>July</t>
  </si>
  <si>
    <t>August</t>
  </si>
  <si>
    <t>September</t>
  </si>
  <si>
    <t>October</t>
  </si>
  <si>
    <t>November</t>
  </si>
  <si>
    <t>December</t>
  </si>
  <si>
    <t>10.How does the monthly sales performance vary by coffee type?.</t>
  </si>
  <si>
    <t>11.What is the trend in monthly walk-ins,and what factors contribute to fluctuations?.</t>
  </si>
  <si>
    <t>Total no. of Customers</t>
  </si>
  <si>
    <t>12.What are the overall yearly sales,and how has this trend changed over the years?.</t>
  </si>
  <si>
    <t>13.How do yearly sales compare across different coffee types and roast types?.</t>
  </si>
  <si>
    <t>coffee type</t>
  </si>
  <si>
    <t>Count of Customer Name</t>
  </si>
  <si>
    <t>Sum of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</si>
</sst>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quot;Kg&quot;"/>
    <numFmt numFmtId="166" formatCode="&quot;$&quot;#,##0.00"/>
    <numFmt numFmtId="167" formatCode="0.0"/>
  </numFmts>
  <fonts count="5" x14ac:knownFonts="1">
    <font>
      <sz val="11"/>
      <color theme="1"/>
      <name val="Calibri"/>
      <family val="2"/>
      <scheme val="minor"/>
    </font>
    <font>
      <sz val="11"/>
      <color indexed="8"/>
      <name val="Calibri"/>
      <family val="2"/>
    </font>
    <font>
      <b/>
      <sz val="11"/>
      <color indexed="8"/>
      <name val="Calibri"/>
      <family val="2"/>
    </font>
    <font>
      <sz val="11"/>
      <color rgb="FFFF0000"/>
      <name val="Calibri"/>
      <family val="2"/>
    </font>
    <font>
      <b/>
      <sz val="14"/>
      <color theme="1"/>
      <name val="Calibri"/>
      <family val="2"/>
      <scheme val="minor"/>
    </font>
  </fonts>
  <fills count="3">
    <fill>
      <patternFill patternType="none"/>
    </fill>
    <fill>
      <patternFill patternType="gray125"/>
    </fill>
    <fill>
      <patternFill patternType="solid">
        <fgColor theme="4"/>
        <bgColor theme="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39">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Font="1" applyBorder="1"/>
    <xf numFmtId="165" fontId="0" fillId="0" borderId="2" xfId="0" applyNumberFormat="1" applyFont="1" applyBorder="1"/>
    <xf numFmtId="166" fontId="0" fillId="0" borderId="2" xfId="0" applyNumberFormat="1" applyFon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Font="1" applyBorder="1"/>
    <xf numFmtId="165" fontId="0" fillId="0" borderId="4" xfId="0" applyNumberFormat="1" applyFont="1" applyBorder="1"/>
    <xf numFmtId="166" fontId="0" fillId="0" borderId="4" xfId="0" applyNumberFormat="1" applyFon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2" fontId="1" fillId="0" borderId="2" xfId="0" applyNumberFormat="1" applyFont="1" applyBorder="1" applyAlignment="1">
      <alignment vertical="center"/>
    </xf>
    <xf numFmtId="164" fontId="2" fillId="2" borderId="2" xfId="0" applyNumberFormat="1" applyFont="1" applyFill="1" applyBorder="1" applyAlignment="1">
      <alignment horizontal="center" vertical="center"/>
    </xf>
    <xf numFmtId="2" fontId="1" fillId="0" borderId="2" xfId="0" applyNumberFormat="1" applyFont="1" applyBorder="1" applyAlignment="1">
      <alignment horizontal="center" vertical="center"/>
    </xf>
    <xf numFmtId="0" fontId="3" fillId="0" borderId="0" xfId="0" applyFont="1" applyAlignment="1">
      <alignment vertical="center"/>
    </xf>
    <xf numFmtId="0" fontId="1" fillId="0" borderId="2" xfId="0" applyFont="1" applyBorder="1" applyAlignment="1">
      <alignment horizontal="center"/>
    </xf>
    <xf numFmtId="0" fontId="2" fillId="2" borderId="2" xfId="0" applyFont="1" applyFill="1" applyBorder="1" applyAlignment="1">
      <alignment horizontal="center" vertical="center"/>
    </xf>
    <xf numFmtId="0" fontId="1" fillId="0" borderId="2" xfId="0" applyFont="1" applyBorder="1" applyAlignment="1">
      <alignment horizontal="center" vertical="center"/>
    </xf>
    <xf numFmtId="0" fontId="0" fillId="0" borderId="0" xfId="0" applyAlignment="1">
      <alignment horizontal="center"/>
    </xf>
    <xf numFmtId="164" fontId="2" fillId="2" borderId="2" xfId="0" applyNumberFormat="1" applyFont="1" applyFill="1" applyBorder="1" applyAlignment="1">
      <alignment horizontal="left" vertical="center"/>
    </xf>
    <xf numFmtId="164" fontId="1" fillId="0" borderId="2" xfId="0" applyNumberFormat="1" applyFont="1" applyBorder="1" applyAlignment="1">
      <alignment horizontal="left" vertical="center"/>
    </xf>
    <xf numFmtId="164" fontId="1" fillId="0" borderId="4" xfId="0" applyNumberFormat="1" applyFont="1" applyBorder="1" applyAlignment="1">
      <alignment horizontal="left" vertical="center"/>
    </xf>
    <xf numFmtId="0" fontId="0" fillId="0" borderId="0" xfId="0" applyAlignment="1">
      <alignment horizontal="left"/>
    </xf>
    <xf numFmtId="0" fontId="1" fillId="0" borderId="4" xfId="0" applyFont="1" applyBorder="1" applyAlignment="1">
      <alignment horizontal="center" vertical="center"/>
    </xf>
    <xf numFmtId="0" fontId="2" fillId="2" borderId="0" xfId="0" applyFont="1" applyFill="1" applyBorder="1" applyAlignment="1">
      <alignment vertical="center"/>
    </xf>
    <xf numFmtId="166" fontId="0" fillId="0" borderId="0" xfId="0" applyNumberFormat="1"/>
    <xf numFmtId="0" fontId="0" fillId="0" borderId="0" xfId="0" applyNumberFormat="1"/>
    <xf numFmtId="0" fontId="0" fillId="0" borderId="0" xfId="0" pivotButton="1"/>
    <xf numFmtId="0" fontId="4" fillId="0" borderId="0" xfId="0" applyFont="1"/>
    <xf numFmtId="0" fontId="4" fillId="0" borderId="0" xfId="0" applyFont="1" applyAlignment="1">
      <alignment horizontal="left"/>
    </xf>
    <xf numFmtId="0" fontId="0" fillId="0" borderId="0" xfId="0" applyAlignment="1">
      <alignment horizontal="left" indent="1"/>
    </xf>
  </cellXfs>
  <cellStyles count="1">
    <cellStyle name="Normal" xfId="0" builtinId="0"/>
  </cellStyles>
  <dxfs count="2">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2022 Total Coffee</a:t>
            </a:r>
            <a:r>
              <a:rPr lang="en-US" baseline="0"/>
              <a:t> type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2019</c:v>
                </c:pt>
              </c:strCache>
            </c:strRef>
          </c:tx>
          <c:spPr>
            <a:solidFill>
              <a:schemeClr val="accent2">
                <a:shade val="58000"/>
              </a:schemeClr>
            </a:solidFill>
            <a:ln>
              <a:noFill/>
            </a:ln>
            <a:effectLst/>
          </c:spPr>
          <c:invertIfNegative val="0"/>
          <c:cat>
            <c:strRef>
              <c:f>'Pivot Table'!$A$7:$A$11</c:f>
              <c:strCache>
                <c:ptCount val="4"/>
                <c:pt idx="0">
                  <c:v>Arabica</c:v>
                </c:pt>
                <c:pt idx="1">
                  <c:v>Excelsa</c:v>
                </c:pt>
                <c:pt idx="2">
                  <c:v>Liberica</c:v>
                </c:pt>
                <c:pt idx="3">
                  <c:v>Robusta</c:v>
                </c:pt>
              </c:strCache>
            </c:strRef>
          </c:cat>
          <c:val>
            <c:numRef>
              <c:f>'Pivot Table'!$B$7:$B$11</c:f>
              <c:numCache>
                <c:formatCode>General</c:formatCode>
                <c:ptCount val="4"/>
                <c:pt idx="0">
                  <c:v>2926.63</c:v>
                </c:pt>
                <c:pt idx="1">
                  <c:v>3481.46</c:v>
                </c:pt>
                <c:pt idx="2">
                  <c:v>3378.0049999999987</c:v>
                </c:pt>
                <c:pt idx="3">
                  <c:v>2401.0700000000006</c:v>
                </c:pt>
              </c:numCache>
            </c:numRef>
          </c:val>
          <c:extLst>
            <c:ext xmlns:c16="http://schemas.microsoft.com/office/drawing/2014/chart" uri="{C3380CC4-5D6E-409C-BE32-E72D297353CC}">
              <c16:uniqueId val="{00000000-B03E-4423-AC30-F43EDAD8298E}"/>
            </c:ext>
          </c:extLst>
        </c:ser>
        <c:ser>
          <c:idx val="1"/>
          <c:order val="1"/>
          <c:tx>
            <c:strRef>
              <c:f>'Pivot Table'!$C$5:$C$6</c:f>
              <c:strCache>
                <c:ptCount val="1"/>
                <c:pt idx="0">
                  <c:v>2020</c:v>
                </c:pt>
              </c:strCache>
            </c:strRef>
          </c:tx>
          <c:spPr>
            <a:solidFill>
              <a:schemeClr val="accent2">
                <a:shade val="86000"/>
              </a:schemeClr>
            </a:solidFill>
            <a:ln>
              <a:noFill/>
            </a:ln>
            <a:effectLst/>
          </c:spPr>
          <c:invertIfNegative val="0"/>
          <c:cat>
            <c:strRef>
              <c:f>'Pivot Table'!$A$7:$A$11</c:f>
              <c:strCache>
                <c:ptCount val="4"/>
                <c:pt idx="0">
                  <c:v>Arabica</c:v>
                </c:pt>
                <c:pt idx="1">
                  <c:v>Excelsa</c:v>
                </c:pt>
                <c:pt idx="2">
                  <c:v>Liberica</c:v>
                </c:pt>
                <c:pt idx="3">
                  <c:v>Robusta</c:v>
                </c:pt>
              </c:strCache>
            </c:strRef>
          </c:cat>
          <c:val>
            <c:numRef>
              <c:f>'Pivot Table'!$C$7:$C$11</c:f>
              <c:numCache>
                <c:formatCode>General</c:formatCode>
                <c:ptCount val="4"/>
                <c:pt idx="0">
                  <c:v>3356.415</c:v>
                </c:pt>
                <c:pt idx="1">
                  <c:v>3663.4100000000008</c:v>
                </c:pt>
                <c:pt idx="2">
                  <c:v>2604.4550000000004</c:v>
                </c:pt>
                <c:pt idx="3">
                  <c:v>2493.2649999999994</c:v>
                </c:pt>
              </c:numCache>
            </c:numRef>
          </c:val>
          <c:extLst>
            <c:ext xmlns:c16="http://schemas.microsoft.com/office/drawing/2014/chart" uri="{C3380CC4-5D6E-409C-BE32-E72D297353CC}">
              <c16:uniqueId val="{00000016-37F4-44A8-BBC8-A0CECB0E2F54}"/>
            </c:ext>
          </c:extLst>
        </c:ser>
        <c:ser>
          <c:idx val="2"/>
          <c:order val="2"/>
          <c:tx>
            <c:strRef>
              <c:f>'Pivot Table'!$D$5:$D$6</c:f>
              <c:strCache>
                <c:ptCount val="1"/>
                <c:pt idx="0">
                  <c:v>2021</c:v>
                </c:pt>
              </c:strCache>
            </c:strRef>
          </c:tx>
          <c:spPr>
            <a:solidFill>
              <a:schemeClr val="accent2">
                <a:tint val="86000"/>
              </a:schemeClr>
            </a:solidFill>
            <a:ln>
              <a:noFill/>
            </a:ln>
            <a:effectLst/>
          </c:spPr>
          <c:invertIfNegative val="0"/>
          <c:cat>
            <c:strRef>
              <c:f>'Pivot Table'!$A$7:$A$11</c:f>
              <c:strCache>
                <c:ptCount val="4"/>
                <c:pt idx="0">
                  <c:v>Arabica</c:v>
                </c:pt>
                <c:pt idx="1">
                  <c:v>Excelsa</c:v>
                </c:pt>
                <c:pt idx="2">
                  <c:v>Liberica</c:v>
                </c:pt>
                <c:pt idx="3">
                  <c:v>Robusta</c:v>
                </c:pt>
              </c:strCache>
            </c:strRef>
          </c:cat>
          <c:val>
            <c:numRef>
              <c:f>'Pivot Table'!$D$7:$D$11</c:f>
              <c:numCache>
                <c:formatCode>General</c:formatCode>
                <c:ptCount val="4"/>
                <c:pt idx="0">
                  <c:v>4045.6299999999992</c:v>
                </c:pt>
                <c:pt idx="1">
                  <c:v>3469.6399999999994</c:v>
                </c:pt>
                <c:pt idx="2">
                  <c:v>3836.6950000000011</c:v>
                </c:pt>
                <c:pt idx="3">
                  <c:v>2414.1449999999995</c:v>
                </c:pt>
              </c:numCache>
            </c:numRef>
          </c:val>
          <c:extLst>
            <c:ext xmlns:c16="http://schemas.microsoft.com/office/drawing/2014/chart" uri="{C3380CC4-5D6E-409C-BE32-E72D297353CC}">
              <c16:uniqueId val="{00000017-37F4-44A8-BBC8-A0CECB0E2F54}"/>
            </c:ext>
          </c:extLst>
        </c:ser>
        <c:ser>
          <c:idx val="3"/>
          <c:order val="3"/>
          <c:tx>
            <c:strRef>
              <c:f>'Pivot Table'!$E$5:$E$6</c:f>
              <c:strCache>
                <c:ptCount val="1"/>
                <c:pt idx="0">
                  <c:v>2022</c:v>
                </c:pt>
              </c:strCache>
            </c:strRef>
          </c:tx>
          <c:spPr>
            <a:solidFill>
              <a:schemeClr val="accent2">
                <a:tint val="58000"/>
              </a:schemeClr>
            </a:solidFill>
            <a:ln>
              <a:noFill/>
            </a:ln>
            <a:effectLst/>
          </c:spPr>
          <c:invertIfNegative val="0"/>
          <c:cat>
            <c:strRef>
              <c:f>'Pivot Table'!$A$7:$A$11</c:f>
              <c:strCache>
                <c:ptCount val="4"/>
                <c:pt idx="0">
                  <c:v>Arabica</c:v>
                </c:pt>
                <c:pt idx="1">
                  <c:v>Excelsa</c:v>
                </c:pt>
                <c:pt idx="2">
                  <c:v>Liberica</c:v>
                </c:pt>
                <c:pt idx="3">
                  <c:v>Robusta</c:v>
                </c:pt>
              </c:strCache>
            </c:strRef>
          </c:cat>
          <c:val>
            <c:numRef>
              <c:f>'Pivot Table'!$E$7:$E$11</c:f>
              <c:numCache>
                <c:formatCode>General</c:formatCode>
                <c:ptCount val="4"/>
                <c:pt idx="0">
                  <c:v>1439.82</c:v>
                </c:pt>
                <c:pt idx="1">
                  <c:v>1691.9299999999996</c:v>
                </c:pt>
                <c:pt idx="2">
                  <c:v>2234.92</c:v>
                </c:pt>
                <c:pt idx="3">
                  <c:v>1696.7650000000001</c:v>
                </c:pt>
              </c:numCache>
            </c:numRef>
          </c:val>
          <c:extLst>
            <c:ext xmlns:c16="http://schemas.microsoft.com/office/drawing/2014/chart" uri="{C3380CC4-5D6E-409C-BE32-E72D297353CC}">
              <c16:uniqueId val="{00000018-37F4-44A8-BBC8-A0CECB0E2F54}"/>
            </c:ext>
          </c:extLst>
        </c:ser>
        <c:dLbls>
          <c:showLegendKey val="0"/>
          <c:showVal val="0"/>
          <c:showCatName val="0"/>
          <c:showSerName val="0"/>
          <c:showPercent val="0"/>
          <c:showBubbleSize val="0"/>
        </c:dLbls>
        <c:gapWidth val="219"/>
        <c:overlap val="-27"/>
        <c:axId val="1401846255"/>
        <c:axId val="1401844815"/>
      </c:barChart>
      <c:catAx>
        <c:axId val="140184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844815"/>
        <c:crosses val="autoZero"/>
        <c:auto val="1"/>
        <c:lblAlgn val="ctr"/>
        <c:lblOffset val="100"/>
        <c:noMultiLvlLbl val="0"/>
      </c:catAx>
      <c:valAx>
        <c:axId val="140184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84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Total</a:t>
            </a:r>
            <a:r>
              <a:rPr lang="en-US" baseline="0"/>
              <a:t> Sales by Cities</a:t>
            </a:r>
            <a:endParaRPr lang="en-US"/>
          </a:p>
        </c:rich>
      </c:tx>
      <c:layout>
        <c:manualLayout>
          <c:xMode val="edge"/>
          <c:yMode val="edge"/>
          <c:x val="0.30956218351493942"/>
          <c:y val="0.127811850558826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Table'!$B$39</c:f>
              <c:strCache>
                <c:ptCount val="1"/>
                <c:pt idx="0">
                  <c:v>Total</c:v>
                </c:pt>
              </c:strCache>
            </c:strRef>
          </c:tx>
          <c:spPr>
            <a:solidFill>
              <a:schemeClr val="accent2"/>
            </a:solidFill>
            <a:ln>
              <a:noFill/>
            </a:ln>
            <a:effectLst/>
          </c:spPr>
          <c:invertIfNegative val="0"/>
          <c:cat>
            <c:strRef>
              <c:f>'Pivot Table'!$A$40:$A$50</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Table'!$B$40:$B$50</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CBAC-4D91-9B9E-381AF23805C3}"/>
            </c:ext>
          </c:extLst>
        </c:ser>
        <c:dLbls>
          <c:showLegendKey val="0"/>
          <c:showVal val="0"/>
          <c:showCatName val="0"/>
          <c:showSerName val="0"/>
          <c:showPercent val="0"/>
          <c:showBubbleSize val="0"/>
        </c:dLbls>
        <c:gapWidth val="219"/>
        <c:overlap val="-27"/>
        <c:axId val="1653433952"/>
        <c:axId val="1653440672"/>
      </c:barChart>
      <c:catAx>
        <c:axId val="16534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440672"/>
        <c:crosses val="autoZero"/>
        <c:auto val="1"/>
        <c:lblAlgn val="ctr"/>
        <c:lblOffset val="100"/>
        <c:noMultiLvlLbl val="0"/>
      </c:catAx>
      <c:valAx>
        <c:axId val="165344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43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Customer</a:t>
            </a:r>
            <a:r>
              <a:rPr lang="en-US" baseline="0"/>
              <a:t> base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Table'!$B$468</c:f>
              <c:strCache>
                <c:ptCount val="1"/>
                <c:pt idx="0">
                  <c:v>Total</c:v>
                </c:pt>
              </c:strCache>
            </c:strRef>
          </c:tx>
          <c:spPr>
            <a:solidFill>
              <a:schemeClr val="accent2"/>
            </a:solidFill>
            <a:ln>
              <a:noFill/>
            </a:ln>
            <a:effectLst/>
          </c:spPr>
          <c:invertIfNegative val="0"/>
          <c:cat>
            <c:strRef>
              <c:f>'Pivot Table'!$A$469:$A$473</c:f>
              <c:strCache>
                <c:ptCount val="4"/>
                <c:pt idx="0">
                  <c:v>2019</c:v>
                </c:pt>
                <c:pt idx="1">
                  <c:v>2020</c:v>
                </c:pt>
                <c:pt idx="2">
                  <c:v>2021</c:v>
                </c:pt>
                <c:pt idx="3">
                  <c:v>2022</c:v>
                </c:pt>
              </c:strCache>
            </c:strRef>
          </c:cat>
          <c:val>
            <c:numRef>
              <c:f>'Pivot Table'!$B$469:$B$473</c:f>
              <c:numCache>
                <c:formatCode>General</c:formatCode>
                <c:ptCount val="4"/>
                <c:pt idx="0">
                  <c:v>259</c:v>
                </c:pt>
                <c:pt idx="1">
                  <c:v>263</c:v>
                </c:pt>
                <c:pt idx="2">
                  <c:v>312</c:v>
                </c:pt>
                <c:pt idx="3">
                  <c:v>166</c:v>
                </c:pt>
              </c:numCache>
            </c:numRef>
          </c:val>
          <c:extLst>
            <c:ext xmlns:c16="http://schemas.microsoft.com/office/drawing/2014/chart" uri="{C3380CC4-5D6E-409C-BE32-E72D297353CC}">
              <c16:uniqueId val="{00000000-7479-431F-8BAF-30AC2B5D1AD4}"/>
            </c:ext>
          </c:extLst>
        </c:ser>
        <c:dLbls>
          <c:showLegendKey val="0"/>
          <c:showVal val="0"/>
          <c:showCatName val="0"/>
          <c:showSerName val="0"/>
          <c:showPercent val="0"/>
          <c:showBubbleSize val="0"/>
        </c:dLbls>
        <c:gapWidth val="219"/>
        <c:overlap val="-27"/>
        <c:axId val="465012864"/>
        <c:axId val="465015264"/>
      </c:barChart>
      <c:catAx>
        <c:axId val="46501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5015264"/>
        <c:crosses val="autoZero"/>
        <c:auto val="1"/>
        <c:lblAlgn val="ctr"/>
        <c:lblOffset val="100"/>
        <c:noMultiLvlLbl val="0"/>
      </c:catAx>
      <c:valAx>
        <c:axId val="46501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501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Table'!$B$481</c:f>
              <c:strCache>
                <c:ptCount val="1"/>
                <c:pt idx="0">
                  <c:v>Total</c:v>
                </c:pt>
              </c:strCache>
            </c:strRef>
          </c:tx>
          <c:spPr>
            <a:solidFill>
              <a:schemeClr val="accent2"/>
            </a:solidFill>
            <a:ln>
              <a:noFill/>
            </a:ln>
            <a:effectLst/>
          </c:spPr>
          <c:invertIfNegative val="0"/>
          <c:cat>
            <c:strRef>
              <c:f>'Pivot Table'!$A$482:$A$487</c:f>
              <c:strCache>
                <c:ptCount val="5"/>
                <c:pt idx="0">
                  <c:v>Adrian Swaine</c:v>
                </c:pt>
                <c:pt idx="1">
                  <c:v>Jimmy Dymoke</c:v>
                </c:pt>
                <c:pt idx="2">
                  <c:v>Marja Urion</c:v>
                </c:pt>
                <c:pt idx="3">
                  <c:v>Nealson Cuttler</c:v>
                </c:pt>
                <c:pt idx="4">
                  <c:v>Terri Farra</c:v>
                </c:pt>
              </c:strCache>
            </c:strRef>
          </c:cat>
          <c:val>
            <c:numRef>
              <c:f>'Pivot Table'!$B$482:$B$487</c:f>
              <c:numCache>
                <c:formatCode>General</c:formatCode>
                <c:ptCount val="5"/>
                <c:pt idx="0">
                  <c:v>17</c:v>
                </c:pt>
                <c:pt idx="1">
                  <c:v>18</c:v>
                </c:pt>
                <c:pt idx="2">
                  <c:v>17</c:v>
                </c:pt>
                <c:pt idx="3">
                  <c:v>18</c:v>
                </c:pt>
                <c:pt idx="4">
                  <c:v>22</c:v>
                </c:pt>
              </c:numCache>
            </c:numRef>
          </c:val>
          <c:extLst>
            <c:ext xmlns:c16="http://schemas.microsoft.com/office/drawing/2014/chart" uri="{C3380CC4-5D6E-409C-BE32-E72D297353CC}">
              <c16:uniqueId val="{00000000-1ECE-4225-9B14-CC2B3B560AE0}"/>
            </c:ext>
          </c:extLst>
        </c:ser>
        <c:dLbls>
          <c:showLegendKey val="0"/>
          <c:showVal val="0"/>
          <c:showCatName val="0"/>
          <c:showSerName val="0"/>
          <c:showPercent val="0"/>
          <c:showBubbleSize val="0"/>
        </c:dLbls>
        <c:gapWidth val="219"/>
        <c:overlap val="-27"/>
        <c:axId val="540597664"/>
        <c:axId val="540595264"/>
      </c:barChart>
      <c:catAx>
        <c:axId val="54059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95264"/>
        <c:crosses val="autoZero"/>
        <c:auto val="1"/>
        <c:lblAlgn val="ctr"/>
        <c:lblOffset val="100"/>
        <c:noMultiLvlLbl val="0"/>
      </c:catAx>
      <c:valAx>
        <c:axId val="54059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9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Table'!$B$495</c:f>
              <c:strCache>
                <c:ptCount val="1"/>
                <c:pt idx="0">
                  <c:v>Total</c:v>
                </c:pt>
              </c:strCache>
            </c:strRef>
          </c:tx>
          <c:spPr>
            <a:solidFill>
              <a:schemeClr val="accent2"/>
            </a:solidFill>
            <a:ln>
              <a:noFill/>
            </a:ln>
            <a:effectLst/>
          </c:spPr>
          <c:invertIfNegative val="0"/>
          <c:cat>
            <c:strRef>
              <c:f>'Pivot Table'!$A$496:$A$508</c:f>
              <c:strCache>
                <c:ptCount val="12"/>
                <c:pt idx="0">
                  <c:v>August</c:v>
                </c:pt>
                <c:pt idx="1">
                  <c:v>December</c:v>
                </c:pt>
                <c:pt idx="2">
                  <c:v>May</c:v>
                </c:pt>
                <c:pt idx="3">
                  <c:v>January</c:v>
                </c:pt>
                <c:pt idx="4">
                  <c:v>November</c:v>
                </c:pt>
                <c:pt idx="5">
                  <c:v>September</c:v>
                </c:pt>
                <c:pt idx="6">
                  <c:v>October</c:v>
                </c:pt>
                <c:pt idx="7">
                  <c:v>July</c:v>
                </c:pt>
                <c:pt idx="8">
                  <c:v>February</c:v>
                </c:pt>
                <c:pt idx="9">
                  <c:v>April</c:v>
                </c:pt>
                <c:pt idx="10">
                  <c:v>March</c:v>
                </c:pt>
                <c:pt idx="11">
                  <c:v>June</c:v>
                </c:pt>
              </c:strCache>
            </c:strRef>
          </c:cat>
          <c:val>
            <c:numRef>
              <c:f>'Pivot Table'!$B$496:$B$508</c:f>
              <c:numCache>
                <c:formatCode>General</c:formatCode>
                <c:ptCount val="12"/>
                <c:pt idx="0">
                  <c:v>2326.9</c:v>
                </c:pt>
                <c:pt idx="1">
                  <c:v>3089.6600000000003</c:v>
                </c:pt>
                <c:pt idx="2">
                  <c:v>3247.98</c:v>
                </c:pt>
                <c:pt idx="3">
                  <c:v>3503.0350000000008</c:v>
                </c:pt>
                <c:pt idx="4">
                  <c:v>3548.4299999999994</c:v>
                </c:pt>
                <c:pt idx="5">
                  <c:v>3633.6449999999991</c:v>
                </c:pt>
                <c:pt idx="6">
                  <c:v>3800.0750000000007</c:v>
                </c:pt>
                <c:pt idx="7">
                  <c:v>3982.915</c:v>
                </c:pt>
                <c:pt idx="8">
                  <c:v>4138.2050000000008</c:v>
                </c:pt>
                <c:pt idx="9">
                  <c:v>4224.5949999999993</c:v>
                </c:pt>
                <c:pt idx="10">
                  <c:v>4795.7750000000015</c:v>
                </c:pt>
                <c:pt idx="11">
                  <c:v>4843.04</c:v>
                </c:pt>
              </c:numCache>
            </c:numRef>
          </c:val>
          <c:extLst>
            <c:ext xmlns:c16="http://schemas.microsoft.com/office/drawing/2014/chart" uri="{C3380CC4-5D6E-409C-BE32-E72D297353CC}">
              <c16:uniqueId val="{00000000-223D-494B-920C-C16AD2787077}"/>
            </c:ext>
          </c:extLst>
        </c:ser>
        <c:dLbls>
          <c:showLegendKey val="0"/>
          <c:showVal val="0"/>
          <c:showCatName val="0"/>
          <c:showSerName val="0"/>
          <c:showPercent val="0"/>
          <c:showBubbleSize val="0"/>
        </c:dLbls>
        <c:gapWidth val="219"/>
        <c:overlap val="-27"/>
        <c:axId val="540220432"/>
        <c:axId val="540220912"/>
      </c:barChart>
      <c:catAx>
        <c:axId val="54022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0912"/>
        <c:crosses val="autoZero"/>
        <c:auto val="1"/>
        <c:lblAlgn val="ctr"/>
        <c:lblOffset val="100"/>
        <c:noMultiLvlLbl val="0"/>
      </c:catAx>
      <c:valAx>
        <c:axId val="54022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Coffee</a:t>
            </a:r>
            <a:r>
              <a:rPr lang="en-US" baseline="0"/>
              <a:t> type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0696653058327"/>
          <c:y val="0.13419216600123793"/>
          <c:w val="0.75132000620614858"/>
          <c:h val="0.6290155862874337"/>
        </c:manualLayout>
      </c:layout>
      <c:barChart>
        <c:barDir val="col"/>
        <c:grouping val="clustered"/>
        <c:varyColors val="0"/>
        <c:ser>
          <c:idx val="0"/>
          <c:order val="0"/>
          <c:tx>
            <c:strRef>
              <c:f>'Pivot Table'!$B$513:$B$514</c:f>
              <c:strCache>
                <c:ptCount val="1"/>
                <c:pt idx="0">
                  <c:v>Arabica</c:v>
                </c:pt>
              </c:strCache>
            </c:strRef>
          </c:tx>
          <c:spPr>
            <a:solidFill>
              <a:schemeClr val="accent2">
                <a:shade val="58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Table'!$B$515:$B$527</c:f>
              <c:numCache>
                <c:formatCode>General</c:formatCode>
                <c:ptCount val="12"/>
                <c:pt idx="0">
                  <c:v>605.14499999999998</c:v>
                </c:pt>
                <c:pt idx="1">
                  <c:v>1454.4949999999994</c:v>
                </c:pt>
                <c:pt idx="2">
                  <c:v>1051.48</c:v>
                </c:pt>
                <c:pt idx="3">
                  <c:v>634.34499999999991</c:v>
                </c:pt>
                <c:pt idx="4">
                  <c:v>736.61500000000001</c:v>
                </c:pt>
                <c:pt idx="5">
                  <c:v>1357.9899999999996</c:v>
                </c:pt>
                <c:pt idx="6">
                  <c:v>1131.9349999999997</c:v>
                </c:pt>
                <c:pt idx="7">
                  <c:v>761.31000000000006</c:v>
                </c:pt>
                <c:pt idx="8">
                  <c:v>1145.79</c:v>
                </c:pt>
                <c:pt idx="9">
                  <c:v>977.08500000000004</c:v>
                </c:pt>
                <c:pt idx="10">
                  <c:v>1151.3399999999999</c:v>
                </c:pt>
                <c:pt idx="11">
                  <c:v>760.96499999999992</c:v>
                </c:pt>
              </c:numCache>
            </c:numRef>
          </c:val>
          <c:extLst>
            <c:ext xmlns:c16="http://schemas.microsoft.com/office/drawing/2014/chart" uri="{C3380CC4-5D6E-409C-BE32-E72D297353CC}">
              <c16:uniqueId val="{00000000-9287-4C72-BCF7-A215EE0D315C}"/>
            </c:ext>
          </c:extLst>
        </c:ser>
        <c:ser>
          <c:idx val="1"/>
          <c:order val="1"/>
          <c:tx>
            <c:strRef>
              <c:f>'Pivot Table'!$C$513:$C$514</c:f>
              <c:strCache>
                <c:ptCount val="1"/>
                <c:pt idx="0">
                  <c:v>Excelsa</c:v>
                </c:pt>
              </c:strCache>
            </c:strRef>
          </c:tx>
          <c:spPr>
            <a:solidFill>
              <a:schemeClr val="accent2">
                <a:shade val="86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Table'!$C$515:$C$527</c:f>
              <c:numCache>
                <c:formatCode>General</c:formatCode>
                <c:ptCount val="12"/>
                <c:pt idx="0">
                  <c:v>677.71999999999991</c:v>
                </c:pt>
                <c:pt idx="1">
                  <c:v>976.41</c:v>
                </c:pt>
                <c:pt idx="2">
                  <c:v>1264.1399999999999</c:v>
                </c:pt>
                <c:pt idx="3">
                  <c:v>1560.23</c:v>
                </c:pt>
                <c:pt idx="4">
                  <c:v>970.33000000000015</c:v>
                </c:pt>
                <c:pt idx="5">
                  <c:v>1598.1949999999995</c:v>
                </c:pt>
                <c:pt idx="6">
                  <c:v>1141.5549999999996</c:v>
                </c:pt>
                <c:pt idx="7">
                  <c:v>478.59</c:v>
                </c:pt>
                <c:pt idx="8">
                  <c:v>771.08499999999992</c:v>
                </c:pt>
                <c:pt idx="9">
                  <c:v>937.33</c:v>
                </c:pt>
                <c:pt idx="10">
                  <c:v>771.38</c:v>
                </c:pt>
                <c:pt idx="11">
                  <c:v>1159.4749999999999</c:v>
                </c:pt>
              </c:numCache>
            </c:numRef>
          </c:val>
          <c:extLst>
            <c:ext xmlns:c16="http://schemas.microsoft.com/office/drawing/2014/chart" uri="{C3380CC4-5D6E-409C-BE32-E72D297353CC}">
              <c16:uniqueId val="{00000010-77EE-4DB9-9D0C-55E3FD387E86}"/>
            </c:ext>
          </c:extLst>
        </c:ser>
        <c:ser>
          <c:idx val="2"/>
          <c:order val="2"/>
          <c:tx>
            <c:strRef>
              <c:f>'Pivot Table'!$D$513:$D$514</c:f>
              <c:strCache>
                <c:ptCount val="1"/>
                <c:pt idx="0">
                  <c:v>Liberica</c:v>
                </c:pt>
              </c:strCache>
            </c:strRef>
          </c:tx>
          <c:spPr>
            <a:solidFill>
              <a:schemeClr val="accent2">
                <a:tint val="86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Table'!$D$515:$D$527</c:f>
              <c:numCache>
                <c:formatCode>General</c:formatCode>
                <c:ptCount val="12"/>
                <c:pt idx="0">
                  <c:v>1611.0699999999995</c:v>
                </c:pt>
                <c:pt idx="1">
                  <c:v>971.21999999999969</c:v>
                </c:pt>
                <c:pt idx="2">
                  <c:v>1469.8100000000002</c:v>
                </c:pt>
                <c:pt idx="3">
                  <c:v>1324.6350000000002</c:v>
                </c:pt>
                <c:pt idx="4">
                  <c:v>836.755</c:v>
                </c:pt>
                <c:pt idx="5">
                  <c:v>906.07499999999982</c:v>
                </c:pt>
                <c:pt idx="6">
                  <c:v>752.53500000000008</c:v>
                </c:pt>
                <c:pt idx="7">
                  <c:v>335.84999999999991</c:v>
                </c:pt>
                <c:pt idx="8">
                  <c:v>699.76999999999987</c:v>
                </c:pt>
                <c:pt idx="9">
                  <c:v>1241.1599999999996</c:v>
                </c:pt>
                <c:pt idx="10">
                  <c:v>1235.7449999999999</c:v>
                </c:pt>
                <c:pt idx="11">
                  <c:v>669.44999999999982</c:v>
                </c:pt>
              </c:numCache>
            </c:numRef>
          </c:val>
          <c:extLst>
            <c:ext xmlns:c16="http://schemas.microsoft.com/office/drawing/2014/chart" uri="{C3380CC4-5D6E-409C-BE32-E72D297353CC}">
              <c16:uniqueId val="{00000011-77EE-4DB9-9D0C-55E3FD387E86}"/>
            </c:ext>
          </c:extLst>
        </c:ser>
        <c:ser>
          <c:idx val="3"/>
          <c:order val="3"/>
          <c:tx>
            <c:strRef>
              <c:f>'Pivot Table'!$E$513:$E$514</c:f>
              <c:strCache>
                <c:ptCount val="1"/>
                <c:pt idx="0">
                  <c:v>Robusta</c:v>
                </c:pt>
              </c:strCache>
            </c:strRef>
          </c:tx>
          <c:spPr>
            <a:solidFill>
              <a:schemeClr val="accent2">
                <a:tint val="58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Table'!$E$515:$E$527</c:f>
              <c:numCache>
                <c:formatCode>General</c:formatCode>
                <c:ptCount val="12"/>
                <c:pt idx="0">
                  <c:v>609.09999999999991</c:v>
                </c:pt>
                <c:pt idx="1">
                  <c:v>736.07999999999981</c:v>
                </c:pt>
                <c:pt idx="2">
                  <c:v>1010.3450000000001</c:v>
                </c:pt>
                <c:pt idx="3">
                  <c:v>705.38499999999999</c:v>
                </c:pt>
                <c:pt idx="4">
                  <c:v>704.28000000000009</c:v>
                </c:pt>
                <c:pt idx="5">
                  <c:v>980.77999999999975</c:v>
                </c:pt>
                <c:pt idx="6">
                  <c:v>956.89</c:v>
                </c:pt>
                <c:pt idx="7">
                  <c:v>751.15</c:v>
                </c:pt>
                <c:pt idx="8">
                  <c:v>1016.9999999999999</c:v>
                </c:pt>
                <c:pt idx="9">
                  <c:v>644.49999999999989</c:v>
                </c:pt>
                <c:pt idx="10">
                  <c:v>389.96499999999997</c:v>
                </c:pt>
                <c:pt idx="11">
                  <c:v>499.77</c:v>
                </c:pt>
              </c:numCache>
            </c:numRef>
          </c:val>
          <c:extLst>
            <c:ext xmlns:c16="http://schemas.microsoft.com/office/drawing/2014/chart" uri="{C3380CC4-5D6E-409C-BE32-E72D297353CC}">
              <c16:uniqueId val="{00000012-77EE-4DB9-9D0C-55E3FD387E86}"/>
            </c:ext>
          </c:extLst>
        </c:ser>
        <c:dLbls>
          <c:showLegendKey val="0"/>
          <c:showVal val="0"/>
          <c:showCatName val="0"/>
          <c:showSerName val="0"/>
          <c:showPercent val="0"/>
          <c:showBubbleSize val="0"/>
        </c:dLbls>
        <c:gapWidth val="219"/>
        <c:overlap val="-27"/>
        <c:axId val="540222352"/>
        <c:axId val="540223312"/>
      </c:barChart>
      <c:catAx>
        <c:axId val="54022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3312"/>
        <c:crosses val="autoZero"/>
        <c:auto val="1"/>
        <c:lblAlgn val="ctr"/>
        <c:lblOffset val="100"/>
        <c:noMultiLvlLbl val="0"/>
      </c:catAx>
      <c:valAx>
        <c:axId val="54022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walk-ins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Table'!$B$533</c:f>
              <c:strCache>
                <c:ptCount val="1"/>
                <c:pt idx="0">
                  <c:v>Total</c:v>
                </c:pt>
              </c:strCache>
            </c:strRef>
          </c:tx>
          <c:spPr>
            <a:solidFill>
              <a:schemeClr val="accent2"/>
            </a:solidFill>
            <a:ln>
              <a:noFill/>
            </a:ln>
            <a:effectLst/>
          </c:spPr>
          <c:invertIfNegative val="0"/>
          <c:cat>
            <c:strRef>
              <c:f>'Pivot Table'!$A$534:$A$546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Table'!$B$534:$B$546</c:f>
              <c:numCache>
                <c:formatCode>General</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extLst>
            <c:ext xmlns:c16="http://schemas.microsoft.com/office/drawing/2014/chart" uri="{C3380CC4-5D6E-409C-BE32-E72D297353CC}">
              <c16:uniqueId val="{00000000-7498-4614-9726-1910F9616D3B}"/>
            </c:ext>
          </c:extLst>
        </c:ser>
        <c:dLbls>
          <c:showLegendKey val="0"/>
          <c:showVal val="0"/>
          <c:showCatName val="0"/>
          <c:showSerName val="0"/>
          <c:showPercent val="0"/>
          <c:showBubbleSize val="0"/>
        </c:dLbls>
        <c:gapWidth val="219"/>
        <c:overlap val="-27"/>
        <c:axId val="540775936"/>
        <c:axId val="540764416"/>
      </c:barChart>
      <c:catAx>
        <c:axId val="54077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764416"/>
        <c:crosses val="autoZero"/>
        <c:auto val="1"/>
        <c:lblAlgn val="ctr"/>
        <c:lblOffset val="100"/>
        <c:noMultiLvlLbl val="0"/>
      </c:catAx>
      <c:valAx>
        <c:axId val="54076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7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Table'!$B$551</c:f>
              <c:strCache>
                <c:ptCount val="1"/>
                <c:pt idx="0">
                  <c:v>Total</c:v>
                </c:pt>
              </c:strCache>
            </c:strRef>
          </c:tx>
          <c:spPr>
            <a:solidFill>
              <a:schemeClr val="accent2"/>
            </a:solidFill>
            <a:ln>
              <a:noFill/>
            </a:ln>
            <a:effectLst/>
          </c:spPr>
          <c:invertIfNegative val="0"/>
          <c:cat>
            <c:strRef>
              <c:f>'Pivot Table'!$A$552:$A$556</c:f>
              <c:strCache>
                <c:ptCount val="4"/>
                <c:pt idx="0">
                  <c:v>2019</c:v>
                </c:pt>
                <c:pt idx="1">
                  <c:v>2020</c:v>
                </c:pt>
                <c:pt idx="2">
                  <c:v>2021</c:v>
                </c:pt>
                <c:pt idx="3">
                  <c:v>2022</c:v>
                </c:pt>
              </c:strCache>
            </c:strRef>
          </c:cat>
          <c:val>
            <c:numRef>
              <c:f>'Pivot Table'!$B$552:$B$556</c:f>
              <c:numCache>
                <c:formatCode>General</c:formatCode>
                <c:ptCount val="4"/>
                <c:pt idx="0">
                  <c:v>12187.165000000001</c:v>
                </c:pt>
                <c:pt idx="1">
                  <c:v>12117.545</c:v>
                </c:pt>
                <c:pt idx="2">
                  <c:v>13766.109999999999</c:v>
                </c:pt>
                <c:pt idx="3">
                  <c:v>7063.435000000004</c:v>
                </c:pt>
              </c:numCache>
            </c:numRef>
          </c:val>
          <c:extLst>
            <c:ext xmlns:c16="http://schemas.microsoft.com/office/drawing/2014/chart" uri="{C3380CC4-5D6E-409C-BE32-E72D297353CC}">
              <c16:uniqueId val="{00000000-D3EE-4E28-9B77-39B1C76C1202}"/>
            </c:ext>
          </c:extLst>
        </c:ser>
        <c:dLbls>
          <c:showLegendKey val="0"/>
          <c:showVal val="0"/>
          <c:showCatName val="0"/>
          <c:showSerName val="0"/>
          <c:showPercent val="0"/>
          <c:showBubbleSize val="0"/>
        </c:dLbls>
        <c:gapWidth val="219"/>
        <c:overlap val="-27"/>
        <c:axId val="539486016"/>
        <c:axId val="539482176"/>
      </c:barChart>
      <c:catAx>
        <c:axId val="5394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82176"/>
        <c:crosses val="autoZero"/>
        <c:auto val="1"/>
        <c:lblAlgn val="ctr"/>
        <c:lblOffset val="100"/>
        <c:noMultiLvlLbl val="0"/>
      </c:catAx>
      <c:valAx>
        <c:axId val="53948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8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Sales of Coffee type</a:t>
            </a:r>
            <a:r>
              <a:rPr lang="en-US" baseline="0"/>
              <a:t> and Roast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0033360315939"/>
          <c:y val="0.17027559055118111"/>
          <c:w val="0.74732022371549112"/>
          <c:h val="0.58122411781860606"/>
        </c:manualLayout>
      </c:layout>
      <c:barChart>
        <c:barDir val="col"/>
        <c:grouping val="clustered"/>
        <c:varyColors val="0"/>
        <c:ser>
          <c:idx val="0"/>
          <c:order val="0"/>
          <c:tx>
            <c:strRef>
              <c:f>'Pivot Table'!$B$564:$B$565</c:f>
              <c:strCache>
                <c:ptCount val="1"/>
                <c:pt idx="0">
                  <c:v>Arabica</c:v>
                </c:pt>
              </c:strCache>
            </c:strRef>
          </c:tx>
          <c:spPr>
            <a:solidFill>
              <a:schemeClr val="accent2">
                <a:shade val="58000"/>
              </a:schemeClr>
            </a:solidFill>
            <a:ln>
              <a:noFill/>
            </a:ln>
            <a:effectLst/>
          </c:spPr>
          <c:invertIfNegative val="0"/>
          <c:cat>
            <c:multiLvlStrRef>
              <c:f>'Pivot Table'!$A$566:$A$582</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Table'!$B$566:$B$582</c:f>
              <c:numCache>
                <c:formatCode>General</c:formatCode>
                <c:ptCount val="12"/>
                <c:pt idx="0">
                  <c:v>462.67499999999995</c:v>
                </c:pt>
                <c:pt idx="1">
                  <c:v>1261.33</c:v>
                </c:pt>
                <c:pt idx="2">
                  <c:v>1202.625</c:v>
                </c:pt>
                <c:pt idx="3">
                  <c:v>907.43999999999994</c:v>
                </c:pt>
                <c:pt idx="4">
                  <c:v>1010.0999999999997</c:v>
                </c:pt>
                <c:pt idx="5">
                  <c:v>1438.875</c:v>
                </c:pt>
                <c:pt idx="6">
                  <c:v>1290.5150000000001</c:v>
                </c:pt>
                <c:pt idx="7">
                  <c:v>1388.24</c:v>
                </c:pt>
                <c:pt idx="8">
                  <c:v>1366.875</c:v>
                </c:pt>
                <c:pt idx="9">
                  <c:v>387.05499999999995</c:v>
                </c:pt>
                <c:pt idx="10">
                  <c:v>572.38999999999987</c:v>
                </c:pt>
                <c:pt idx="11">
                  <c:v>480.375</c:v>
                </c:pt>
              </c:numCache>
            </c:numRef>
          </c:val>
          <c:extLst>
            <c:ext xmlns:c16="http://schemas.microsoft.com/office/drawing/2014/chart" uri="{C3380CC4-5D6E-409C-BE32-E72D297353CC}">
              <c16:uniqueId val="{00000000-0373-4D0C-B2EC-A621F32E2550}"/>
            </c:ext>
          </c:extLst>
        </c:ser>
        <c:ser>
          <c:idx val="1"/>
          <c:order val="1"/>
          <c:tx>
            <c:strRef>
              <c:f>'Pivot Table'!$C$564:$C$565</c:f>
              <c:strCache>
                <c:ptCount val="1"/>
                <c:pt idx="0">
                  <c:v>Excelsa</c:v>
                </c:pt>
              </c:strCache>
            </c:strRef>
          </c:tx>
          <c:spPr>
            <a:solidFill>
              <a:schemeClr val="accent2">
                <a:shade val="86000"/>
              </a:schemeClr>
            </a:solidFill>
            <a:ln>
              <a:noFill/>
            </a:ln>
            <a:effectLst/>
          </c:spPr>
          <c:invertIfNegative val="0"/>
          <c:cat>
            <c:multiLvlStrRef>
              <c:f>'Pivot Table'!$A$566:$A$582</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Table'!$C$566:$C$582</c:f>
              <c:numCache>
                <c:formatCode>General</c:formatCode>
                <c:ptCount val="12"/>
                <c:pt idx="0">
                  <c:v>578.34</c:v>
                </c:pt>
                <c:pt idx="1">
                  <c:v>2104.2449999999999</c:v>
                </c:pt>
                <c:pt idx="2">
                  <c:v>798.875</c:v>
                </c:pt>
                <c:pt idx="3">
                  <c:v>1329.2100000000003</c:v>
                </c:pt>
                <c:pt idx="4">
                  <c:v>1069.2</c:v>
                </c:pt>
                <c:pt idx="5">
                  <c:v>1265</c:v>
                </c:pt>
                <c:pt idx="6">
                  <c:v>1194.3449999999998</c:v>
                </c:pt>
                <c:pt idx="7">
                  <c:v>812.29500000000007</c:v>
                </c:pt>
                <c:pt idx="8">
                  <c:v>1463</c:v>
                </c:pt>
                <c:pt idx="9">
                  <c:v>325.62000000000006</c:v>
                </c:pt>
                <c:pt idx="10">
                  <c:v>810.80999999999983</c:v>
                </c:pt>
                <c:pt idx="11">
                  <c:v>555.5</c:v>
                </c:pt>
              </c:numCache>
            </c:numRef>
          </c:val>
          <c:extLst>
            <c:ext xmlns:c16="http://schemas.microsoft.com/office/drawing/2014/chart" uri="{C3380CC4-5D6E-409C-BE32-E72D297353CC}">
              <c16:uniqueId val="{00000010-FE01-4C97-9005-8A617C00CD53}"/>
            </c:ext>
          </c:extLst>
        </c:ser>
        <c:ser>
          <c:idx val="2"/>
          <c:order val="2"/>
          <c:tx>
            <c:strRef>
              <c:f>'Pivot Table'!$D$564:$D$565</c:f>
              <c:strCache>
                <c:ptCount val="1"/>
                <c:pt idx="0">
                  <c:v>Liberica</c:v>
                </c:pt>
              </c:strCache>
            </c:strRef>
          </c:tx>
          <c:spPr>
            <a:solidFill>
              <a:schemeClr val="accent2">
                <a:tint val="86000"/>
              </a:schemeClr>
            </a:solidFill>
            <a:ln>
              <a:noFill/>
            </a:ln>
            <a:effectLst/>
          </c:spPr>
          <c:invertIfNegative val="0"/>
          <c:cat>
            <c:multiLvlStrRef>
              <c:f>'Pivot Table'!$A$566:$A$582</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Table'!$D$566:$D$582</c:f>
              <c:numCache>
                <c:formatCode>General</c:formatCode>
                <c:ptCount val="12"/>
                <c:pt idx="0">
                  <c:v>994.55999999999983</c:v>
                </c:pt>
                <c:pt idx="1">
                  <c:v>1367.8549999999996</c:v>
                </c:pt>
                <c:pt idx="2">
                  <c:v>1015.5899999999999</c:v>
                </c:pt>
                <c:pt idx="3">
                  <c:v>1146.0749999999998</c:v>
                </c:pt>
                <c:pt idx="4">
                  <c:v>963.67999999999984</c:v>
                </c:pt>
                <c:pt idx="5">
                  <c:v>494.7</c:v>
                </c:pt>
                <c:pt idx="6">
                  <c:v>1329.9649999999992</c:v>
                </c:pt>
                <c:pt idx="7">
                  <c:v>1363.1</c:v>
                </c:pt>
                <c:pt idx="8">
                  <c:v>1143.6299999999999</c:v>
                </c:pt>
                <c:pt idx="9">
                  <c:v>625.4849999999999</c:v>
                </c:pt>
                <c:pt idx="10">
                  <c:v>871.74999999999989</c:v>
                </c:pt>
                <c:pt idx="11">
                  <c:v>737.68500000000006</c:v>
                </c:pt>
              </c:numCache>
            </c:numRef>
          </c:val>
          <c:extLst>
            <c:ext xmlns:c16="http://schemas.microsoft.com/office/drawing/2014/chart" uri="{C3380CC4-5D6E-409C-BE32-E72D297353CC}">
              <c16:uniqueId val="{00000011-FE01-4C97-9005-8A617C00CD53}"/>
            </c:ext>
          </c:extLst>
        </c:ser>
        <c:ser>
          <c:idx val="3"/>
          <c:order val="3"/>
          <c:tx>
            <c:strRef>
              <c:f>'Pivot Table'!$E$564:$E$565</c:f>
              <c:strCache>
                <c:ptCount val="1"/>
                <c:pt idx="0">
                  <c:v>Robusta</c:v>
                </c:pt>
              </c:strCache>
            </c:strRef>
          </c:tx>
          <c:spPr>
            <a:solidFill>
              <a:schemeClr val="accent2">
                <a:tint val="58000"/>
              </a:schemeClr>
            </a:solidFill>
            <a:ln>
              <a:noFill/>
            </a:ln>
            <a:effectLst/>
          </c:spPr>
          <c:invertIfNegative val="0"/>
          <c:cat>
            <c:multiLvlStrRef>
              <c:f>'Pivot Table'!$A$566:$A$582</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Table'!$E$566:$E$582</c:f>
              <c:numCache>
                <c:formatCode>General</c:formatCode>
                <c:ptCount val="12"/>
                <c:pt idx="0">
                  <c:v>737.4799999999999</c:v>
                </c:pt>
                <c:pt idx="1">
                  <c:v>891.46999999999969</c:v>
                </c:pt>
                <c:pt idx="2">
                  <c:v>772.12000000000023</c:v>
                </c:pt>
                <c:pt idx="3">
                  <c:v>604.125</c:v>
                </c:pt>
                <c:pt idx="4">
                  <c:v>1228.4599999999996</c:v>
                </c:pt>
                <c:pt idx="5">
                  <c:v>660.68000000000006</c:v>
                </c:pt>
                <c:pt idx="6">
                  <c:v>622.02499999999998</c:v>
                </c:pt>
                <c:pt idx="7">
                  <c:v>1100.595</c:v>
                </c:pt>
                <c:pt idx="8">
                  <c:v>691.52499999999998</c:v>
                </c:pt>
                <c:pt idx="9">
                  <c:v>644.40000000000009</c:v>
                </c:pt>
                <c:pt idx="10">
                  <c:v>538.94499999999994</c:v>
                </c:pt>
                <c:pt idx="11">
                  <c:v>513.41999999999996</c:v>
                </c:pt>
              </c:numCache>
            </c:numRef>
          </c:val>
          <c:extLst>
            <c:ext xmlns:c16="http://schemas.microsoft.com/office/drawing/2014/chart" uri="{C3380CC4-5D6E-409C-BE32-E72D297353CC}">
              <c16:uniqueId val="{00000012-FE01-4C97-9005-8A617C00CD53}"/>
            </c:ext>
          </c:extLst>
        </c:ser>
        <c:dLbls>
          <c:showLegendKey val="0"/>
          <c:showVal val="0"/>
          <c:showCatName val="0"/>
          <c:showSerName val="0"/>
          <c:showPercent val="0"/>
          <c:showBubbleSize val="0"/>
        </c:dLbls>
        <c:gapWidth val="219"/>
        <c:overlap val="-27"/>
        <c:axId val="561087040"/>
        <c:axId val="561082720"/>
      </c:barChart>
      <c:catAx>
        <c:axId val="5610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82720"/>
        <c:crosses val="autoZero"/>
        <c:auto val="1"/>
        <c:lblAlgn val="ctr"/>
        <c:lblOffset val="100"/>
        <c:noMultiLvlLbl val="0"/>
      </c:catAx>
      <c:valAx>
        <c:axId val="56108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87040"/>
        <c:crosses val="autoZero"/>
        <c:crossBetween val="between"/>
      </c:valAx>
      <c:spPr>
        <a:noFill/>
        <a:ln>
          <a:noFill/>
        </a:ln>
        <a:effectLst/>
      </c:spPr>
    </c:plotArea>
    <c:legend>
      <c:legendPos val="r"/>
      <c:layout>
        <c:manualLayout>
          <c:xMode val="edge"/>
          <c:yMode val="edge"/>
          <c:x val="0.84132844401924556"/>
          <c:y val="5.6202741215287566E-2"/>
          <c:w val="0.14391141123835871"/>
          <c:h val="0.3713279376247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a:t>
            </a:r>
            <a:r>
              <a:rPr lang="en-US"/>
              <a:t>oast type</a:t>
            </a:r>
          </a:p>
        </c:rich>
      </c:tx>
      <c:layout>
        <c:manualLayout>
          <c:xMode val="edge"/>
          <c:yMode val="edge"/>
          <c:x val="0.28287016992966518"/>
          <c:y val="0.135785994079370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pieChart>
        <c:varyColors val="1"/>
        <c:ser>
          <c:idx val="0"/>
          <c:order val="0"/>
          <c:tx>
            <c:strRef>
              <c:f>'Pivot Table'!$B$57</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4B9B-4E8C-9A42-316FFE5F72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9B-4E8C-9A42-316FFE5F72FA}"/>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4B9B-4E8C-9A42-316FFE5F72FA}"/>
              </c:ext>
            </c:extLst>
          </c:dPt>
          <c:cat>
            <c:strRef>
              <c:f>'Pivot Table'!$A$58:$A$61</c:f>
              <c:strCache>
                <c:ptCount val="3"/>
                <c:pt idx="0">
                  <c:v>Dark</c:v>
                </c:pt>
                <c:pt idx="1">
                  <c:v>Light</c:v>
                </c:pt>
                <c:pt idx="2">
                  <c:v>Medium</c:v>
                </c:pt>
              </c:strCache>
            </c:strRef>
          </c:cat>
          <c:val>
            <c:numRef>
              <c:f>'Pivot Table'!$B$58:$B$61</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7AE1-4F60-8A5D-32C5B62AFF4D}"/>
            </c:ext>
          </c:extLst>
        </c:ser>
        <c:dLbls>
          <c:showLegendKey val="0"/>
          <c:showVal val="0"/>
          <c:showCatName val="0"/>
          <c:showSerName val="0"/>
          <c:showPercent val="0"/>
          <c:showBubbleSize val="0"/>
          <c:showLeaderLines val="1"/>
        </c:dLbls>
        <c:firstSliceAng val="0"/>
      </c:pie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Countries</a:t>
            </a:r>
          </a:p>
        </c:rich>
      </c:tx>
      <c:layout>
        <c:manualLayout>
          <c:xMode val="edge"/>
          <c:yMode val="edge"/>
          <c:x val="0.29080459770114947"/>
          <c:y val="0.102392309093119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manualLayout>
          <c:layoutTarget val="inner"/>
          <c:xMode val="edge"/>
          <c:yMode val="edge"/>
          <c:x val="0.23216338582677165"/>
          <c:y val="0.27435530307618244"/>
          <c:w val="0.32848731408573928"/>
          <c:h val="0.66389029730963889"/>
        </c:manualLayout>
      </c:layout>
      <c:pieChart>
        <c:varyColors val="1"/>
        <c:ser>
          <c:idx val="0"/>
          <c:order val="0"/>
          <c:tx>
            <c:strRef>
              <c:f>'Pivot Table'!$B$24</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7F9B-4417-A54E-0A8AFC1A24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9B-4417-A54E-0A8AFC1A2427}"/>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7F9B-4417-A54E-0A8AFC1A2427}"/>
              </c:ext>
            </c:extLst>
          </c:dPt>
          <c:cat>
            <c:strRef>
              <c:f>'Pivot Table'!$A$25:$A$28</c:f>
              <c:strCache>
                <c:ptCount val="3"/>
                <c:pt idx="0">
                  <c:v>Ireland</c:v>
                </c:pt>
                <c:pt idx="1">
                  <c:v>United Kingdom</c:v>
                </c:pt>
                <c:pt idx="2">
                  <c:v>United States</c:v>
                </c:pt>
              </c:strCache>
            </c:strRef>
          </c:cat>
          <c:val>
            <c:numRef>
              <c:f>'Pivot Table'!$B$25:$B$28</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3014-42A9-A892-1449878FF5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and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pieChart>
        <c:varyColors val="1"/>
        <c:ser>
          <c:idx val="0"/>
          <c:order val="0"/>
          <c:tx>
            <c:strRef>
              <c:f>'Pivot Table'!$B$72</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F52E-4691-91CD-34350E0532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2E-4691-91CD-34350E05322C}"/>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F52E-4691-91CD-34350E05322C}"/>
              </c:ext>
            </c:extLst>
          </c:dPt>
          <c:cat>
            <c:strRef>
              <c:f>'Pivot Table'!$A$73:$A$76</c:f>
              <c:strCache>
                <c:ptCount val="3"/>
                <c:pt idx="0">
                  <c:v>Ireland</c:v>
                </c:pt>
                <c:pt idx="1">
                  <c:v>United Kingdom</c:v>
                </c:pt>
                <c:pt idx="2">
                  <c:v>United States</c:v>
                </c:pt>
              </c:strCache>
            </c:strRef>
          </c:cat>
          <c:val>
            <c:numRef>
              <c:f>'Pivot Table'!$B$73:$B$76</c:f>
              <c:numCache>
                <c:formatCode>General</c:formatCode>
                <c:ptCount val="3"/>
                <c:pt idx="0">
                  <c:v>153</c:v>
                </c:pt>
                <c:pt idx="1">
                  <c:v>73</c:v>
                </c:pt>
                <c:pt idx="2">
                  <c:v>774</c:v>
                </c:pt>
              </c:numCache>
            </c:numRef>
          </c:val>
          <c:extLst>
            <c:ext xmlns:c16="http://schemas.microsoft.com/office/drawing/2014/chart" uri="{C3380CC4-5D6E-409C-BE32-E72D297353CC}">
              <c16:uniqueId val="{00000000-ECE8-4CB4-90D6-E9007D3147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and City</a:t>
            </a:r>
          </a:p>
        </c:rich>
      </c:tx>
      <c:layout>
        <c:manualLayout>
          <c:xMode val="edge"/>
          <c:yMode val="edge"/>
          <c:x val="0.34267502612330197"/>
          <c:y val="0.166469118279894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Table'!$B$87</c:f>
              <c:strCache>
                <c:ptCount val="1"/>
                <c:pt idx="0">
                  <c:v>Total</c:v>
                </c:pt>
              </c:strCache>
            </c:strRef>
          </c:tx>
          <c:spPr>
            <a:ln w="28575" cap="rnd">
              <a:solidFill>
                <a:schemeClr val="accent2"/>
              </a:solidFill>
              <a:round/>
            </a:ln>
            <a:effectLst/>
          </c:spPr>
          <c:marker>
            <c:symbol val="none"/>
          </c:marker>
          <c:cat>
            <c:strRef>
              <c:f>'Pivot Table'!$A$88:$A$463</c:f>
              <c:strCache>
                <c:ptCount val="375"/>
                <c:pt idx="0">
                  <c:v>Adare</c:v>
                </c:pt>
                <c:pt idx="1">
                  <c:v>Akron</c:v>
                </c:pt>
                <c:pt idx="2">
                  <c:v>Albany</c:v>
                </c:pt>
                <c:pt idx="3">
                  <c:v>Albuquerque</c:v>
                </c:pt>
                <c:pt idx="4">
                  <c:v>Alexandria</c:v>
                </c:pt>
                <c:pt idx="5">
                  <c:v>Alhambra</c:v>
                </c:pt>
                <c:pt idx="6">
                  <c:v>Allentown</c:v>
                </c:pt>
                <c:pt idx="7">
                  <c:v>Amarillo</c:v>
                </c:pt>
                <c:pt idx="8">
                  <c:v>Anaheim</c:v>
                </c:pt>
                <c:pt idx="9">
                  <c:v>Anchorage</c:v>
                </c:pt>
                <c:pt idx="10">
                  <c:v>Arklow</c:v>
                </c:pt>
                <c:pt idx="11">
                  <c:v>Arlington</c:v>
                </c:pt>
                <c:pt idx="12">
                  <c:v>Ashbourne</c:v>
                </c:pt>
                <c:pt idx="13">
                  <c:v>Asheville</c:v>
                </c:pt>
                <c:pt idx="14">
                  <c:v>Ashford</c:v>
                </c:pt>
                <c:pt idx="15">
                  <c:v>Ashley</c:v>
                </c:pt>
                <c:pt idx="16">
                  <c:v>Atlanta</c:v>
                </c:pt>
                <c:pt idx="17">
                  <c:v>Aurora</c:v>
                </c:pt>
                <c:pt idx="18">
                  <c:v>Austin</c:v>
                </c:pt>
                <c:pt idx="19">
                  <c:v>Bagenalstown</c:v>
                </c:pt>
                <c:pt idx="20">
                  <c:v>Bailieborough</c:v>
                </c:pt>
                <c:pt idx="21">
                  <c:v>Bakersfield</c:v>
                </c:pt>
                <c:pt idx="22">
                  <c:v>Balally</c:v>
                </c:pt>
                <c:pt idx="23">
                  <c:v>Ballina</c:v>
                </c:pt>
                <c:pt idx="24">
                  <c:v>Ballinroad</c:v>
                </c:pt>
                <c:pt idx="25">
                  <c:v>Ballinteer</c:v>
                </c:pt>
                <c:pt idx="26">
                  <c:v>Ballisodare</c:v>
                </c:pt>
                <c:pt idx="27">
                  <c:v>Ballivor</c:v>
                </c:pt>
                <c:pt idx="28">
                  <c:v>Ballyboden</c:v>
                </c:pt>
                <c:pt idx="29">
                  <c:v>Ballybofey</c:v>
                </c:pt>
                <c:pt idx="30">
                  <c:v>Ballylinan</c:v>
                </c:pt>
                <c:pt idx="31">
                  <c:v>Ballymahon</c:v>
                </c:pt>
                <c:pt idx="32">
                  <c:v>Ballymun</c:v>
                </c:pt>
                <c:pt idx="33">
                  <c:v>Balrothery</c:v>
                </c:pt>
                <c:pt idx="34">
                  <c:v>Baltimore</c:v>
                </c:pt>
                <c:pt idx="35">
                  <c:v>Bantry</c:v>
                </c:pt>
                <c:pt idx="36">
                  <c:v>Baton Rouge</c:v>
                </c:pt>
                <c:pt idx="37">
                  <c:v>Battle Creek</c:v>
                </c:pt>
                <c:pt idx="38">
                  <c:v>Bayside</c:v>
                </c:pt>
                <c:pt idx="39">
                  <c:v>Beaumont</c:v>
                </c:pt>
                <c:pt idx="40">
                  <c:v>Belfast</c:v>
                </c:pt>
                <c:pt idx="41">
                  <c:v>Bethlehem</c:v>
                </c:pt>
                <c:pt idx="42">
                  <c:v>Billings</c:v>
                </c:pt>
                <c:pt idx="43">
                  <c:v>Birmingham</c:v>
                </c:pt>
                <c:pt idx="44">
                  <c:v>Boca Raton</c:v>
                </c:pt>
                <c:pt idx="45">
                  <c:v>Boise</c:v>
                </c:pt>
                <c:pt idx="46">
                  <c:v>Booterstown</c:v>
                </c:pt>
                <c:pt idx="47">
                  <c:v>Boston</c:v>
                </c:pt>
                <c:pt idx="48">
                  <c:v>Boulder</c:v>
                </c:pt>
                <c:pt idx="49">
                  <c:v>Boyle</c:v>
                </c:pt>
                <c:pt idx="50">
                  <c:v>Boynton Beach</c:v>
                </c:pt>
                <c:pt idx="51">
                  <c:v>Bradenton</c:v>
                </c:pt>
                <c:pt idx="52">
                  <c:v>Bristol</c:v>
                </c:pt>
                <c:pt idx="53">
                  <c:v>Bronx</c:v>
                </c:pt>
                <c:pt idx="54">
                  <c:v>Brooklyn</c:v>
                </c:pt>
                <c:pt idx="55">
                  <c:v>Buffalo</c:v>
                </c:pt>
                <c:pt idx="56">
                  <c:v>Bundoran</c:v>
                </c:pt>
                <c:pt idx="57">
                  <c:v>Burbank</c:v>
                </c:pt>
                <c:pt idx="58">
                  <c:v>Caherconlish</c:v>
                </c:pt>
                <c:pt idx="59">
                  <c:v>Camden</c:v>
                </c:pt>
                <c:pt idx="60">
                  <c:v>Canton</c:v>
                </c:pt>
                <c:pt idx="61">
                  <c:v>Carlton</c:v>
                </c:pt>
                <c:pt idx="62">
                  <c:v>Carson City</c:v>
                </c:pt>
                <c:pt idx="63">
                  <c:v>Castlebellingham</c:v>
                </c:pt>
                <c:pt idx="64">
                  <c:v>Castleblayney</c:v>
                </c:pt>
                <c:pt idx="65">
                  <c:v>Castlebridge</c:v>
                </c:pt>
                <c:pt idx="66">
                  <c:v>Castleknock</c:v>
                </c:pt>
                <c:pt idx="67">
                  <c:v>Castlemartyr</c:v>
                </c:pt>
                <c:pt idx="68">
                  <c:v>Castlerea</c:v>
                </c:pt>
                <c:pt idx="69">
                  <c:v>Cavan</c:v>
                </c:pt>
                <c:pt idx="70">
                  <c:v>Cedar Rapids</c:v>
                </c:pt>
                <c:pt idx="71">
                  <c:v>Champaign</c:v>
                </c:pt>
                <c:pt idx="72">
                  <c:v>Charlesland</c:v>
                </c:pt>
                <c:pt idx="73">
                  <c:v>Charleston</c:v>
                </c:pt>
                <c:pt idx="74">
                  <c:v>Charlotte</c:v>
                </c:pt>
                <c:pt idx="75">
                  <c:v>Charlottesville</c:v>
                </c:pt>
                <c:pt idx="76">
                  <c:v>Charlton</c:v>
                </c:pt>
                <c:pt idx="77">
                  <c:v>Chattanooga</c:v>
                </c:pt>
                <c:pt idx="78">
                  <c:v>Cherryville</c:v>
                </c:pt>
                <c:pt idx="79">
                  <c:v>Cheyenne</c:v>
                </c:pt>
                <c:pt idx="80">
                  <c:v>Chicago</c:v>
                </c:pt>
                <c:pt idx="81">
                  <c:v>Chico</c:v>
                </c:pt>
                <c:pt idx="82">
                  <c:v>Church End</c:v>
                </c:pt>
                <c:pt idx="83">
                  <c:v>Cill Airne</c:v>
                </c:pt>
                <c:pt idx="84">
                  <c:v>Cincinnati</c:v>
                </c:pt>
                <c:pt idx="85">
                  <c:v>Clearwater</c:v>
                </c:pt>
                <c:pt idx="86">
                  <c:v>Cleveland</c:v>
                </c:pt>
                <c:pt idx="87">
                  <c:v>Clones</c:v>
                </c:pt>
                <c:pt idx="88">
                  <c:v>Clonskeagh</c:v>
                </c:pt>
                <c:pt idx="89">
                  <c:v>Cluain Meala</c:v>
                </c:pt>
                <c:pt idx="90">
                  <c:v>Colorado Springs</c:v>
                </c:pt>
                <c:pt idx="91">
                  <c:v>Columbia</c:v>
                </c:pt>
                <c:pt idx="92">
                  <c:v>Columbus</c:v>
                </c:pt>
                <c:pt idx="93">
                  <c:v>Confey</c:v>
                </c:pt>
                <c:pt idx="94">
                  <c:v>Conroe</c:v>
                </c:pt>
                <c:pt idx="95">
                  <c:v>Coolock</c:v>
                </c:pt>
                <c:pt idx="96">
                  <c:v>Corona</c:v>
                </c:pt>
                <c:pt idx="97">
                  <c:v>Corpus Christi</c:v>
                </c:pt>
                <c:pt idx="98">
                  <c:v>Craigavon</c:v>
                </c:pt>
                <c:pt idx="99">
                  <c:v>Crossmolina</c:v>
                </c:pt>
                <c:pt idx="100">
                  <c:v>Crumlin</c:v>
                </c:pt>
                <c:pt idx="101">
                  <c:v>Daingean</c:v>
                </c:pt>
                <c:pt idx="102">
                  <c:v>Dallas</c:v>
                </c:pt>
                <c:pt idx="103">
                  <c:v>Danbury</c:v>
                </c:pt>
                <c:pt idx="104">
                  <c:v>Dayton</c:v>
                </c:pt>
                <c:pt idx="105">
                  <c:v>Daytona Beach</c:v>
                </c:pt>
                <c:pt idx="106">
                  <c:v>Decatur</c:v>
                </c:pt>
                <c:pt idx="107">
                  <c:v>Denton</c:v>
                </c:pt>
                <c:pt idx="108">
                  <c:v>Denver</c:v>
                </c:pt>
                <c:pt idx="109">
                  <c:v>Des Moines</c:v>
                </c:pt>
                <c:pt idx="110">
                  <c:v>Detroit</c:v>
                </c:pt>
                <c:pt idx="111">
                  <c:v>Drumcondra</c:v>
                </c:pt>
                <c:pt idx="112">
                  <c:v>Dublin</c:v>
                </c:pt>
                <c:pt idx="113">
                  <c:v>Dulles</c:v>
                </c:pt>
                <c:pt idx="114">
                  <c:v>Duluth</c:v>
                </c:pt>
                <c:pt idx="115">
                  <c:v>Dungarvan</c:v>
                </c:pt>
                <c:pt idx="116">
                  <c:v>Dunmanway</c:v>
                </c:pt>
                <c:pt idx="117">
                  <c:v>Durham</c:v>
                </c:pt>
                <c:pt idx="118">
                  <c:v>D煤n Laoghaire</c:v>
                </c:pt>
                <c:pt idx="119">
                  <c:v>Eadestown</c:v>
                </c:pt>
                <c:pt idx="120">
                  <c:v>East End</c:v>
                </c:pt>
                <c:pt idx="121">
                  <c:v>Eaton</c:v>
                </c:pt>
                <c:pt idx="122">
                  <c:v>Edgeworthstown</c:v>
                </c:pt>
                <c:pt idx="123">
                  <c:v>Edinburgh</c:v>
                </c:pt>
                <c:pt idx="124">
                  <c:v>El Paso</c:v>
                </c:pt>
                <c:pt idx="125">
                  <c:v>Englewood</c:v>
                </c:pt>
                <c:pt idx="126">
                  <c:v>Erie</c:v>
                </c:pt>
                <c:pt idx="127">
                  <c:v>Evansville</c:v>
                </c:pt>
                <c:pt idx="128">
                  <c:v>Fairbanks</c:v>
                </c:pt>
                <c:pt idx="129">
                  <c:v>Fargo</c:v>
                </c:pt>
                <c:pt idx="130">
                  <c:v>Farranacoush</c:v>
                </c:pt>
                <c:pt idx="131">
                  <c:v>Fermoy</c:v>
                </c:pt>
                <c:pt idx="132">
                  <c:v>Florence</c:v>
                </c:pt>
                <c:pt idx="133">
                  <c:v>Flushing</c:v>
                </c:pt>
                <c:pt idx="134">
                  <c:v>Ford</c:v>
                </c:pt>
                <c:pt idx="135">
                  <c:v>Fort Lauderdale</c:v>
                </c:pt>
                <c:pt idx="136">
                  <c:v>Fort Pierce</c:v>
                </c:pt>
                <c:pt idx="137">
                  <c:v>Fort Smith</c:v>
                </c:pt>
                <c:pt idx="138">
                  <c:v>Fort Wayne</c:v>
                </c:pt>
                <c:pt idx="139">
                  <c:v>Fort Worth</c:v>
                </c:pt>
                <c:pt idx="140">
                  <c:v>Foxrock</c:v>
                </c:pt>
                <c:pt idx="141">
                  <c:v>Fresno</c:v>
                </c:pt>
                <c:pt idx="142">
                  <c:v>Gainesville</c:v>
                </c:pt>
                <c:pt idx="143">
                  <c:v>Garden Grove</c:v>
                </c:pt>
                <c:pt idx="144">
                  <c:v>Garland</c:v>
                </c:pt>
                <c:pt idx="145">
                  <c:v>Glasnevin</c:v>
                </c:pt>
                <c:pt idx="146">
                  <c:v>Gorey</c:v>
                </c:pt>
                <c:pt idx="147">
                  <c:v>Grand Forks</c:v>
                </c:pt>
                <c:pt idx="148">
                  <c:v>Grand Rapids</c:v>
                </c:pt>
                <c:pt idx="149">
                  <c:v>Greensboro</c:v>
                </c:pt>
                <c:pt idx="150">
                  <c:v>Greystones</c:v>
                </c:pt>
                <c:pt idx="151">
                  <c:v>Hagerstown</c:v>
                </c:pt>
                <c:pt idx="152">
                  <c:v>Halton</c:v>
                </c:pt>
                <c:pt idx="153">
                  <c:v>Hampton</c:v>
                </c:pt>
                <c:pt idx="154">
                  <c:v>Harrisburg</c:v>
                </c:pt>
                <c:pt idx="155">
                  <c:v>Hartford</c:v>
                </c:pt>
                <c:pt idx="156">
                  <c:v>Hicksville</c:v>
                </c:pt>
                <c:pt idx="157">
                  <c:v>High Point</c:v>
                </c:pt>
                <c:pt idx="158">
                  <c:v>Hollywood</c:v>
                </c:pt>
                <c:pt idx="159">
                  <c:v>Honolulu</c:v>
                </c:pt>
                <c:pt idx="160">
                  <c:v>Houston</c:v>
                </c:pt>
                <c:pt idx="161">
                  <c:v>Huntington</c:v>
                </c:pt>
                <c:pt idx="162">
                  <c:v>Huntington Beach</c:v>
                </c:pt>
                <c:pt idx="163">
                  <c:v>Huntsville</c:v>
                </c:pt>
                <c:pt idx="164">
                  <c:v>Hyattsville</c:v>
                </c:pt>
                <c:pt idx="165">
                  <c:v>Independence</c:v>
                </c:pt>
                <c:pt idx="166">
                  <c:v>Indianapolis</c:v>
                </c:pt>
                <c:pt idx="167">
                  <c:v>Irvine</c:v>
                </c:pt>
                <c:pt idx="168">
                  <c:v>Irving</c:v>
                </c:pt>
                <c:pt idx="169">
                  <c:v>Jackson</c:v>
                </c:pt>
                <c:pt idx="170">
                  <c:v>Jacksonville</c:v>
                </c:pt>
                <c:pt idx="171">
                  <c:v>Jamaica</c:v>
                </c:pt>
                <c:pt idx="172">
                  <c:v>Johnson City</c:v>
                </c:pt>
                <c:pt idx="173">
                  <c:v>Joliet</c:v>
                </c:pt>
                <c:pt idx="174">
                  <c:v>Kansas City</c:v>
                </c:pt>
                <c:pt idx="175">
                  <c:v>Kildare</c:v>
                </c:pt>
                <c:pt idx="176">
                  <c:v>Kilkenny</c:v>
                </c:pt>
                <c:pt idx="177">
                  <c:v>Kill</c:v>
                </c:pt>
                <c:pt idx="178">
                  <c:v>Killorglin</c:v>
                </c:pt>
                <c:pt idx="179">
                  <c:v>Kingsport</c:v>
                </c:pt>
                <c:pt idx="180">
                  <c:v>Kinloch</c:v>
                </c:pt>
                <c:pt idx="181">
                  <c:v>Kinlough</c:v>
                </c:pt>
                <c:pt idx="182">
                  <c:v>Kinnegad</c:v>
                </c:pt>
                <c:pt idx="183">
                  <c:v>Kinsale</c:v>
                </c:pt>
                <c:pt idx="184">
                  <c:v>Kinsealy-Drinan</c:v>
                </c:pt>
                <c:pt idx="185">
                  <c:v>Kirkton</c:v>
                </c:pt>
                <c:pt idx="186">
                  <c:v>Kissimmee</c:v>
                </c:pt>
                <c:pt idx="187">
                  <c:v>Knoxville</c:v>
                </c:pt>
                <c:pt idx="188">
                  <c:v>Lafayette</c:v>
                </c:pt>
                <c:pt idx="189">
                  <c:v>Lakeland</c:v>
                </c:pt>
                <c:pt idx="190">
                  <c:v>Lansing</c:v>
                </c:pt>
                <c:pt idx="191">
                  <c:v>Largo</c:v>
                </c:pt>
                <c:pt idx="192">
                  <c:v>Las Vegas</c:v>
                </c:pt>
                <c:pt idx="193">
                  <c:v>Lawrenceville</c:v>
                </c:pt>
                <c:pt idx="194">
                  <c:v>Lees Summit</c:v>
                </c:pt>
                <c:pt idx="195">
                  <c:v>Leixlip</c:v>
                </c:pt>
                <c:pt idx="196">
                  <c:v>Lexington</c:v>
                </c:pt>
                <c:pt idx="197">
                  <c:v>Lincoln</c:v>
                </c:pt>
                <c:pt idx="198">
                  <c:v>Listowel</c:v>
                </c:pt>
                <c:pt idx="199">
                  <c:v>Little Rock</c:v>
                </c:pt>
                <c:pt idx="200">
                  <c:v>Littleton</c:v>
                </c:pt>
                <c:pt idx="201">
                  <c:v>Liverpool</c:v>
                </c:pt>
                <c:pt idx="202">
                  <c:v>London</c:v>
                </c:pt>
                <c:pt idx="203">
                  <c:v>Long Beach</c:v>
                </c:pt>
                <c:pt idx="204">
                  <c:v>Longford</c:v>
                </c:pt>
                <c:pt idx="205">
                  <c:v>Longwood</c:v>
                </c:pt>
                <c:pt idx="206">
                  <c:v>Los Angeles</c:v>
                </c:pt>
                <c:pt idx="207">
                  <c:v>Loughrea</c:v>
                </c:pt>
                <c:pt idx="208">
                  <c:v>Louisville</c:v>
                </c:pt>
                <c:pt idx="209">
                  <c:v>Lubbock</c:v>
                </c:pt>
                <c:pt idx="210">
                  <c:v>Lucan</c:v>
                </c:pt>
                <c:pt idx="211">
                  <c:v>Lusk</c:v>
                </c:pt>
                <c:pt idx="212">
                  <c:v>Lynchburg</c:v>
                </c:pt>
                <c:pt idx="213">
                  <c:v>Macon</c:v>
                </c:pt>
                <c:pt idx="214">
                  <c:v>Madison</c:v>
                </c:pt>
                <c:pt idx="215">
                  <c:v>Malahide</c:v>
                </c:pt>
                <c:pt idx="216">
                  <c:v>Manchester</c:v>
                </c:pt>
                <c:pt idx="217">
                  <c:v>Manorhamilton</c:v>
                </c:pt>
                <c:pt idx="218">
                  <c:v>Melbourne</c:v>
                </c:pt>
                <c:pt idx="219">
                  <c:v>Memphis</c:v>
                </c:pt>
                <c:pt idx="220">
                  <c:v>Merton</c:v>
                </c:pt>
                <c:pt idx="221">
                  <c:v>Mesa</c:v>
                </c:pt>
                <c:pt idx="222">
                  <c:v>Mesquite</c:v>
                </c:pt>
                <c:pt idx="223">
                  <c:v>Miami</c:v>
                </c:pt>
                <c:pt idx="224">
                  <c:v>Miami Beach</c:v>
                </c:pt>
                <c:pt idx="225">
                  <c:v>Middleton</c:v>
                </c:pt>
                <c:pt idx="226">
                  <c:v>Midland</c:v>
                </c:pt>
                <c:pt idx="227">
                  <c:v>Migrate</c:v>
                </c:pt>
                <c:pt idx="228">
                  <c:v>Milltown</c:v>
                </c:pt>
                <c:pt idx="229">
                  <c:v>Milwaukee</c:v>
                </c:pt>
                <c:pt idx="230">
                  <c:v>Minneapolis</c:v>
                </c:pt>
                <c:pt idx="231">
                  <c:v>Mobile</c:v>
                </c:pt>
                <c:pt idx="232">
                  <c:v>Monaghan</c:v>
                </c:pt>
                <c:pt idx="233">
                  <c:v>Monasterevin</c:v>
                </c:pt>
                <c:pt idx="234">
                  <c:v>Monroe</c:v>
                </c:pt>
                <c:pt idx="235">
                  <c:v>Montgomery</c:v>
                </c:pt>
                <c:pt idx="236">
                  <c:v>Monticello</c:v>
                </c:pt>
                <c:pt idx="237">
                  <c:v>Moycullen</c:v>
                </c:pt>
                <c:pt idx="238">
                  <c:v>Mullagh</c:v>
                </c:pt>
                <c:pt idx="239">
                  <c:v>Murfreesboro</c:v>
                </c:pt>
                <c:pt idx="240">
                  <c:v>Muskegon</c:v>
                </c:pt>
                <c:pt idx="241">
                  <c:v>Naperville</c:v>
                </c:pt>
                <c:pt idx="242">
                  <c:v>Naples</c:v>
                </c:pt>
                <c:pt idx="243">
                  <c:v>Nashville</c:v>
                </c:pt>
                <c:pt idx="244">
                  <c:v>Navan</c:v>
                </c:pt>
                <c:pt idx="245">
                  <c:v>Nenagh</c:v>
                </c:pt>
                <c:pt idx="246">
                  <c:v>New Brunswick</c:v>
                </c:pt>
                <c:pt idx="247">
                  <c:v>New Haven</c:v>
                </c:pt>
                <c:pt idx="248">
                  <c:v>New Hyde Park</c:v>
                </c:pt>
                <c:pt idx="249">
                  <c:v>New Orleans</c:v>
                </c:pt>
                <c:pt idx="250">
                  <c:v>New York City</c:v>
                </c:pt>
                <c:pt idx="251">
                  <c:v>Newark</c:v>
                </c:pt>
                <c:pt idx="252">
                  <c:v>Newbiggin</c:v>
                </c:pt>
                <c:pt idx="253">
                  <c:v>Newmarket on Fergus</c:v>
                </c:pt>
                <c:pt idx="254">
                  <c:v>Newport News</c:v>
                </c:pt>
                <c:pt idx="255">
                  <c:v>Newton</c:v>
                </c:pt>
                <c:pt idx="256">
                  <c:v>Norfolk</c:v>
                </c:pt>
                <c:pt idx="257">
                  <c:v>Normanton</c:v>
                </c:pt>
                <c:pt idx="258">
                  <c:v>Norton</c:v>
                </c:pt>
                <c:pt idx="259">
                  <c:v>Norwalk</c:v>
                </c:pt>
                <c:pt idx="260">
                  <c:v>Oakland</c:v>
                </c:pt>
                <c:pt idx="261">
                  <c:v>Odessa</c:v>
                </c:pt>
                <c:pt idx="262">
                  <c:v>Ogden</c:v>
                </c:pt>
                <c:pt idx="263">
                  <c:v>Oklahoma City</c:v>
                </c:pt>
                <c:pt idx="264">
                  <c:v>Olympia</c:v>
                </c:pt>
                <c:pt idx="265">
                  <c:v>Omaha</c:v>
                </c:pt>
                <c:pt idx="266">
                  <c:v>Orange</c:v>
                </c:pt>
                <c:pt idx="267">
                  <c:v>Orlando</c:v>
                </c:pt>
                <c:pt idx="268">
                  <c:v>Pasadena</c:v>
                </c:pt>
                <c:pt idx="269">
                  <c:v>Paterson</c:v>
                </c:pt>
                <c:pt idx="270">
                  <c:v>Pensacola</c:v>
                </c:pt>
                <c:pt idx="271">
                  <c:v>Petaluma</c:v>
                </c:pt>
                <c:pt idx="272">
                  <c:v>Philadelphia</c:v>
                </c:pt>
                <c:pt idx="273">
                  <c:v>Phoenix</c:v>
                </c:pt>
                <c:pt idx="274">
                  <c:v>Pittsburgh</c:v>
                </c:pt>
                <c:pt idx="275">
                  <c:v>Pompano Beach</c:v>
                </c:pt>
                <c:pt idx="276">
                  <c:v>Port Saint Lucie</c:v>
                </c:pt>
                <c:pt idx="277">
                  <c:v>Port Washington</c:v>
                </c:pt>
                <c:pt idx="278">
                  <c:v>Portarlington</c:v>
                </c:pt>
                <c:pt idx="279">
                  <c:v>Portland</c:v>
                </c:pt>
                <c:pt idx="280">
                  <c:v>Portumna</c:v>
                </c:pt>
                <c:pt idx="281">
                  <c:v>Preston</c:v>
                </c:pt>
                <c:pt idx="282">
                  <c:v>Provo</c:v>
                </c:pt>
                <c:pt idx="283">
                  <c:v>Punta Gorda</c:v>
                </c:pt>
                <c:pt idx="284">
                  <c:v>Racine</c:v>
                </c:pt>
                <c:pt idx="285">
                  <c:v>Raleigh</c:v>
                </c:pt>
                <c:pt idx="286">
                  <c:v>Rathnew</c:v>
                </c:pt>
                <c:pt idx="287">
                  <c:v>Rathwire</c:v>
                </c:pt>
                <c:pt idx="288">
                  <c:v>Reno</c:v>
                </c:pt>
                <c:pt idx="289">
                  <c:v>Reston</c:v>
                </c:pt>
                <c:pt idx="290">
                  <c:v>Richmond</c:v>
                </c:pt>
                <c:pt idx="291">
                  <c:v>Roanoke</c:v>
                </c:pt>
                <c:pt idx="292">
                  <c:v>Rochester</c:v>
                </c:pt>
                <c:pt idx="293">
                  <c:v>Rockford</c:v>
                </c:pt>
                <c:pt idx="294">
                  <c:v>Round Rock</c:v>
                </c:pt>
                <c:pt idx="295">
                  <c:v>Sacramento</c:v>
                </c:pt>
                <c:pt idx="296">
                  <c:v>Saginaw</c:v>
                </c:pt>
                <c:pt idx="297">
                  <c:v>Saint Augustine</c:v>
                </c:pt>
                <c:pt idx="298">
                  <c:v>Saint Cloud</c:v>
                </c:pt>
                <c:pt idx="299">
                  <c:v>Saint Louis</c:v>
                </c:pt>
                <c:pt idx="300">
                  <c:v>Saint Paul</c:v>
                </c:pt>
                <c:pt idx="301">
                  <c:v>Salinas</c:v>
                </c:pt>
                <c:pt idx="302">
                  <c:v>Sallins</c:v>
                </c:pt>
                <c:pt idx="303">
                  <c:v>Salt Lake City</c:v>
                </c:pt>
                <c:pt idx="304">
                  <c:v>San Angelo</c:v>
                </c:pt>
                <c:pt idx="305">
                  <c:v>San Antonio</c:v>
                </c:pt>
                <c:pt idx="306">
                  <c:v>San Bernardino</c:v>
                </c:pt>
                <c:pt idx="307">
                  <c:v>San Diego</c:v>
                </c:pt>
                <c:pt idx="308">
                  <c:v>San Francisco</c:v>
                </c:pt>
                <c:pt idx="309">
                  <c:v>San Jose</c:v>
                </c:pt>
                <c:pt idx="310">
                  <c:v>San Rafael</c:v>
                </c:pt>
                <c:pt idx="311">
                  <c:v>Sandyford</c:v>
                </c:pt>
                <c:pt idx="312">
                  <c:v>Santa Ana</c:v>
                </c:pt>
                <c:pt idx="313">
                  <c:v>Savannah</c:v>
                </c:pt>
                <c:pt idx="314">
                  <c:v>Schenectady</c:v>
                </c:pt>
                <c:pt idx="315">
                  <c:v>Scranton</c:v>
                </c:pt>
                <c:pt idx="316">
                  <c:v>Seaton</c:v>
                </c:pt>
                <c:pt idx="317">
                  <c:v>Seattle</c:v>
                </c:pt>
                <c:pt idx="318">
                  <c:v>Seminole</c:v>
                </c:pt>
                <c:pt idx="319">
                  <c:v>Shankill</c:v>
                </c:pt>
                <c:pt idx="320">
                  <c:v>Shawnee Mission</c:v>
                </c:pt>
                <c:pt idx="321">
                  <c:v>Sheffield</c:v>
                </c:pt>
                <c:pt idx="322">
                  <c:v>Shreveport</c:v>
                </c:pt>
                <c:pt idx="323">
                  <c:v>Silver Spring</c:v>
                </c:pt>
                <c:pt idx="324">
                  <c:v>Sparks</c:v>
                </c:pt>
                <c:pt idx="325">
                  <c:v>Spartanburg</c:v>
                </c:pt>
                <c:pt idx="326">
                  <c:v>Springfield</c:v>
                </c:pt>
                <c:pt idx="327">
                  <c:v>Stamford</c:v>
                </c:pt>
                <c:pt idx="328">
                  <c:v>Staten Island</c:v>
                </c:pt>
                <c:pt idx="329">
                  <c:v>Sterling</c:v>
                </c:pt>
                <c:pt idx="330">
                  <c:v>Stockton</c:v>
                </c:pt>
                <c:pt idx="331">
                  <c:v>Stradbally</c:v>
                </c:pt>
                <c:pt idx="332">
                  <c:v>Sunnyvale</c:v>
                </c:pt>
                <c:pt idx="333">
                  <c:v>Sutton</c:v>
                </c:pt>
                <c:pt idx="334">
                  <c:v>Swindon</c:v>
                </c:pt>
                <c:pt idx="335">
                  <c:v>Syracuse</c:v>
                </c:pt>
                <c:pt idx="336">
                  <c:v>Tacoma</c:v>
                </c:pt>
                <c:pt idx="337">
                  <c:v>Tallaght</c:v>
                </c:pt>
                <c:pt idx="338">
                  <c:v>Tampa</c:v>
                </c:pt>
                <c:pt idx="339">
                  <c:v>Thorpe</c:v>
                </c:pt>
                <c:pt idx="340">
                  <c:v>Toledo</c:v>
                </c:pt>
                <c:pt idx="341">
                  <c:v>Topeka</c:v>
                </c:pt>
                <c:pt idx="342">
                  <c:v>Tralee</c:v>
                </c:pt>
                <c:pt idx="343">
                  <c:v>Trenton</c:v>
                </c:pt>
                <c:pt idx="344">
                  <c:v>Tr谩 Mh贸r</c:v>
                </c:pt>
                <c:pt idx="345">
                  <c:v>Tucson</c:v>
                </c:pt>
                <c:pt idx="346">
                  <c:v>Tullamore</c:v>
                </c:pt>
                <c:pt idx="347">
                  <c:v>Tullyallen</c:v>
                </c:pt>
                <c:pt idx="348">
                  <c:v>Tulsa</c:v>
                </c:pt>
                <c:pt idx="349">
                  <c:v>Tuscaloosa</c:v>
                </c:pt>
                <c:pt idx="350">
                  <c:v>Twyford</c:v>
                </c:pt>
                <c:pt idx="351">
                  <c:v>Tyler</c:v>
                </c:pt>
                <c:pt idx="352">
                  <c:v>Upton</c:v>
                </c:pt>
                <c:pt idx="353">
                  <c:v>Valleymount</c:v>
                </c:pt>
                <c:pt idx="354">
                  <c:v>Vancouver</c:v>
                </c:pt>
                <c:pt idx="355">
                  <c:v>Vienna</c:v>
                </c:pt>
                <c:pt idx="356">
                  <c:v>Virginia</c:v>
                </c:pt>
                <c:pt idx="357">
                  <c:v>Waco</c:v>
                </c:pt>
                <c:pt idx="358">
                  <c:v>Warren</c:v>
                </c:pt>
                <c:pt idx="359">
                  <c:v>Washington</c:v>
                </c:pt>
                <c:pt idx="360">
                  <c:v>Watergrasshill</c:v>
                </c:pt>
                <c:pt idx="361">
                  <c:v>West Hartford</c:v>
                </c:pt>
                <c:pt idx="362">
                  <c:v>West Palm Beach</c:v>
                </c:pt>
                <c:pt idx="363">
                  <c:v>Whitegate</c:v>
                </c:pt>
                <c:pt idx="364">
                  <c:v>Whittier</c:v>
                </c:pt>
                <c:pt idx="365">
                  <c:v>Whitwell</c:v>
                </c:pt>
                <c:pt idx="366">
                  <c:v>Wichita</c:v>
                </c:pt>
                <c:pt idx="367">
                  <c:v>Wilkes Barre</c:v>
                </c:pt>
                <c:pt idx="368">
                  <c:v>Wilmington</c:v>
                </c:pt>
                <c:pt idx="369">
                  <c:v>Winter Haven</c:v>
                </c:pt>
                <c:pt idx="370">
                  <c:v>Wirral</c:v>
                </c:pt>
                <c:pt idx="371">
                  <c:v>Wootton</c:v>
                </c:pt>
                <c:pt idx="372">
                  <c:v>Yonkers</c:v>
                </c:pt>
                <c:pt idx="373">
                  <c:v>Young America</c:v>
                </c:pt>
                <c:pt idx="374">
                  <c:v>Zephyrhills</c:v>
                </c:pt>
              </c:strCache>
            </c:strRef>
          </c:cat>
          <c:val>
            <c:numRef>
              <c:f>'Pivot Table'!$B$88:$B$463</c:f>
              <c:numCache>
                <c:formatCode>General</c:formatCode>
                <c:ptCount val="375"/>
                <c:pt idx="0">
                  <c:v>2</c:v>
                </c:pt>
                <c:pt idx="1">
                  <c:v>2</c:v>
                </c:pt>
                <c:pt idx="2">
                  <c:v>5</c:v>
                </c:pt>
                <c:pt idx="3">
                  <c:v>1</c:v>
                </c:pt>
                <c:pt idx="4">
                  <c:v>5</c:v>
                </c:pt>
                <c:pt idx="5">
                  <c:v>1</c:v>
                </c:pt>
                <c:pt idx="6">
                  <c:v>3</c:v>
                </c:pt>
                <c:pt idx="7">
                  <c:v>3</c:v>
                </c:pt>
                <c:pt idx="8">
                  <c:v>2</c:v>
                </c:pt>
                <c:pt idx="9">
                  <c:v>4</c:v>
                </c:pt>
                <c:pt idx="10">
                  <c:v>1</c:v>
                </c:pt>
                <c:pt idx="11">
                  <c:v>2</c:v>
                </c:pt>
                <c:pt idx="12">
                  <c:v>1</c:v>
                </c:pt>
                <c:pt idx="13">
                  <c:v>3</c:v>
                </c:pt>
                <c:pt idx="14">
                  <c:v>1</c:v>
                </c:pt>
                <c:pt idx="15">
                  <c:v>1</c:v>
                </c:pt>
                <c:pt idx="16">
                  <c:v>4</c:v>
                </c:pt>
                <c:pt idx="17">
                  <c:v>5</c:v>
                </c:pt>
                <c:pt idx="18">
                  <c:v>6</c:v>
                </c:pt>
                <c:pt idx="19">
                  <c:v>2</c:v>
                </c:pt>
                <c:pt idx="20">
                  <c:v>1</c:v>
                </c:pt>
                <c:pt idx="21">
                  <c:v>1</c:v>
                </c:pt>
                <c:pt idx="22">
                  <c:v>3</c:v>
                </c:pt>
                <c:pt idx="23">
                  <c:v>1</c:v>
                </c:pt>
                <c:pt idx="24">
                  <c:v>1</c:v>
                </c:pt>
                <c:pt idx="25">
                  <c:v>1</c:v>
                </c:pt>
                <c:pt idx="26">
                  <c:v>1</c:v>
                </c:pt>
                <c:pt idx="27">
                  <c:v>5</c:v>
                </c:pt>
                <c:pt idx="28">
                  <c:v>1</c:v>
                </c:pt>
                <c:pt idx="29">
                  <c:v>1</c:v>
                </c:pt>
                <c:pt idx="30">
                  <c:v>1</c:v>
                </c:pt>
                <c:pt idx="31">
                  <c:v>1</c:v>
                </c:pt>
                <c:pt idx="32">
                  <c:v>1</c:v>
                </c:pt>
                <c:pt idx="33">
                  <c:v>2</c:v>
                </c:pt>
                <c:pt idx="34">
                  <c:v>6</c:v>
                </c:pt>
                <c:pt idx="35">
                  <c:v>1</c:v>
                </c:pt>
                <c:pt idx="36">
                  <c:v>2</c:v>
                </c:pt>
                <c:pt idx="37">
                  <c:v>1</c:v>
                </c:pt>
                <c:pt idx="38">
                  <c:v>1</c:v>
                </c:pt>
                <c:pt idx="39">
                  <c:v>8</c:v>
                </c:pt>
                <c:pt idx="40">
                  <c:v>6</c:v>
                </c:pt>
                <c:pt idx="41">
                  <c:v>1</c:v>
                </c:pt>
                <c:pt idx="42">
                  <c:v>2</c:v>
                </c:pt>
                <c:pt idx="43">
                  <c:v>13</c:v>
                </c:pt>
                <c:pt idx="44">
                  <c:v>1</c:v>
                </c:pt>
                <c:pt idx="45">
                  <c:v>1</c:v>
                </c:pt>
                <c:pt idx="46">
                  <c:v>1</c:v>
                </c:pt>
                <c:pt idx="47">
                  <c:v>5</c:v>
                </c:pt>
                <c:pt idx="48">
                  <c:v>1</c:v>
                </c:pt>
                <c:pt idx="49">
                  <c:v>1</c:v>
                </c:pt>
                <c:pt idx="50">
                  <c:v>1</c:v>
                </c:pt>
                <c:pt idx="51">
                  <c:v>1</c:v>
                </c:pt>
                <c:pt idx="52">
                  <c:v>1</c:v>
                </c:pt>
                <c:pt idx="53">
                  <c:v>1</c:v>
                </c:pt>
                <c:pt idx="54">
                  <c:v>5</c:v>
                </c:pt>
                <c:pt idx="55">
                  <c:v>4</c:v>
                </c:pt>
                <c:pt idx="56">
                  <c:v>1</c:v>
                </c:pt>
                <c:pt idx="57">
                  <c:v>1</c:v>
                </c:pt>
                <c:pt idx="58">
                  <c:v>2</c:v>
                </c:pt>
                <c:pt idx="59">
                  <c:v>1</c:v>
                </c:pt>
                <c:pt idx="60">
                  <c:v>1</c:v>
                </c:pt>
                <c:pt idx="61">
                  <c:v>1</c:v>
                </c:pt>
                <c:pt idx="62">
                  <c:v>3</c:v>
                </c:pt>
                <c:pt idx="63">
                  <c:v>1</c:v>
                </c:pt>
                <c:pt idx="64">
                  <c:v>1</c:v>
                </c:pt>
                <c:pt idx="65">
                  <c:v>3</c:v>
                </c:pt>
                <c:pt idx="66">
                  <c:v>1</c:v>
                </c:pt>
                <c:pt idx="67">
                  <c:v>1</c:v>
                </c:pt>
                <c:pt idx="68">
                  <c:v>4</c:v>
                </c:pt>
                <c:pt idx="69">
                  <c:v>1</c:v>
                </c:pt>
                <c:pt idx="70">
                  <c:v>1</c:v>
                </c:pt>
                <c:pt idx="71">
                  <c:v>1</c:v>
                </c:pt>
                <c:pt idx="72">
                  <c:v>1</c:v>
                </c:pt>
                <c:pt idx="73">
                  <c:v>8</c:v>
                </c:pt>
                <c:pt idx="74">
                  <c:v>8</c:v>
                </c:pt>
                <c:pt idx="75">
                  <c:v>3</c:v>
                </c:pt>
                <c:pt idx="76">
                  <c:v>2</c:v>
                </c:pt>
                <c:pt idx="77">
                  <c:v>2</c:v>
                </c:pt>
                <c:pt idx="78">
                  <c:v>2</c:v>
                </c:pt>
                <c:pt idx="79">
                  <c:v>1</c:v>
                </c:pt>
                <c:pt idx="80">
                  <c:v>2</c:v>
                </c:pt>
                <c:pt idx="81">
                  <c:v>2</c:v>
                </c:pt>
                <c:pt idx="82">
                  <c:v>1</c:v>
                </c:pt>
                <c:pt idx="83">
                  <c:v>2</c:v>
                </c:pt>
                <c:pt idx="84">
                  <c:v>5</c:v>
                </c:pt>
                <c:pt idx="85">
                  <c:v>4</c:v>
                </c:pt>
                <c:pt idx="86">
                  <c:v>2</c:v>
                </c:pt>
                <c:pt idx="87">
                  <c:v>2</c:v>
                </c:pt>
                <c:pt idx="88">
                  <c:v>2</c:v>
                </c:pt>
                <c:pt idx="89">
                  <c:v>1</c:v>
                </c:pt>
                <c:pt idx="90">
                  <c:v>5</c:v>
                </c:pt>
                <c:pt idx="91">
                  <c:v>3</c:v>
                </c:pt>
                <c:pt idx="92">
                  <c:v>6</c:v>
                </c:pt>
                <c:pt idx="93">
                  <c:v>3</c:v>
                </c:pt>
                <c:pt idx="94">
                  <c:v>1</c:v>
                </c:pt>
                <c:pt idx="95">
                  <c:v>2</c:v>
                </c:pt>
                <c:pt idx="96">
                  <c:v>3</c:v>
                </c:pt>
                <c:pt idx="97">
                  <c:v>1</c:v>
                </c:pt>
                <c:pt idx="98">
                  <c:v>1</c:v>
                </c:pt>
                <c:pt idx="99">
                  <c:v>1</c:v>
                </c:pt>
                <c:pt idx="100">
                  <c:v>2</c:v>
                </c:pt>
                <c:pt idx="101">
                  <c:v>3</c:v>
                </c:pt>
                <c:pt idx="102">
                  <c:v>11</c:v>
                </c:pt>
                <c:pt idx="103">
                  <c:v>3</c:v>
                </c:pt>
                <c:pt idx="104">
                  <c:v>6</c:v>
                </c:pt>
                <c:pt idx="105">
                  <c:v>1</c:v>
                </c:pt>
                <c:pt idx="106">
                  <c:v>1</c:v>
                </c:pt>
                <c:pt idx="107">
                  <c:v>3</c:v>
                </c:pt>
                <c:pt idx="108">
                  <c:v>4</c:v>
                </c:pt>
                <c:pt idx="109">
                  <c:v>4</c:v>
                </c:pt>
                <c:pt idx="110">
                  <c:v>3</c:v>
                </c:pt>
                <c:pt idx="111">
                  <c:v>2</c:v>
                </c:pt>
                <c:pt idx="112">
                  <c:v>1</c:v>
                </c:pt>
                <c:pt idx="113">
                  <c:v>1</c:v>
                </c:pt>
                <c:pt idx="114">
                  <c:v>1</c:v>
                </c:pt>
                <c:pt idx="115">
                  <c:v>2</c:v>
                </c:pt>
                <c:pt idx="116">
                  <c:v>1</c:v>
                </c:pt>
                <c:pt idx="117">
                  <c:v>4</c:v>
                </c:pt>
                <c:pt idx="118">
                  <c:v>1</c:v>
                </c:pt>
                <c:pt idx="119">
                  <c:v>1</c:v>
                </c:pt>
                <c:pt idx="120">
                  <c:v>1</c:v>
                </c:pt>
                <c:pt idx="121">
                  <c:v>2</c:v>
                </c:pt>
                <c:pt idx="122">
                  <c:v>1</c:v>
                </c:pt>
                <c:pt idx="123">
                  <c:v>1</c:v>
                </c:pt>
                <c:pt idx="124">
                  <c:v>11</c:v>
                </c:pt>
                <c:pt idx="125">
                  <c:v>2</c:v>
                </c:pt>
                <c:pt idx="126">
                  <c:v>4</c:v>
                </c:pt>
                <c:pt idx="127">
                  <c:v>3</c:v>
                </c:pt>
                <c:pt idx="128">
                  <c:v>1</c:v>
                </c:pt>
                <c:pt idx="129">
                  <c:v>5</c:v>
                </c:pt>
                <c:pt idx="130">
                  <c:v>1</c:v>
                </c:pt>
                <c:pt idx="131">
                  <c:v>1</c:v>
                </c:pt>
                <c:pt idx="132">
                  <c:v>1</c:v>
                </c:pt>
                <c:pt idx="133">
                  <c:v>4</c:v>
                </c:pt>
                <c:pt idx="134">
                  <c:v>1</c:v>
                </c:pt>
                <c:pt idx="135">
                  <c:v>8</c:v>
                </c:pt>
                <c:pt idx="136">
                  <c:v>1</c:v>
                </c:pt>
                <c:pt idx="137">
                  <c:v>6</c:v>
                </c:pt>
                <c:pt idx="138">
                  <c:v>5</c:v>
                </c:pt>
                <c:pt idx="139">
                  <c:v>8</c:v>
                </c:pt>
                <c:pt idx="140">
                  <c:v>2</c:v>
                </c:pt>
                <c:pt idx="141">
                  <c:v>9</c:v>
                </c:pt>
                <c:pt idx="142">
                  <c:v>1</c:v>
                </c:pt>
                <c:pt idx="143">
                  <c:v>1</c:v>
                </c:pt>
                <c:pt idx="144">
                  <c:v>4</c:v>
                </c:pt>
                <c:pt idx="145">
                  <c:v>1</c:v>
                </c:pt>
                <c:pt idx="146">
                  <c:v>1</c:v>
                </c:pt>
                <c:pt idx="147">
                  <c:v>2</c:v>
                </c:pt>
                <c:pt idx="148">
                  <c:v>4</c:v>
                </c:pt>
                <c:pt idx="149">
                  <c:v>4</c:v>
                </c:pt>
                <c:pt idx="150">
                  <c:v>1</c:v>
                </c:pt>
                <c:pt idx="151">
                  <c:v>1</c:v>
                </c:pt>
                <c:pt idx="152">
                  <c:v>2</c:v>
                </c:pt>
                <c:pt idx="153">
                  <c:v>1</c:v>
                </c:pt>
                <c:pt idx="154">
                  <c:v>2</c:v>
                </c:pt>
                <c:pt idx="155">
                  <c:v>1</c:v>
                </c:pt>
                <c:pt idx="156">
                  <c:v>1</c:v>
                </c:pt>
                <c:pt idx="157">
                  <c:v>1</c:v>
                </c:pt>
                <c:pt idx="158">
                  <c:v>2</c:v>
                </c:pt>
                <c:pt idx="159">
                  <c:v>5</c:v>
                </c:pt>
                <c:pt idx="160">
                  <c:v>15</c:v>
                </c:pt>
                <c:pt idx="161">
                  <c:v>3</c:v>
                </c:pt>
                <c:pt idx="162">
                  <c:v>1</c:v>
                </c:pt>
                <c:pt idx="163">
                  <c:v>2</c:v>
                </c:pt>
                <c:pt idx="164">
                  <c:v>1</c:v>
                </c:pt>
                <c:pt idx="165">
                  <c:v>1</c:v>
                </c:pt>
                <c:pt idx="166">
                  <c:v>3</c:v>
                </c:pt>
                <c:pt idx="167">
                  <c:v>1</c:v>
                </c:pt>
                <c:pt idx="168">
                  <c:v>1</c:v>
                </c:pt>
                <c:pt idx="169">
                  <c:v>1</c:v>
                </c:pt>
                <c:pt idx="170">
                  <c:v>2</c:v>
                </c:pt>
                <c:pt idx="171">
                  <c:v>2</c:v>
                </c:pt>
                <c:pt idx="172">
                  <c:v>1</c:v>
                </c:pt>
                <c:pt idx="173">
                  <c:v>1</c:v>
                </c:pt>
                <c:pt idx="174">
                  <c:v>3</c:v>
                </c:pt>
                <c:pt idx="175">
                  <c:v>1</c:v>
                </c:pt>
                <c:pt idx="176">
                  <c:v>2</c:v>
                </c:pt>
                <c:pt idx="177">
                  <c:v>1</c:v>
                </c:pt>
                <c:pt idx="178">
                  <c:v>1</c:v>
                </c:pt>
                <c:pt idx="179">
                  <c:v>1</c:v>
                </c:pt>
                <c:pt idx="180">
                  <c:v>5</c:v>
                </c:pt>
                <c:pt idx="181">
                  <c:v>1</c:v>
                </c:pt>
                <c:pt idx="182">
                  <c:v>1</c:v>
                </c:pt>
                <c:pt idx="183">
                  <c:v>1</c:v>
                </c:pt>
                <c:pt idx="184">
                  <c:v>1</c:v>
                </c:pt>
                <c:pt idx="185">
                  <c:v>1</c:v>
                </c:pt>
                <c:pt idx="186">
                  <c:v>1</c:v>
                </c:pt>
                <c:pt idx="187">
                  <c:v>5</c:v>
                </c:pt>
                <c:pt idx="188">
                  <c:v>2</c:v>
                </c:pt>
                <c:pt idx="189">
                  <c:v>2</c:v>
                </c:pt>
                <c:pt idx="190">
                  <c:v>4</c:v>
                </c:pt>
                <c:pt idx="191">
                  <c:v>2</c:v>
                </c:pt>
                <c:pt idx="192">
                  <c:v>4</c:v>
                </c:pt>
                <c:pt idx="193">
                  <c:v>5</c:v>
                </c:pt>
                <c:pt idx="194">
                  <c:v>3</c:v>
                </c:pt>
                <c:pt idx="195">
                  <c:v>1</c:v>
                </c:pt>
                <c:pt idx="196">
                  <c:v>5</c:v>
                </c:pt>
                <c:pt idx="197">
                  <c:v>2</c:v>
                </c:pt>
                <c:pt idx="198">
                  <c:v>2</c:v>
                </c:pt>
                <c:pt idx="199">
                  <c:v>6</c:v>
                </c:pt>
                <c:pt idx="200">
                  <c:v>1</c:v>
                </c:pt>
                <c:pt idx="201">
                  <c:v>2</c:v>
                </c:pt>
                <c:pt idx="202">
                  <c:v>5</c:v>
                </c:pt>
                <c:pt idx="203">
                  <c:v>1</c:v>
                </c:pt>
                <c:pt idx="204">
                  <c:v>1</c:v>
                </c:pt>
                <c:pt idx="205">
                  <c:v>2</c:v>
                </c:pt>
                <c:pt idx="206">
                  <c:v>11</c:v>
                </c:pt>
                <c:pt idx="207">
                  <c:v>2</c:v>
                </c:pt>
                <c:pt idx="208">
                  <c:v>1</c:v>
                </c:pt>
                <c:pt idx="209">
                  <c:v>2</c:v>
                </c:pt>
                <c:pt idx="210">
                  <c:v>1</c:v>
                </c:pt>
                <c:pt idx="211">
                  <c:v>2</c:v>
                </c:pt>
                <c:pt idx="212">
                  <c:v>1</c:v>
                </c:pt>
                <c:pt idx="213">
                  <c:v>2</c:v>
                </c:pt>
                <c:pt idx="214">
                  <c:v>2</c:v>
                </c:pt>
                <c:pt idx="215">
                  <c:v>1</c:v>
                </c:pt>
                <c:pt idx="216">
                  <c:v>1</c:v>
                </c:pt>
                <c:pt idx="217">
                  <c:v>1</c:v>
                </c:pt>
                <c:pt idx="218">
                  <c:v>1</c:v>
                </c:pt>
                <c:pt idx="219">
                  <c:v>2</c:v>
                </c:pt>
                <c:pt idx="220">
                  <c:v>1</c:v>
                </c:pt>
                <c:pt idx="221">
                  <c:v>2</c:v>
                </c:pt>
                <c:pt idx="222">
                  <c:v>1</c:v>
                </c:pt>
                <c:pt idx="223">
                  <c:v>6</c:v>
                </c:pt>
                <c:pt idx="224">
                  <c:v>1</c:v>
                </c:pt>
                <c:pt idx="225">
                  <c:v>1</c:v>
                </c:pt>
                <c:pt idx="226">
                  <c:v>3</c:v>
                </c:pt>
                <c:pt idx="227">
                  <c:v>2</c:v>
                </c:pt>
                <c:pt idx="228">
                  <c:v>1</c:v>
                </c:pt>
                <c:pt idx="229">
                  <c:v>7</c:v>
                </c:pt>
                <c:pt idx="230">
                  <c:v>7</c:v>
                </c:pt>
                <c:pt idx="231">
                  <c:v>2</c:v>
                </c:pt>
                <c:pt idx="232">
                  <c:v>1</c:v>
                </c:pt>
                <c:pt idx="233">
                  <c:v>2</c:v>
                </c:pt>
                <c:pt idx="234">
                  <c:v>1</c:v>
                </c:pt>
                <c:pt idx="235">
                  <c:v>5</c:v>
                </c:pt>
                <c:pt idx="236">
                  <c:v>1</c:v>
                </c:pt>
                <c:pt idx="237">
                  <c:v>2</c:v>
                </c:pt>
                <c:pt idx="238">
                  <c:v>1</c:v>
                </c:pt>
                <c:pt idx="239">
                  <c:v>1</c:v>
                </c:pt>
                <c:pt idx="240">
                  <c:v>1</c:v>
                </c:pt>
                <c:pt idx="241">
                  <c:v>1</c:v>
                </c:pt>
                <c:pt idx="242">
                  <c:v>3</c:v>
                </c:pt>
                <c:pt idx="243">
                  <c:v>4</c:v>
                </c:pt>
                <c:pt idx="244">
                  <c:v>1</c:v>
                </c:pt>
                <c:pt idx="245">
                  <c:v>1</c:v>
                </c:pt>
                <c:pt idx="246">
                  <c:v>1</c:v>
                </c:pt>
                <c:pt idx="247">
                  <c:v>2</c:v>
                </c:pt>
                <c:pt idx="248">
                  <c:v>1</c:v>
                </c:pt>
                <c:pt idx="249">
                  <c:v>4</c:v>
                </c:pt>
                <c:pt idx="250">
                  <c:v>17</c:v>
                </c:pt>
                <c:pt idx="251">
                  <c:v>4</c:v>
                </c:pt>
                <c:pt idx="252">
                  <c:v>1</c:v>
                </c:pt>
                <c:pt idx="253">
                  <c:v>2</c:v>
                </c:pt>
                <c:pt idx="254">
                  <c:v>2</c:v>
                </c:pt>
                <c:pt idx="255">
                  <c:v>3</c:v>
                </c:pt>
                <c:pt idx="256">
                  <c:v>1</c:v>
                </c:pt>
                <c:pt idx="257">
                  <c:v>1</c:v>
                </c:pt>
                <c:pt idx="258">
                  <c:v>3</c:v>
                </c:pt>
                <c:pt idx="259">
                  <c:v>1</c:v>
                </c:pt>
                <c:pt idx="260">
                  <c:v>1</c:v>
                </c:pt>
                <c:pt idx="261">
                  <c:v>4</c:v>
                </c:pt>
                <c:pt idx="262">
                  <c:v>2</c:v>
                </c:pt>
                <c:pt idx="263">
                  <c:v>15</c:v>
                </c:pt>
                <c:pt idx="264">
                  <c:v>2</c:v>
                </c:pt>
                <c:pt idx="265">
                  <c:v>1</c:v>
                </c:pt>
                <c:pt idx="266">
                  <c:v>2</c:v>
                </c:pt>
                <c:pt idx="267">
                  <c:v>2</c:v>
                </c:pt>
                <c:pt idx="268">
                  <c:v>6</c:v>
                </c:pt>
                <c:pt idx="269">
                  <c:v>2</c:v>
                </c:pt>
                <c:pt idx="270">
                  <c:v>7</c:v>
                </c:pt>
                <c:pt idx="271">
                  <c:v>1</c:v>
                </c:pt>
                <c:pt idx="272">
                  <c:v>9</c:v>
                </c:pt>
                <c:pt idx="273">
                  <c:v>5</c:v>
                </c:pt>
                <c:pt idx="274">
                  <c:v>4</c:v>
                </c:pt>
                <c:pt idx="275">
                  <c:v>2</c:v>
                </c:pt>
                <c:pt idx="276">
                  <c:v>1</c:v>
                </c:pt>
                <c:pt idx="277">
                  <c:v>1</c:v>
                </c:pt>
                <c:pt idx="278">
                  <c:v>1</c:v>
                </c:pt>
                <c:pt idx="279">
                  <c:v>7</c:v>
                </c:pt>
                <c:pt idx="280">
                  <c:v>2</c:v>
                </c:pt>
                <c:pt idx="281">
                  <c:v>2</c:v>
                </c:pt>
                <c:pt idx="282">
                  <c:v>1</c:v>
                </c:pt>
                <c:pt idx="283">
                  <c:v>3</c:v>
                </c:pt>
                <c:pt idx="284">
                  <c:v>2</c:v>
                </c:pt>
                <c:pt idx="285">
                  <c:v>1</c:v>
                </c:pt>
                <c:pt idx="286">
                  <c:v>1</c:v>
                </c:pt>
                <c:pt idx="287">
                  <c:v>1</c:v>
                </c:pt>
                <c:pt idx="288">
                  <c:v>3</c:v>
                </c:pt>
                <c:pt idx="289">
                  <c:v>1</c:v>
                </c:pt>
                <c:pt idx="290">
                  <c:v>7</c:v>
                </c:pt>
                <c:pt idx="291">
                  <c:v>3</c:v>
                </c:pt>
                <c:pt idx="292">
                  <c:v>6</c:v>
                </c:pt>
                <c:pt idx="293">
                  <c:v>2</c:v>
                </c:pt>
                <c:pt idx="294">
                  <c:v>1</c:v>
                </c:pt>
                <c:pt idx="295">
                  <c:v>9</c:v>
                </c:pt>
                <c:pt idx="296">
                  <c:v>1</c:v>
                </c:pt>
                <c:pt idx="297">
                  <c:v>1</c:v>
                </c:pt>
                <c:pt idx="298">
                  <c:v>1</c:v>
                </c:pt>
                <c:pt idx="299">
                  <c:v>10</c:v>
                </c:pt>
                <c:pt idx="300">
                  <c:v>4</c:v>
                </c:pt>
                <c:pt idx="301">
                  <c:v>1</c:v>
                </c:pt>
                <c:pt idx="302">
                  <c:v>2</c:v>
                </c:pt>
                <c:pt idx="303">
                  <c:v>4</c:v>
                </c:pt>
                <c:pt idx="304">
                  <c:v>2</c:v>
                </c:pt>
                <c:pt idx="305">
                  <c:v>1</c:v>
                </c:pt>
                <c:pt idx="306">
                  <c:v>2</c:v>
                </c:pt>
                <c:pt idx="307">
                  <c:v>4</c:v>
                </c:pt>
                <c:pt idx="308">
                  <c:v>9</c:v>
                </c:pt>
                <c:pt idx="309">
                  <c:v>6</c:v>
                </c:pt>
                <c:pt idx="310">
                  <c:v>1</c:v>
                </c:pt>
                <c:pt idx="311">
                  <c:v>3</c:v>
                </c:pt>
                <c:pt idx="312">
                  <c:v>4</c:v>
                </c:pt>
                <c:pt idx="313">
                  <c:v>1</c:v>
                </c:pt>
                <c:pt idx="314">
                  <c:v>1</c:v>
                </c:pt>
                <c:pt idx="315">
                  <c:v>1</c:v>
                </c:pt>
                <c:pt idx="316">
                  <c:v>2</c:v>
                </c:pt>
                <c:pt idx="317">
                  <c:v>8</c:v>
                </c:pt>
                <c:pt idx="318">
                  <c:v>1</c:v>
                </c:pt>
                <c:pt idx="319">
                  <c:v>2</c:v>
                </c:pt>
                <c:pt idx="320">
                  <c:v>5</c:v>
                </c:pt>
                <c:pt idx="321">
                  <c:v>4</c:v>
                </c:pt>
                <c:pt idx="322">
                  <c:v>8</c:v>
                </c:pt>
                <c:pt idx="323">
                  <c:v>1</c:v>
                </c:pt>
                <c:pt idx="324">
                  <c:v>3</c:v>
                </c:pt>
                <c:pt idx="325">
                  <c:v>3</c:v>
                </c:pt>
                <c:pt idx="326">
                  <c:v>5</c:v>
                </c:pt>
                <c:pt idx="327">
                  <c:v>2</c:v>
                </c:pt>
                <c:pt idx="328">
                  <c:v>2</c:v>
                </c:pt>
                <c:pt idx="329">
                  <c:v>1</c:v>
                </c:pt>
                <c:pt idx="330">
                  <c:v>2</c:v>
                </c:pt>
                <c:pt idx="331">
                  <c:v>1</c:v>
                </c:pt>
                <c:pt idx="332">
                  <c:v>2</c:v>
                </c:pt>
                <c:pt idx="333">
                  <c:v>1</c:v>
                </c:pt>
                <c:pt idx="334">
                  <c:v>1</c:v>
                </c:pt>
                <c:pt idx="335">
                  <c:v>1</c:v>
                </c:pt>
                <c:pt idx="336">
                  <c:v>3</c:v>
                </c:pt>
                <c:pt idx="337">
                  <c:v>1</c:v>
                </c:pt>
                <c:pt idx="338">
                  <c:v>6</c:v>
                </c:pt>
                <c:pt idx="339">
                  <c:v>2</c:v>
                </c:pt>
                <c:pt idx="340">
                  <c:v>9</c:v>
                </c:pt>
                <c:pt idx="341">
                  <c:v>4</c:v>
                </c:pt>
                <c:pt idx="342">
                  <c:v>2</c:v>
                </c:pt>
                <c:pt idx="343">
                  <c:v>1</c:v>
                </c:pt>
                <c:pt idx="344">
                  <c:v>1</c:v>
                </c:pt>
                <c:pt idx="345">
                  <c:v>5</c:v>
                </c:pt>
                <c:pt idx="346">
                  <c:v>1</c:v>
                </c:pt>
                <c:pt idx="347">
                  <c:v>1</c:v>
                </c:pt>
                <c:pt idx="348">
                  <c:v>3</c:v>
                </c:pt>
                <c:pt idx="349">
                  <c:v>2</c:v>
                </c:pt>
                <c:pt idx="350">
                  <c:v>1</c:v>
                </c:pt>
                <c:pt idx="351">
                  <c:v>3</c:v>
                </c:pt>
                <c:pt idx="352">
                  <c:v>6</c:v>
                </c:pt>
                <c:pt idx="353">
                  <c:v>1</c:v>
                </c:pt>
                <c:pt idx="354">
                  <c:v>2</c:v>
                </c:pt>
                <c:pt idx="355">
                  <c:v>1</c:v>
                </c:pt>
                <c:pt idx="356">
                  <c:v>5</c:v>
                </c:pt>
                <c:pt idx="357">
                  <c:v>1</c:v>
                </c:pt>
                <c:pt idx="358">
                  <c:v>2</c:v>
                </c:pt>
                <c:pt idx="359">
                  <c:v>26</c:v>
                </c:pt>
                <c:pt idx="360">
                  <c:v>2</c:v>
                </c:pt>
                <c:pt idx="361">
                  <c:v>1</c:v>
                </c:pt>
                <c:pt idx="362">
                  <c:v>1</c:v>
                </c:pt>
                <c:pt idx="363">
                  <c:v>3</c:v>
                </c:pt>
                <c:pt idx="364">
                  <c:v>5</c:v>
                </c:pt>
                <c:pt idx="365">
                  <c:v>2</c:v>
                </c:pt>
                <c:pt idx="366">
                  <c:v>1</c:v>
                </c:pt>
                <c:pt idx="367">
                  <c:v>3</c:v>
                </c:pt>
                <c:pt idx="368">
                  <c:v>3</c:v>
                </c:pt>
                <c:pt idx="369">
                  <c:v>1</c:v>
                </c:pt>
                <c:pt idx="370">
                  <c:v>1</c:v>
                </c:pt>
                <c:pt idx="371">
                  <c:v>2</c:v>
                </c:pt>
                <c:pt idx="372">
                  <c:v>1</c:v>
                </c:pt>
                <c:pt idx="373">
                  <c:v>1</c:v>
                </c:pt>
                <c:pt idx="374">
                  <c:v>1</c:v>
                </c:pt>
              </c:numCache>
            </c:numRef>
          </c:val>
          <c:smooth val="0"/>
          <c:extLst>
            <c:ext xmlns:c16="http://schemas.microsoft.com/office/drawing/2014/chart" uri="{C3380CC4-5D6E-409C-BE32-E72D297353CC}">
              <c16:uniqueId val="{00000000-E972-4BEA-ACEB-B61687EBDEED}"/>
            </c:ext>
          </c:extLst>
        </c:ser>
        <c:dLbls>
          <c:showLegendKey val="0"/>
          <c:showVal val="0"/>
          <c:showCatName val="0"/>
          <c:showSerName val="0"/>
          <c:showPercent val="0"/>
          <c:showBubbleSize val="0"/>
        </c:dLbls>
        <c:smooth val="0"/>
        <c:axId val="760353024"/>
        <c:axId val="760351584"/>
      </c:lineChart>
      <c:catAx>
        <c:axId val="7603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51584"/>
        <c:crosses val="autoZero"/>
        <c:auto val="1"/>
        <c:lblAlgn val="ctr"/>
        <c:lblOffset val="100"/>
        <c:noMultiLvlLbl val="0"/>
      </c:catAx>
      <c:valAx>
        <c:axId val="7603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530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Table!PivotTable9</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Monthly Sales</a:t>
            </a:r>
          </a:p>
        </c:rich>
      </c:tx>
      <c:layout>
        <c:manualLayout>
          <c:xMode val="edge"/>
          <c:yMode val="edge"/>
          <c:x val="0.29388240263070559"/>
          <c:y val="0.11482939632545931"/>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9493669613136"/>
          <c:y val="0.270246062992126"/>
          <c:w val="0.6895534035257086"/>
          <c:h val="0.35307480314960632"/>
        </c:manualLayout>
      </c:layout>
      <c:barChart>
        <c:barDir val="col"/>
        <c:grouping val="clustered"/>
        <c:varyColors val="0"/>
        <c:ser>
          <c:idx val="0"/>
          <c:order val="0"/>
          <c:tx>
            <c:strRef>
              <c:f>'Pivot Table'!$B$495</c:f>
              <c:strCache>
                <c:ptCount val="1"/>
                <c:pt idx="0">
                  <c:v>Total</c:v>
                </c:pt>
              </c:strCache>
            </c:strRef>
          </c:tx>
          <c:spPr>
            <a:solidFill>
              <a:schemeClr val="accent2"/>
            </a:solidFill>
            <a:ln>
              <a:noFill/>
            </a:ln>
            <a:effectLst/>
          </c:spPr>
          <c:invertIfNegative val="0"/>
          <c:cat>
            <c:strRef>
              <c:f>'Pivot Table'!$A$496:$A$508</c:f>
              <c:strCache>
                <c:ptCount val="12"/>
                <c:pt idx="0">
                  <c:v>August</c:v>
                </c:pt>
                <c:pt idx="1">
                  <c:v>December</c:v>
                </c:pt>
                <c:pt idx="2">
                  <c:v>May</c:v>
                </c:pt>
                <c:pt idx="3">
                  <c:v>January</c:v>
                </c:pt>
                <c:pt idx="4">
                  <c:v>November</c:v>
                </c:pt>
                <c:pt idx="5">
                  <c:v>September</c:v>
                </c:pt>
                <c:pt idx="6">
                  <c:v>October</c:v>
                </c:pt>
                <c:pt idx="7">
                  <c:v>July</c:v>
                </c:pt>
                <c:pt idx="8">
                  <c:v>February</c:v>
                </c:pt>
                <c:pt idx="9">
                  <c:v>April</c:v>
                </c:pt>
                <c:pt idx="10">
                  <c:v>March</c:v>
                </c:pt>
                <c:pt idx="11">
                  <c:v>June</c:v>
                </c:pt>
              </c:strCache>
            </c:strRef>
          </c:cat>
          <c:val>
            <c:numRef>
              <c:f>'Pivot Table'!$B$496:$B$508</c:f>
              <c:numCache>
                <c:formatCode>General</c:formatCode>
                <c:ptCount val="12"/>
                <c:pt idx="0">
                  <c:v>2326.9</c:v>
                </c:pt>
                <c:pt idx="1">
                  <c:v>3089.6600000000003</c:v>
                </c:pt>
                <c:pt idx="2">
                  <c:v>3247.98</c:v>
                </c:pt>
                <c:pt idx="3">
                  <c:v>3503.0350000000008</c:v>
                </c:pt>
                <c:pt idx="4">
                  <c:v>3548.4299999999994</c:v>
                </c:pt>
                <c:pt idx="5">
                  <c:v>3633.6449999999991</c:v>
                </c:pt>
                <c:pt idx="6">
                  <c:v>3800.0750000000007</c:v>
                </c:pt>
                <c:pt idx="7">
                  <c:v>3982.915</c:v>
                </c:pt>
                <c:pt idx="8">
                  <c:v>4138.2050000000008</c:v>
                </c:pt>
                <c:pt idx="9">
                  <c:v>4224.5949999999993</c:v>
                </c:pt>
                <c:pt idx="10">
                  <c:v>4795.7750000000015</c:v>
                </c:pt>
                <c:pt idx="11">
                  <c:v>4843.04</c:v>
                </c:pt>
              </c:numCache>
            </c:numRef>
          </c:val>
          <c:extLst>
            <c:ext xmlns:c16="http://schemas.microsoft.com/office/drawing/2014/chart" uri="{C3380CC4-5D6E-409C-BE32-E72D297353CC}">
              <c16:uniqueId val="{00000000-6371-482B-8235-D0F4C0EF270E}"/>
            </c:ext>
          </c:extLst>
        </c:ser>
        <c:dLbls>
          <c:showLegendKey val="0"/>
          <c:showVal val="0"/>
          <c:showCatName val="0"/>
          <c:showSerName val="0"/>
          <c:showPercent val="0"/>
          <c:showBubbleSize val="0"/>
        </c:dLbls>
        <c:gapWidth val="219"/>
        <c:overlap val="-27"/>
        <c:axId val="540220432"/>
        <c:axId val="540220912"/>
      </c:barChart>
      <c:catAx>
        <c:axId val="54022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0912"/>
        <c:crosses val="autoZero"/>
        <c:auto val="1"/>
        <c:lblAlgn val="ctr"/>
        <c:lblOffset val="100"/>
        <c:noMultiLvlLbl val="0"/>
      </c:catAx>
      <c:valAx>
        <c:axId val="54022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Table!PivotTable2</c:name>
    <c:fmtId val="2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Total Sales by Countries</a:t>
            </a:r>
          </a:p>
        </c:rich>
      </c:tx>
      <c:layout>
        <c:manualLayout>
          <c:xMode val="edge"/>
          <c:yMode val="edge"/>
          <c:x val="0.29080459770114947"/>
          <c:y val="0.10239230909311935"/>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hade val="65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tint val="65000"/>
            </a:schemeClr>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hade val="65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tint val="65000"/>
            </a:schemeClr>
          </a:solidFill>
          <a:ln w="19050">
            <a:solidFill>
              <a:schemeClr val="lt1"/>
            </a:solidFill>
          </a:ln>
          <a:effectLst/>
        </c:spPr>
      </c:pivotFmt>
    </c:pivotFmts>
    <c:plotArea>
      <c:layout>
        <c:manualLayout>
          <c:layoutTarget val="inner"/>
          <c:xMode val="edge"/>
          <c:yMode val="edge"/>
          <c:x val="0.23216338582677165"/>
          <c:y val="0.27435530307618244"/>
          <c:w val="0.32848731408573928"/>
          <c:h val="0.66389029730963889"/>
        </c:manualLayout>
      </c:layout>
      <c:pieChart>
        <c:varyColors val="1"/>
        <c:ser>
          <c:idx val="0"/>
          <c:order val="0"/>
          <c:tx>
            <c:strRef>
              <c:f>'Pivot Table'!$B$24</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A487-4363-A2C2-2B37CE26EF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87-4363-A2C2-2B37CE26EF62}"/>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A487-4363-A2C2-2B37CE26EF62}"/>
              </c:ext>
            </c:extLst>
          </c:dPt>
          <c:cat>
            <c:strRef>
              <c:f>'Pivot Table'!$A$25:$A$28</c:f>
              <c:strCache>
                <c:ptCount val="3"/>
                <c:pt idx="0">
                  <c:v>Ireland</c:v>
                </c:pt>
                <c:pt idx="1">
                  <c:v>United Kingdom</c:v>
                </c:pt>
                <c:pt idx="2">
                  <c:v>United States</c:v>
                </c:pt>
              </c:strCache>
            </c:strRef>
          </c:cat>
          <c:val>
            <c:numRef>
              <c:f>'Pivot Table'!$B$25:$B$28</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6-A487-4363-A2C2-2B37CE26EF6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497283993346988"/>
          <c:y val="0.34407017914706972"/>
          <c:w val="0.32572313076250087"/>
          <c:h val="0.65574732688615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Table!PivotTable10</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Coffee</a:t>
            </a:r>
            <a:r>
              <a:rPr lang="en-US" sz="1200" baseline="0"/>
              <a:t> type over Months</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3889099663591"/>
          <c:y val="0.1851473661333734"/>
          <c:w val="0.75132000620614858"/>
          <c:h val="0.43963884514435697"/>
        </c:manualLayout>
      </c:layout>
      <c:barChart>
        <c:barDir val="col"/>
        <c:grouping val="clustered"/>
        <c:varyColors val="0"/>
        <c:ser>
          <c:idx val="0"/>
          <c:order val="0"/>
          <c:tx>
            <c:strRef>
              <c:f>'Pivot Table'!$B$513:$B$514</c:f>
              <c:strCache>
                <c:ptCount val="1"/>
                <c:pt idx="0">
                  <c:v>Arabica</c:v>
                </c:pt>
              </c:strCache>
            </c:strRef>
          </c:tx>
          <c:spPr>
            <a:solidFill>
              <a:schemeClr val="accent2">
                <a:shade val="58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Table'!$B$515:$B$527</c:f>
              <c:numCache>
                <c:formatCode>General</c:formatCode>
                <c:ptCount val="12"/>
                <c:pt idx="0">
                  <c:v>605.14499999999998</c:v>
                </c:pt>
                <c:pt idx="1">
                  <c:v>1454.4949999999994</c:v>
                </c:pt>
                <c:pt idx="2">
                  <c:v>1051.48</c:v>
                </c:pt>
                <c:pt idx="3">
                  <c:v>634.34499999999991</c:v>
                </c:pt>
                <c:pt idx="4">
                  <c:v>736.61500000000001</c:v>
                </c:pt>
                <c:pt idx="5">
                  <c:v>1357.9899999999996</c:v>
                </c:pt>
                <c:pt idx="6">
                  <c:v>1131.9349999999997</c:v>
                </c:pt>
                <c:pt idx="7">
                  <c:v>761.31000000000006</c:v>
                </c:pt>
                <c:pt idx="8">
                  <c:v>1145.79</c:v>
                </c:pt>
                <c:pt idx="9">
                  <c:v>977.08500000000004</c:v>
                </c:pt>
                <c:pt idx="10">
                  <c:v>1151.3399999999999</c:v>
                </c:pt>
                <c:pt idx="11">
                  <c:v>760.96499999999992</c:v>
                </c:pt>
              </c:numCache>
            </c:numRef>
          </c:val>
          <c:extLst>
            <c:ext xmlns:c16="http://schemas.microsoft.com/office/drawing/2014/chart" uri="{C3380CC4-5D6E-409C-BE32-E72D297353CC}">
              <c16:uniqueId val="{00000000-06AA-411B-8EBC-D4D768EAA8AF}"/>
            </c:ext>
          </c:extLst>
        </c:ser>
        <c:ser>
          <c:idx val="1"/>
          <c:order val="1"/>
          <c:tx>
            <c:strRef>
              <c:f>'Pivot Table'!$C$513:$C$514</c:f>
              <c:strCache>
                <c:ptCount val="1"/>
                <c:pt idx="0">
                  <c:v>Excelsa</c:v>
                </c:pt>
              </c:strCache>
            </c:strRef>
          </c:tx>
          <c:spPr>
            <a:solidFill>
              <a:schemeClr val="accent2">
                <a:shade val="86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Table'!$C$515:$C$527</c:f>
              <c:numCache>
                <c:formatCode>General</c:formatCode>
                <c:ptCount val="12"/>
                <c:pt idx="0">
                  <c:v>677.71999999999991</c:v>
                </c:pt>
                <c:pt idx="1">
                  <c:v>976.41</c:v>
                </c:pt>
                <c:pt idx="2">
                  <c:v>1264.1399999999999</c:v>
                </c:pt>
                <c:pt idx="3">
                  <c:v>1560.23</c:v>
                </c:pt>
                <c:pt idx="4">
                  <c:v>970.33000000000015</c:v>
                </c:pt>
                <c:pt idx="5">
                  <c:v>1598.1949999999995</c:v>
                </c:pt>
                <c:pt idx="6">
                  <c:v>1141.5549999999996</c:v>
                </c:pt>
                <c:pt idx="7">
                  <c:v>478.59</c:v>
                </c:pt>
                <c:pt idx="8">
                  <c:v>771.08499999999992</c:v>
                </c:pt>
                <c:pt idx="9">
                  <c:v>937.33</c:v>
                </c:pt>
                <c:pt idx="10">
                  <c:v>771.38</c:v>
                </c:pt>
                <c:pt idx="11">
                  <c:v>1159.4749999999999</c:v>
                </c:pt>
              </c:numCache>
            </c:numRef>
          </c:val>
          <c:extLst>
            <c:ext xmlns:c16="http://schemas.microsoft.com/office/drawing/2014/chart" uri="{C3380CC4-5D6E-409C-BE32-E72D297353CC}">
              <c16:uniqueId val="{00000011-06AA-411B-8EBC-D4D768EAA8AF}"/>
            </c:ext>
          </c:extLst>
        </c:ser>
        <c:ser>
          <c:idx val="2"/>
          <c:order val="2"/>
          <c:tx>
            <c:strRef>
              <c:f>'Pivot Table'!$D$513:$D$514</c:f>
              <c:strCache>
                <c:ptCount val="1"/>
                <c:pt idx="0">
                  <c:v>Liberica</c:v>
                </c:pt>
              </c:strCache>
            </c:strRef>
          </c:tx>
          <c:spPr>
            <a:solidFill>
              <a:schemeClr val="accent2">
                <a:tint val="86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Table'!$D$515:$D$527</c:f>
              <c:numCache>
                <c:formatCode>General</c:formatCode>
                <c:ptCount val="12"/>
                <c:pt idx="0">
                  <c:v>1611.0699999999995</c:v>
                </c:pt>
                <c:pt idx="1">
                  <c:v>971.21999999999969</c:v>
                </c:pt>
                <c:pt idx="2">
                  <c:v>1469.8100000000002</c:v>
                </c:pt>
                <c:pt idx="3">
                  <c:v>1324.6350000000002</c:v>
                </c:pt>
                <c:pt idx="4">
                  <c:v>836.755</c:v>
                </c:pt>
                <c:pt idx="5">
                  <c:v>906.07499999999982</c:v>
                </c:pt>
                <c:pt idx="6">
                  <c:v>752.53500000000008</c:v>
                </c:pt>
                <c:pt idx="7">
                  <c:v>335.84999999999991</c:v>
                </c:pt>
                <c:pt idx="8">
                  <c:v>699.76999999999987</c:v>
                </c:pt>
                <c:pt idx="9">
                  <c:v>1241.1599999999996</c:v>
                </c:pt>
                <c:pt idx="10">
                  <c:v>1235.7449999999999</c:v>
                </c:pt>
                <c:pt idx="11">
                  <c:v>669.44999999999982</c:v>
                </c:pt>
              </c:numCache>
            </c:numRef>
          </c:val>
          <c:extLst>
            <c:ext xmlns:c16="http://schemas.microsoft.com/office/drawing/2014/chart" uri="{C3380CC4-5D6E-409C-BE32-E72D297353CC}">
              <c16:uniqueId val="{00000012-06AA-411B-8EBC-D4D768EAA8AF}"/>
            </c:ext>
          </c:extLst>
        </c:ser>
        <c:ser>
          <c:idx val="3"/>
          <c:order val="3"/>
          <c:tx>
            <c:strRef>
              <c:f>'Pivot Table'!$E$513:$E$514</c:f>
              <c:strCache>
                <c:ptCount val="1"/>
                <c:pt idx="0">
                  <c:v>Robusta</c:v>
                </c:pt>
              </c:strCache>
            </c:strRef>
          </c:tx>
          <c:spPr>
            <a:solidFill>
              <a:schemeClr val="accent2">
                <a:tint val="58000"/>
              </a:schemeClr>
            </a:solidFill>
            <a:ln>
              <a:noFill/>
            </a:ln>
            <a:effectLst/>
          </c:spPr>
          <c:invertIfNegative val="0"/>
          <c:cat>
            <c:strRef>
              <c:f>'Pivot Table'!$A$515:$A$527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Table'!$E$515:$E$527</c:f>
              <c:numCache>
                <c:formatCode>General</c:formatCode>
                <c:ptCount val="12"/>
                <c:pt idx="0">
                  <c:v>609.09999999999991</c:v>
                </c:pt>
                <c:pt idx="1">
                  <c:v>736.07999999999981</c:v>
                </c:pt>
                <c:pt idx="2">
                  <c:v>1010.3450000000001</c:v>
                </c:pt>
                <c:pt idx="3">
                  <c:v>705.38499999999999</c:v>
                </c:pt>
                <c:pt idx="4">
                  <c:v>704.28000000000009</c:v>
                </c:pt>
                <c:pt idx="5">
                  <c:v>980.77999999999975</c:v>
                </c:pt>
                <c:pt idx="6">
                  <c:v>956.89</c:v>
                </c:pt>
                <c:pt idx="7">
                  <c:v>751.15</c:v>
                </c:pt>
                <c:pt idx="8">
                  <c:v>1016.9999999999999</c:v>
                </c:pt>
                <c:pt idx="9">
                  <c:v>644.49999999999989</c:v>
                </c:pt>
                <c:pt idx="10">
                  <c:v>389.96499999999997</c:v>
                </c:pt>
                <c:pt idx="11">
                  <c:v>499.77</c:v>
                </c:pt>
              </c:numCache>
            </c:numRef>
          </c:val>
          <c:extLst>
            <c:ext xmlns:c16="http://schemas.microsoft.com/office/drawing/2014/chart" uri="{C3380CC4-5D6E-409C-BE32-E72D297353CC}">
              <c16:uniqueId val="{00000013-06AA-411B-8EBC-D4D768EAA8AF}"/>
            </c:ext>
          </c:extLst>
        </c:ser>
        <c:dLbls>
          <c:showLegendKey val="0"/>
          <c:showVal val="0"/>
          <c:showCatName val="0"/>
          <c:showSerName val="0"/>
          <c:showPercent val="0"/>
          <c:showBubbleSize val="0"/>
        </c:dLbls>
        <c:gapWidth val="219"/>
        <c:overlap val="-27"/>
        <c:axId val="540222352"/>
        <c:axId val="540223312"/>
      </c:barChart>
      <c:catAx>
        <c:axId val="54022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3312"/>
        <c:crosses val="autoZero"/>
        <c:auto val="1"/>
        <c:lblAlgn val="ctr"/>
        <c:lblOffset val="100"/>
        <c:noMultiLvlLbl val="0"/>
      </c:catAx>
      <c:valAx>
        <c:axId val="54022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[coffeeOrderdata- pivot table - Dashboard.xlsx]Pivot Table!PivotTable6</c:name>
    <c:fmtId val="1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Customers and City</a:t>
            </a:r>
          </a:p>
        </c:rich>
      </c:tx>
      <c:layout>
        <c:manualLayout>
          <c:xMode val="edge"/>
          <c:yMode val="edge"/>
          <c:x val="0.34267502612330197"/>
          <c:y val="0.16646911827989461"/>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2668331507106"/>
          <c:y val="0.26232020997375327"/>
          <c:w val="0.84910837601610478"/>
          <c:h val="0.24702452193475816"/>
        </c:manualLayout>
      </c:layout>
      <c:lineChart>
        <c:grouping val="stacked"/>
        <c:varyColors val="0"/>
        <c:ser>
          <c:idx val="0"/>
          <c:order val="0"/>
          <c:tx>
            <c:strRef>
              <c:f>'Pivot Table'!$B$87</c:f>
              <c:strCache>
                <c:ptCount val="1"/>
                <c:pt idx="0">
                  <c:v>Total</c:v>
                </c:pt>
              </c:strCache>
            </c:strRef>
          </c:tx>
          <c:spPr>
            <a:ln w="28575" cap="rnd">
              <a:solidFill>
                <a:schemeClr val="accent2"/>
              </a:solidFill>
              <a:round/>
            </a:ln>
            <a:effectLst/>
          </c:spPr>
          <c:marker>
            <c:symbol val="none"/>
          </c:marker>
          <c:cat>
            <c:strRef>
              <c:f>'Pivot Table'!$A$88:$A$463</c:f>
              <c:strCache>
                <c:ptCount val="375"/>
                <c:pt idx="0">
                  <c:v>Adare</c:v>
                </c:pt>
                <c:pt idx="1">
                  <c:v>Akron</c:v>
                </c:pt>
                <c:pt idx="2">
                  <c:v>Albany</c:v>
                </c:pt>
                <c:pt idx="3">
                  <c:v>Albuquerque</c:v>
                </c:pt>
                <c:pt idx="4">
                  <c:v>Alexandria</c:v>
                </c:pt>
                <c:pt idx="5">
                  <c:v>Alhambra</c:v>
                </c:pt>
                <c:pt idx="6">
                  <c:v>Allentown</c:v>
                </c:pt>
                <c:pt idx="7">
                  <c:v>Amarillo</c:v>
                </c:pt>
                <c:pt idx="8">
                  <c:v>Anaheim</c:v>
                </c:pt>
                <c:pt idx="9">
                  <c:v>Anchorage</c:v>
                </c:pt>
                <c:pt idx="10">
                  <c:v>Arklow</c:v>
                </c:pt>
                <c:pt idx="11">
                  <c:v>Arlington</c:v>
                </c:pt>
                <c:pt idx="12">
                  <c:v>Ashbourne</c:v>
                </c:pt>
                <c:pt idx="13">
                  <c:v>Asheville</c:v>
                </c:pt>
                <c:pt idx="14">
                  <c:v>Ashford</c:v>
                </c:pt>
                <c:pt idx="15">
                  <c:v>Ashley</c:v>
                </c:pt>
                <c:pt idx="16">
                  <c:v>Atlanta</c:v>
                </c:pt>
                <c:pt idx="17">
                  <c:v>Aurora</c:v>
                </c:pt>
                <c:pt idx="18">
                  <c:v>Austin</c:v>
                </c:pt>
                <c:pt idx="19">
                  <c:v>Bagenalstown</c:v>
                </c:pt>
                <c:pt idx="20">
                  <c:v>Bailieborough</c:v>
                </c:pt>
                <c:pt idx="21">
                  <c:v>Bakersfield</c:v>
                </c:pt>
                <c:pt idx="22">
                  <c:v>Balally</c:v>
                </c:pt>
                <c:pt idx="23">
                  <c:v>Ballina</c:v>
                </c:pt>
                <c:pt idx="24">
                  <c:v>Ballinroad</c:v>
                </c:pt>
                <c:pt idx="25">
                  <c:v>Ballinteer</c:v>
                </c:pt>
                <c:pt idx="26">
                  <c:v>Ballisodare</c:v>
                </c:pt>
                <c:pt idx="27">
                  <c:v>Ballivor</c:v>
                </c:pt>
                <c:pt idx="28">
                  <c:v>Ballyboden</c:v>
                </c:pt>
                <c:pt idx="29">
                  <c:v>Ballybofey</c:v>
                </c:pt>
                <c:pt idx="30">
                  <c:v>Ballylinan</c:v>
                </c:pt>
                <c:pt idx="31">
                  <c:v>Ballymahon</c:v>
                </c:pt>
                <c:pt idx="32">
                  <c:v>Ballymun</c:v>
                </c:pt>
                <c:pt idx="33">
                  <c:v>Balrothery</c:v>
                </c:pt>
                <c:pt idx="34">
                  <c:v>Baltimore</c:v>
                </c:pt>
                <c:pt idx="35">
                  <c:v>Bantry</c:v>
                </c:pt>
                <c:pt idx="36">
                  <c:v>Baton Rouge</c:v>
                </c:pt>
                <c:pt idx="37">
                  <c:v>Battle Creek</c:v>
                </c:pt>
                <c:pt idx="38">
                  <c:v>Bayside</c:v>
                </c:pt>
                <c:pt idx="39">
                  <c:v>Beaumont</c:v>
                </c:pt>
                <c:pt idx="40">
                  <c:v>Belfast</c:v>
                </c:pt>
                <c:pt idx="41">
                  <c:v>Bethlehem</c:v>
                </c:pt>
                <c:pt idx="42">
                  <c:v>Billings</c:v>
                </c:pt>
                <c:pt idx="43">
                  <c:v>Birmingham</c:v>
                </c:pt>
                <c:pt idx="44">
                  <c:v>Boca Raton</c:v>
                </c:pt>
                <c:pt idx="45">
                  <c:v>Boise</c:v>
                </c:pt>
                <c:pt idx="46">
                  <c:v>Booterstown</c:v>
                </c:pt>
                <c:pt idx="47">
                  <c:v>Boston</c:v>
                </c:pt>
                <c:pt idx="48">
                  <c:v>Boulder</c:v>
                </c:pt>
                <c:pt idx="49">
                  <c:v>Boyle</c:v>
                </c:pt>
                <c:pt idx="50">
                  <c:v>Boynton Beach</c:v>
                </c:pt>
                <c:pt idx="51">
                  <c:v>Bradenton</c:v>
                </c:pt>
                <c:pt idx="52">
                  <c:v>Bristol</c:v>
                </c:pt>
                <c:pt idx="53">
                  <c:v>Bronx</c:v>
                </c:pt>
                <c:pt idx="54">
                  <c:v>Brooklyn</c:v>
                </c:pt>
                <c:pt idx="55">
                  <c:v>Buffalo</c:v>
                </c:pt>
                <c:pt idx="56">
                  <c:v>Bundoran</c:v>
                </c:pt>
                <c:pt idx="57">
                  <c:v>Burbank</c:v>
                </c:pt>
                <c:pt idx="58">
                  <c:v>Caherconlish</c:v>
                </c:pt>
                <c:pt idx="59">
                  <c:v>Camden</c:v>
                </c:pt>
                <c:pt idx="60">
                  <c:v>Canton</c:v>
                </c:pt>
                <c:pt idx="61">
                  <c:v>Carlton</c:v>
                </c:pt>
                <c:pt idx="62">
                  <c:v>Carson City</c:v>
                </c:pt>
                <c:pt idx="63">
                  <c:v>Castlebellingham</c:v>
                </c:pt>
                <c:pt idx="64">
                  <c:v>Castleblayney</c:v>
                </c:pt>
                <c:pt idx="65">
                  <c:v>Castlebridge</c:v>
                </c:pt>
                <c:pt idx="66">
                  <c:v>Castleknock</c:v>
                </c:pt>
                <c:pt idx="67">
                  <c:v>Castlemartyr</c:v>
                </c:pt>
                <c:pt idx="68">
                  <c:v>Castlerea</c:v>
                </c:pt>
                <c:pt idx="69">
                  <c:v>Cavan</c:v>
                </c:pt>
                <c:pt idx="70">
                  <c:v>Cedar Rapids</c:v>
                </c:pt>
                <c:pt idx="71">
                  <c:v>Champaign</c:v>
                </c:pt>
                <c:pt idx="72">
                  <c:v>Charlesland</c:v>
                </c:pt>
                <c:pt idx="73">
                  <c:v>Charleston</c:v>
                </c:pt>
                <c:pt idx="74">
                  <c:v>Charlotte</c:v>
                </c:pt>
                <c:pt idx="75">
                  <c:v>Charlottesville</c:v>
                </c:pt>
                <c:pt idx="76">
                  <c:v>Charlton</c:v>
                </c:pt>
                <c:pt idx="77">
                  <c:v>Chattanooga</c:v>
                </c:pt>
                <c:pt idx="78">
                  <c:v>Cherryville</c:v>
                </c:pt>
                <c:pt idx="79">
                  <c:v>Cheyenne</c:v>
                </c:pt>
                <c:pt idx="80">
                  <c:v>Chicago</c:v>
                </c:pt>
                <c:pt idx="81">
                  <c:v>Chico</c:v>
                </c:pt>
                <c:pt idx="82">
                  <c:v>Church End</c:v>
                </c:pt>
                <c:pt idx="83">
                  <c:v>Cill Airne</c:v>
                </c:pt>
                <c:pt idx="84">
                  <c:v>Cincinnati</c:v>
                </c:pt>
                <c:pt idx="85">
                  <c:v>Clearwater</c:v>
                </c:pt>
                <c:pt idx="86">
                  <c:v>Cleveland</c:v>
                </c:pt>
                <c:pt idx="87">
                  <c:v>Clones</c:v>
                </c:pt>
                <c:pt idx="88">
                  <c:v>Clonskeagh</c:v>
                </c:pt>
                <c:pt idx="89">
                  <c:v>Cluain Meala</c:v>
                </c:pt>
                <c:pt idx="90">
                  <c:v>Colorado Springs</c:v>
                </c:pt>
                <c:pt idx="91">
                  <c:v>Columbia</c:v>
                </c:pt>
                <c:pt idx="92">
                  <c:v>Columbus</c:v>
                </c:pt>
                <c:pt idx="93">
                  <c:v>Confey</c:v>
                </c:pt>
                <c:pt idx="94">
                  <c:v>Conroe</c:v>
                </c:pt>
                <c:pt idx="95">
                  <c:v>Coolock</c:v>
                </c:pt>
                <c:pt idx="96">
                  <c:v>Corona</c:v>
                </c:pt>
                <c:pt idx="97">
                  <c:v>Corpus Christi</c:v>
                </c:pt>
                <c:pt idx="98">
                  <c:v>Craigavon</c:v>
                </c:pt>
                <c:pt idx="99">
                  <c:v>Crossmolina</c:v>
                </c:pt>
                <c:pt idx="100">
                  <c:v>Crumlin</c:v>
                </c:pt>
                <c:pt idx="101">
                  <c:v>Daingean</c:v>
                </c:pt>
                <c:pt idx="102">
                  <c:v>Dallas</c:v>
                </c:pt>
                <c:pt idx="103">
                  <c:v>Danbury</c:v>
                </c:pt>
                <c:pt idx="104">
                  <c:v>Dayton</c:v>
                </c:pt>
                <c:pt idx="105">
                  <c:v>Daytona Beach</c:v>
                </c:pt>
                <c:pt idx="106">
                  <c:v>Decatur</c:v>
                </c:pt>
                <c:pt idx="107">
                  <c:v>Denton</c:v>
                </c:pt>
                <c:pt idx="108">
                  <c:v>Denver</c:v>
                </c:pt>
                <c:pt idx="109">
                  <c:v>Des Moines</c:v>
                </c:pt>
                <c:pt idx="110">
                  <c:v>Detroit</c:v>
                </c:pt>
                <c:pt idx="111">
                  <c:v>Drumcondra</c:v>
                </c:pt>
                <c:pt idx="112">
                  <c:v>Dublin</c:v>
                </c:pt>
                <c:pt idx="113">
                  <c:v>Dulles</c:v>
                </c:pt>
                <c:pt idx="114">
                  <c:v>Duluth</c:v>
                </c:pt>
                <c:pt idx="115">
                  <c:v>Dungarvan</c:v>
                </c:pt>
                <c:pt idx="116">
                  <c:v>Dunmanway</c:v>
                </c:pt>
                <c:pt idx="117">
                  <c:v>Durham</c:v>
                </c:pt>
                <c:pt idx="118">
                  <c:v>D煤n Laoghaire</c:v>
                </c:pt>
                <c:pt idx="119">
                  <c:v>Eadestown</c:v>
                </c:pt>
                <c:pt idx="120">
                  <c:v>East End</c:v>
                </c:pt>
                <c:pt idx="121">
                  <c:v>Eaton</c:v>
                </c:pt>
                <c:pt idx="122">
                  <c:v>Edgeworthstown</c:v>
                </c:pt>
                <c:pt idx="123">
                  <c:v>Edinburgh</c:v>
                </c:pt>
                <c:pt idx="124">
                  <c:v>El Paso</c:v>
                </c:pt>
                <c:pt idx="125">
                  <c:v>Englewood</c:v>
                </c:pt>
                <c:pt idx="126">
                  <c:v>Erie</c:v>
                </c:pt>
                <c:pt idx="127">
                  <c:v>Evansville</c:v>
                </c:pt>
                <c:pt idx="128">
                  <c:v>Fairbanks</c:v>
                </c:pt>
                <c:pt idx="129">
                  <c:v>Fargo</c:v>
                </c:pt>
                <c:pt idx="130">
                  <c:v>Farranacoush</c:v>
                </c:pt>
                <c:pt idx="131">
                  <c:v>Fermoy</c:v>
                </c:pt>
                <c:pt idx="132">
                  <c:v>Florence</c:v>
                </c:pt>
                <c:pt idx="133">
                  <c:v>Flushing</c:v>
                </c:pt>
                <c:pt idx="134">
                  <c:v>Ford</c:v>
                </c:pt>
                <c:pt idx="135">
                  <c:v>Fort Lauderdale</c:v>
                </c:pt>
                <c:pt idx="136">
                  <c:v>Fort Pierce</c:v>
                </c:pt>
                <c:pt idx="137">
                  <c:v>Fort Smith</c:v>
                </c:pt>
                <c:pt idx="138">
                  <c:v>Fort Wayne</c:v>
                </c:pt>
                <c:pt idx="139">
                  <c:v>Fort Worth</c:v>
                </c:pt>
                <c:pt idx="140">
                  <c:v>Foxrock</c:v>
                </c:pt>
                <c:pt idx="141">
                  <c:v>Fresno</c:v>
                </c:pt>
                <c:pt idx="142">
                  <c:v>Gainesville</c:v>
                </c:pt>
                <c:pt idx="143">
                  <c:v>Garden Grove</c:v>
                </c:pt>
                <c:pt idx="144">
                  <c:v>Garland</c:v>
                </c:pt>
                <c:pt idx="145">
                  <c:v>Glasnevin</c:v>
                </c:pt>
                <c:pt idx="146">
                  <c:v>Gorey</c:v>
                </c:pt>
                <c:pt idx="147">
                  <c:v>Grand Forks</c:v>
                </c:pt>
                <c:pt idx="148">
                  <c:v>Grand Rapids</c:v>
                </c:pt>
                <c:pt idx="149">
                  <c:v>Greensboro</c:v>
                </c:pt>
                <c:pt idx="150">
                  <c:v>Greystones</c:v>
                </c:pt>
                <c:pt idx="151">
                  <c:v>Hagerstown</c:v>
                </c:pt>
                <c:pt idx="152">
                  <c:v>Halton</c:v>
                </c:pt>
                <c:pt idx="153">
                  <c:v>Hampton</c:v>
                </c:pt>
                <c:pt idx="154">
                  <c:v>Harrisburg</c:v>
                </c:pt>
                <c:pt idx="155">
                  <c:v>Hartford</c:v>
                </c:pt>
                <c:pt idx="156">
                  <c:v>Hicksville</c:v>
                </c:pt>
                <c:pt idx="157">
                  <c:v>High Point</c:v>
                </c:pt>
                <c:pt idx="158">
                  <c:v>Hollywood</c:v>
                </c:pt>
                <c:pt idx="159">
                  <c:v>Honolulu</c:v>
                </c:pt>
                <c:pt idx="160">
                  <c:v>Houston</c:v>
                </c:pt>
                <c:pt idx="161">
                  <c:v>Huntington</c:v>
                </c:pt>
                <c:pt idx="162">
                  <c:v>Huntington Beach</c:v>
                </c:pt>
                <c:pt idx="163">
                  <c:v>Huntsville</c:v>
                </c:pt>
                <c:pt idx="164">
                  <c:v>Hyattsville</c:v>
                </c:pt>
                <c:pt idx="165">
                  <c:v>Independence</c:v>
                </c:pt>
                <c:pt idx="166">
                  <c:v>Indianapolis</c:v>
                </c:pt>
                <c:pt idx="167">
                  <c:v>Irvine</c:v>
                </c:pt>
                <c:pt idx="168">
                  <c:v>Irving</c:v>
                </c:pt>
                <c:pt idx="169">
                  <c:v>Jackson</c:v>
                </c:pt>
                <c:pt idx="170">
                  <c:v>Jacksonville</c:v>
                </c:pt>
                <c:pt idx="171">
                  <c:v>Jamaica</c:v>
                </c:pt>
                <c:pt idx="172">
                  <c:v>Johnson City</c:v>
                </c:pt>
                <c:pt idx="173">
                  <c:v>Joliet</c:v>
                </c:pt>
                <c:pt idx="174">
                  <c:v>Kansas City</c:v>
                </c:pt>
                <c:pt idx="175">
                  <c:v>Kildare</c:v>
                </c:pt>
                <c:pt idx="176">
                  <c:v>Kilkenny</c:v>
                </c:pt>
                <c:pt idx="177">
                  <c:v>Kill</c:v>
                </c:pt>
                <c:pt idx="178">
                  <c:v>Killorglin</c:v>
                </c:pt>
                <c:pt idx="179">
                  <c:v>Kingsport</c:v>
                </c:pt>
                <c:pt idx="180">
                  <c:v>Kinloch</c:v>
                </c:pt>
                <c:pt idx="181">
                  <c:v>Kinlough</c:v>
                </c:pt>
                <c:pt idx="182">
                  <c:v>Kinnegad</c:v>
                </c:pt>
                <c:pt idx="183">
                  <c:v>Kinsale</c:v>
                </c:pt>
                <c:pt idx="184">
                  <c:v>Kinsealy-Drinan</c:v>
                </c:pt>
                <c:pt idx="185">
                  <c:v>Kirkton</c:v>
                </c:pt>
                <c:pt idx="186">
                  <c:v>Kissimmee</c:v>
                </c:pt>
                <c:pt idx="187">
                  <c:v>Knoxville</c:v>
                </c:pt>
                <c:pt idx="188">
                  <c:v>Lafayette</c:v>
                </c:pt>
                <c:pt idx="189">
                  <c:v>Lakeland</c:v>
                </c:pt>
                <c:pt idx="190">
                  <c:v>Lansing</c:v>
                </c:pt>
                <c:pt idx="191">
                  <c:v>Largo</c:v>
                </c:pt>
                <c:pt idx="192">
                  <c:v>Las Vegas</c:v>
                </c:pt>
                <c:pt idx="193">
                  <c:v>Lawrenceville</c:v>
                </c:pt>
                <c:pt idx="194">
                  <c:v>Lees Summit</c:v>
                </c:pt>
                <c:pt idx="195">
                  <c:v>Leixlip</c:v>
                </c:pt>
                <c:pt idx="196">
                  <c:v>Lexington</c:v>
                </c:pt>
                <c:pt idx="197">
                  <c:v>Lincoln</c:v>
                </c:pt>
                <c:pt idx="198">
                  <c:v>Listowel</c:v>
                </c:pt>
                <c:pt idx="199">
                  <c:v>Little Rock</c:v>
                </c:pt>
                <c:pt idx="200">
                  <c:v>Littleton</c:v>
                </c:pt>
                <c:pt idx="201">
                  <c:v>Liverpool</c:v>
                </c:pt>
                <c:pt idx="202">
                  <c:v>London</c:v>
                </c:pt>
                <c:pt idx="203">
                  <c:v>Long Beach</c:v>
                </c:pt>
                <c:pt idx="204">
                  <c:v>Longford</c:v>
                </c:pt>
                <c:pt idx="205">
                  <c:v>Longwood</c:v>
                </c:pt>
                <c:pt idx="206">
                  <c:v>Los Angeles</c:v>
                </c:pt>
                <c:pt idx="207">
                  <c:v>Loughrea</c:v>
                </c:pt>
                <c:pt idx="208">
                  <c:v>Louisville</c:v>
                </c:pt>
                <c:pt idx="209">
                  <c:v>Lubbock</c:v>
                </c:pt>
                <c:pt idx="210">
                  <c:v>Lucan</c:v>
                </c:pt>
                <c:pt idx="211">
                  <c:v>Lusk</c:v>
                </c:pt>
                <c:pt idx="212">
                  <c:v>Lynchburg</c:v>
                </c:pt>
                <c:pt idx="213">
                  <c:v>Macon</c:v>
                </c:pt>
                <c:pt idx="214">
                  <c:v>Madison</c:v>
                </c:pt>
                <c:pt idx="215">
                  <c:v>Malahide</c:v>
                </c:pt>
                <c:pt idx="216">
                  <c:v>Manchester</c:v>
                </c:pt>
                <c:pt idx="217">
                  <c:v>Manorhamilton</c:v>
                </c:pt>
                <c:pt idx="218">
                  <c:v>Melbourne</c:v>
                </c:pt>
                <c:pt idx="219">
                  <c:v>Memphis</c:v>
                </c:pt>
                <c:pt idx="220">
                  <c:v>Merton</c:v>
                </c:pt>
                <c:pt idx="221">
                  <c:v>Mesa</c:v>
                </c:pt>
                <c:pt idx="222">
                  <c:v>Mesquite</c:v>
                </c:pt>
                <c:pt idx="223">
                  <c:v>Miami</c:v>
                </c:pt>
                <c:pt idx="224">
                  <c:v>Miami Beach</c:v>
                </c:pt>
                <c:pt idx="225">
                  <c:v>Middleton</c:v>
                </c:pt>
                <c:pt idx="226">
                  <c:v>Midland</c:v>
                </c:pt>
                <c:pt idx="227">
                  <c:v>Migrate</c:v>
                </c:pt>
                <c:pt idx="228">
                  <c:v>Milltown</c:v>
                </c:pt>
                <c:pt idx="229">
                  <c:v>Milwaukee</c:v>
                </c:pt>
                <c:pt idx="230">
                  <c:v>Minneapolis</c:v>
                </c:pt>
                <c:pt idx="231">
                  <c:v>Mobile</c:v>
                </c:pt>
                <c:pt idx="232">
                  <c:v>Monaghan</c:v>
                </c:pt>
                <c:pt idx="233">
                  <c:v>Monasterevin</c:v>
                </c:pt>
                <c:pt idx="234">
                  <c:v>Monroe</c:v>
                </c:pt>
                <c:pt idx="235">
                  <c:v>Montgomery</c:v>
                </c:pt>
                <c:pt idx="236">
                  <c:v>Monticello</c:v>
                </c:pt>
                <c:pt idx="237">
                  <c:v>Moycullen</c:v>
                </c:pt>
                <c:pt idx="238">
                  <c:v>Mullagh</c:v>
                </c:pt>
                <c:pt idx="239">
                  <c:v>Murfreesboro</c:v>
                </c:pt>
                <c:pt idx="240">
                  <c:v>Muskegon</c:v>
                </c:pt>
                <c:pt idx="241">
                  <c:v>Naperville</c:v>
                </c:pt>
                <c:pt idx="242">
                  <c:v>Naples</c:v>
                </c:pt>
                <c:pt idx="243">
                  <c:v>Nashville</c:v>
                </c:pt>
                <c:pt idx="244">
                  <c:v>Navan</c:v>
                </c:pt>
                <c:pt idx="245">
                  <c:v>Nenagh</c:v>
                </c:pt>
                <c:pt idx="246">
                  <c:v>New Brunswick</c:v>
                </c:pt>
                <c:pt idx="247">
                  <c:v>New Haven</c:v>
                </c:pt>
                <c:pt idx="248">
                  <c:v>New Hyde Park</c:v>
                </c:pt>
                <c:pt idx="249">
                  <c:v>New Orleans</c:v>
                </c:pt>
                <c:pt idx="250">
                  <c:v>New York City</c:v>
                </c:pt>
                <c:pt idx="251">
                  <c:v>Newark</c:v>
                </c:pt>
                <c:pt idx="252">
                  <c:v>Newbiggin</c:v>
                </c:pt>
                <c:pt idx="253">
                  <c:v>Newmarket on Fergus</c:v>
                </c:pt>
                <c:pt idx="254">
                  <c:v>Newport News</c:v>
                </c:pt>
                <c:pt idx="255">
                  <c:v>Newton</c:v>
                </c:pt>
                <c:pt idx="256">
                  <c:v>Norfolk</c:v>
                </c:pt>
                <c:pt idx="257">
                  <c:v>Normanton</c:v>
                </c:pt>
                <c:pt idx="258">
                  <c:v>Norton</c:v>
                </c:pt>
                <c:pt idx="259">
                  <c:v>Norwalk</c:v>
                </c:pt>
                <c:pt idx="260">
                  <c:v>Oakland</c:v>
                </c:pt>
                <c:pt idx="261">
                  <c:v>Odessa</c:v>
                </c:pt>
                <c:pt idx="262">
                  <c:v>Ogden</c:v>
                </c:pt>
                <c:pt idx="263">
                  <c:v>Oklahoma City</c:v>
                </c:pt>
                <c:pt idx="264">
                  <c:v>Olympia</c:v>
                </c:pt>
                <c:pt idx="265">
                  <c:v>Omaha</c:v>
                </c:pt>
                <c:pt idx="266">
                  <c:v>Orange</c:v>
                </c:pt>
                <c:pt idx="267">
                  <c:v>Orlando</c:v>
                </c:pt>
                <c:pt idx="268">
                  <c:v>Pasadena</c:v>
                </c:pt>
                <c:pt idx="269">
                  <c:v>Paterson</c:v>
                </c:pt>
                <c:pt idx="270">
                  <c:v>Pensacola</c:v>
                </c:pt>
                <c:pt idx="271">
                  <c:v>Petaluma</c:v>
                </c:pt>
                <c:pt idx="272">
                  <c:v>Philadelphia</c:v>
                </c:pt>
                <c:pt idx="273">
                  <c:v>Phoenix</c:v>
                </c:pt>
                <c:pt idx="274">
                  <c:v>Pittsburgh</c:v>
                </c:pt>
                <c:pt idx="275">
                  <c:v>Pompano Beach</c:v>
                </c:pt>
                <c:pt idx="276">
                  <c:v>Port Saint Lucie</c:v>
                </c:pt>
                <c:pt idx="277">
                  <c:v>Port Washington</c:v>
                </c:pt>
                <c:pt idx="278">
                  <c:v>Portarlington</c:v>
                </c:pt>
                <c:pt idx="279">
                  <c:v>Portland</c:v>
                </c:pt>
                <c:pt idx="280">
                  <c:v>Portumna</c:v>
                </c:pt>
                <c:pt idx="281">
                  <c:v>Preston</c:v>
                </c:pt>
                <c:pt idx="282">
                  <c:v>Provo</c:v>
                </c:pt>
                <c:pt idx="283">
                  <c:v>Punta Gorda</c:v>
                </c:pt>
                <c:pt idx="284">
                  <c:v>Racine</c:v>
                </c:pt>
                <c:pt idx="285">
                  <c:v>Raleigh</c:v>
                </c:pt>
                <c:pt idx="286">
                  <c:v>Rathnew</c:v>
                </c:pt>
                <c:pt idx="287">
                  <c:v>Rathwire</c:v>
                </c:pt>
                <c:pt idx="288">
                  <c:v>Reno</c:v>
                </c:pt>
                <c:pt idx="289">
                  <c:v>Reston</c:v>
                </c:pt>
                <c:pt idx="290">
                  <c:v>Richmond</c:v>
                </c:pt>
                <c:pt idx="291">
                  <c:v>Roanoke</c:v>
                </c:pt>
                <c:pt idx="292">
                  <c:v>Rochester</c:v>
                </c:pt>
                <c:pt idx="293">
                  <c:v>Rockford</c:v>
                </c:pt>
                <c:pt idx="294">
                  <c:v>Round Rock</c:v>
                </c:pt>
                <c:pt idx="295">
                  <c:v>Sacramento</c:v>
                </c:pt>
                <c:pt idx="296">
                  <c:v>Saginaw</c:v>
                </c:pt>
                <c:pt idx="297">
                  <c:v>Saint Augustine</c:v>
                </c:pt>
                <c:pt idx="298">
                  <c:v>Saint Cloud</c:v>
                </c:pt>
                <c:pt idx="299">
                  <c:v>Saint Louis</c:v>
                </c:pt>
                <c:pt idx="300">
                  <c:v>Saint Paul</c:v>
                </c:pt>
                <c:pt idx="301">
                  <c:v>Salinas</c:v>
                </c:pt>
                <c:pt idx="302">
                  <c:v>Sallins</c:v>
                </c:pt>
                <c:pt idx="303">
                  <c:v>Salt Lake City</c:v>
                </c:pt>
                <c:pt idx="304">
                  <c:v>San Angelo</c:v>
                </c:pt>
                <c:pt idx="305">
                  <c:v>San Antonio</c:v>
                </c:pt>
                <c:pt idx="306">
                  <c:v>San Bernardino</c:v>
                </c:pt>
                <c:pt idx="307">
                  <c:v>San Diego</c:v>
                </c:pt>
                <c:pt idx="308">
                  <c:v>San Francisco</c:v>
                </c:pt>
                <c:pt idx="309">
                  <c:v>San Jose</c:v>
                </c:pt>
                <c:pt idx="310">
                  <c:v>San Rafael</c:v>
                </c:pt>
                <c:pt idx="311">
                  <c:v>Sandyford</c:v>
                </c:pt>
                <c:pt idx="312">
                  <c:v>Santa Ana</c:v>
                </c:pt>
                <c:pt idx="313">
                  <c:v>Savannah</c:v>
                </c:pt>
                <c:pt idx="314">
                  <c:v>Schenectady</c:v>
                </c:pt>
                <c:pt idx="315">
                  <c:v>Scranton</c:v>
                </c:pt>
                <c:pt idx="316">
                  <c:v>Seaton</c:v>
                </c:pt>
                <c:pt idx="317">
                  <c:v>Seattle</c:v>
                </c:pt>
                <c:pt idx="318">
                  <c:v>Seminole</c:v>
                </c:pt>
                <c:pt idx="319">
                  <c:v>Shankill</c:v>
                </c:pt>
                <c:pt idx="320">
                  <c:v>Shawnee Mission</c:v>
                </c:pt>
                <c:pt idx="321">
                  <c:v>Sheffield</c:v>
                </c:pt>
                <c:pt idx="322">
                  <c:v>Shreveport</c:v>
                </c:pt>
                <c:pt idx="323">
                  <c:v>Silver Spring</c:v>
                </c:pt>
                <c:pt idx="324">
                  <c:v>Sparks</c:v>
                </c:pt>
                <c:pt idx="325">
                  <c:v>Spartanburg</c:v>
                </c:pt>
                <c:pt idx="326">
                  <c:v>Springfield</c:v>
                </c:pt>
                <c:pt idx="327">
                  <c:v>Stamford</c:v>
                </c:pt>
                <c:pt idx="328">
                  <c:v>Staten Island</c:v>
                </c:pt>
                <c:pt idx="329">
                  <c:v>Sterling</c:v>
                </c:pt>
                <c:pt idx="330">
                  <c:v>Stockton</c:v>
                </c:pt>
                <c:pt idx="331">
                  <c:v>Stradbally</c:v>
                </c:pt>
                <c:pt idx="332">
                  <c:v>Sunnyvale</c:v>
                </c:pt>
                <c:pt idx="333">
                  <c:v>Sutton</c:v>
                </c:pt>
                <c:pt idx="334">
                  <c:v>Swindon</c:v>
                </c:pt>
                <c:pt idx="335">
                  <c:v>Syracuse</c:v>
                </c:pt>
                <c:pt idx="336">
                  <c:v>Tacoma</c:v>
                </c:pt>
                <c:pt idx="337">
                  <c:v>Tallaght</c:v>
                </c:pt>
                <c:pt idx="338">
                  <c:v>Tampa</c:v>
                </c:pt>
                <c:pt idx="339">
                  <c:v>Thorpe</c:v>
                </c:pt>
                <c:pt idx="340">
                  <c:v>Toledo</c:v>
                </c:pt>
                <c:pt idx="341">
                  <c:v>Topeka</c:v>
                </c:pt>
                <c:pt idx="342">
                  <c:v>Tralee</c:v>
                </c:pt>
                <c:pt idx="343">
                  <c:v>Trenton</c:v>
                </c:pt>
                <c:pt idx="344">
                  <c:v>Tr谩 Mh贸r</c:v>
                </c:pt>
                <c:pt idx="345">
                  <c:v>Tucson</c:v>
                </c:pt>
                <c:pt idx="346">
                  <c:v>Tullamore</c:v>
                </c:pt>
                <c:pt idx="347">
                  <c:v>Tullyallen</c:v>
                </c:pt>
                <c:pt idx="348">
                  <c:v>Tulsa</c:v>
                </c:pt>
                <c:pt idx="349">
                  <c:v>Tuscaloosa</c:v>
                </c:pt>
                <c:pt idx="350">
                  <c:v>Twyford</c:v>
                </c:pt>
                <c:pt idx="351">
                  <c:v>Tyler</c:v>
                </c:pt>
                <c:pt idx="352">
                  <c:v>Upton</c:v>
                </c:pt>
                <c:pt idx="353">
                  <c:v>Valleymount</c:v>
                </c:pt>
                <c:pt idx="354">
                  <c:v>Vancouver</c:v>
                </c:pt>
                <c:pt idx="355">
                  <c:v>Vienna</c:v>
                </c:pt>
                <c:pt idx="356">
                  <c:v>Virginia</c:v>
                </c:pt>
                <c:pt idx="357">
                  <c:v>Waco</c:v>
                </c:pt>
                <c:pt idx="358">
                  <c:v>Warren</c:v>
                </c:pt>
                <c:pt idx="359">
                  <c:v>Washington</c:v>
                </c:pt>
                <c:pt idx="360">
                  <c:v>Watergrasshill</c:v>
                </c:pt>
                <c:pt idx="361">
                  <c:v>West Hartford</c:v>
                </c:pt>
                <c:pt idx="362">
                  <c:v>West Palm Beach</c:v>
                </c:pt>
                <c:pt idx="363">
                  <c:v>Whitegate</c:v>
                </c:pt>
                <c:pt idx="364">
                  <c:v>Whittier</c:v>
                </c:pt>
                <c:pt idx="365">
                  <c:v>Whitwell</c:v>
                </c:pt>
                <c:pt idx="366">
                  <c:v>Wichita</c:v>
                </c:pt>
                <c:pt idx="367">
                  <c:v>Wilkes Barre</c:v>
                </c:pt>
                <c:pt idx="368">
                  <c:v>Wilmington</c:v>
                </c:pt>
                <c:pt idx="369">
                  <c:v>Winter Haven</c:v>
                </c:pt>
                <c:pt idx="370">
                  <c:v>Wirral</c:v>
                </c:pt>
                <c:pt idx="371">
                  <c:v>Wootton</c:v>
                </c:pt>
                <c:pt idx="372">
                  <c:v>Yonkers</c:v>
                </c:pt>
                <c:pt idx="373">
                  <c:v>Young America</c:v>
                </c:pt>
                <c:pt idx="374">
                  <c:v>Zephyrhills</c:v>
                </c:pt>
              </c:strCache>
            </c:strRef>
          </c:cat>
          <c:val>
            <c:numRef>
              <c:f>'Pivot Table'!$B$88:$B$463</c:f>
              <c:numCache>
                <c:formatCode>General</c:formatCode>
                <c:ptCount val="375"/>
                <c:pt idx="0">
                  <c:v>2</c:v>
                </c:pt>
                <c:pt idx="1">
                  <c:v>2</c:v>
                </c:pt>
                <c:pt idx="2">
                  <c:v>5</c:v>
                </c:pt>
                <c:pt idx="3">
                  <c:v>1</c:v>
                </c:pt>
                <c:pt idx="4">
                  <c:v>5</c:v>
                </c:pt>
                <c:pt idx="5">
                  <c:v>1</c:v>
                </c:pt>
                <c:pt idx="6">
                  <c:v>3</c:v>
                </c:pt>
                <c:pt idx="7">
                  <c:v>3</c:v>
                </c:pt>
                <c:pt idx="8">
                  <c:v>2</c:v>
                </c:pt>
                <c:pt idx="9">
                  <c:v>4</c:v>
                </c:pt>
                <c:pt idx="10">
                  <c:v>1</c:v>
                </c:pt>
                <c:pt idx="11">
                  <c:v>2</c:v>
                </c:pt>
                <c:pt idx="12">
                  <c:v>1</c:v>
                </c:pt>
                <c:pt idx="13">
                  <c:v>3</c:v>
                </c:pt>
                <c:pt idx="14">
                  <c:v>1</c:v>
                </c:pt>
                <c:pt idx="15">
                  <c:v>1</c:v>
                </c:pt>
                <c:pt idx="16">
                  <c:v>4</c:v>
                </c:pt>
                <c:pt idx="17">
                  <c:v>5</c:v>
                </c:pt>
                <c:pt idx="18">
                  <c:v>6</c:v>
                </c:pt>
                <c:pt idx="19">
                  <c:v>2</c:v>
                </c:pt>
                <c:pt idx="20">
                  <c:v>1</c:v>
                </c:pt>
                <c:pt idx="21">
                  <c:v>1</c:v>
                </c:pt>
                <c:pt idx="22">
                  <c:v>3</c:v>
                </c:pt>
                <c:pt idx="23">
                  <c:v>1</c:v>
                </c:pt>
                <c:pt idx="24">
                  <c:v>1</c:v>
                </c:pt>
                <c:pt idx="25">
                  <c:v>1</c:v>
                </c:pt>
                <c:pt idx="26">
                  <c:v>1</c:v>
                </c:pt>
                <c:pt idx="27">
                  <c:v>5</c:v>
                </c:pt>
                <c:pt idx="28">
                  <c:v>1</c:v>
                </c:pt>
                <c:pt idx="29">
                  <c:v>1</c:v>
                </c:pt>
                <c:pt idx="30">
                  <c:v>1</c:v>
                </c:pt>
                <c:pt idx="31">
                  <c:v>1</c:v>
                </c:pt>
                <c:pt idx="32">
                  <c:v>1</c:v>
                </c:pt>
                <c:pt idx="33">
                  <c:v>2</c:v>
                </c:pt>
                <c:pt idx="34">
                  <c:v>6</c:v>
                </c:pt>
                <c:pt idx="35">
                  <c:v>1</c:v>
                </c:pt>
                <c:pt idx="36">
                  <c:v>2</c:v>
                </c:pt>
                <c:pt idx="37">
                  <c:v>1</c:v>
                </c:pt>
                <c:pt idx="38">
                  <c:v>1</c:v>
                </c:pt>
                <c:pt idx="39">
                  <c:v>8</c:v>
                </c:pt>
                <c:pt idx="40">
                  <c:v>6</c:v>
                </c:pt>
                <c:pt idx="41">
                  <c:v>1</c:v>
                </c:pt>
                <c:pt idx="42">
                  <c:v>2</c:v>
                </c:pt>
                <c:pt idx="43">
                  <c:v>13</c:v>
                </c:pt>
                <c:pt idx="44">
                  <c:v>1</c:v>
                </c:pt>
                <c:pt idx="45">
                  <c:v>1</c:v>
                </c:pt>
                <c:pt idx="46">
                  <c:v>1</c:v>
                </c:pt>
                <c:pt idx="47">
                  <c:v>5</c:v>
                </c:pt>
                <c:pt idx="48">
                  <c:v>1</c:v>
                </c:pt>
                <c:pt idx="49">
                  <c:v>1</c:v>
                </c:pt>
                <c:pt idx="50">
                  <c:v>1</c:v>
                </c:pt>
                <c:pt idx="51">
                  <c:v>1</c:v>
                </c:pt>
                <c:pt idx="52">
                  <c:v>1</c:v>
                </c:pt>
                <c:pt idx="53">
                  <c:v>1</c:v>
                </c:pt>
                <c:pt idx="54">
                  <c:v>5</c:v>
                </c:pt>
                <c:pt idx="55">
                  <c:v>4</c:v>
                </c:pt>
                <c:pt idx="56">
                  <c:v>1</c:v>
                </c:pt>
                <c:pt idx="57">
                  <c:v>1</c:v>
                </c:pt>
                <c:pt idx="58">
                  <c:v>2</c:v>
                </c:pt>
                <c:pt idx="59">
                  <c:v>1</c:v>
                </c:pt>
                <c:pt idx="60">
                  <c:v>1</c:v>
                </c:pt>
                <c:pt idx="61">
                  <c:v>1</c:v>
                </c:pt>
                <c:pt idx="62">
                  <c:v>3</c:v>
                </c:pt>
                <c:pt idx="63">
                  <c:v>1</c:v>
                </c:pt>
                <c:pt idx="64">
                  <c:v>1</c:v>
                </c:pt>
                <c:pt idx="65">
                  <c:v>3</c:v>
                </c:pt>
                <c:pt idx="66">
                  <c:v>1</c:v>
                </c:pt>
                <c:pt idx="67">
                  <c:v>1</c:v>
                </c:pt>
                <c:pt idx="68">
                  <c:v>4</c:v>
                </c:pt>
                <c:pt idx="69">
                  <c:v>1</c:v>
                </c:pt>
                <c:pt idx="70">
                  <c:v>1</c:v>
                </c:pt>
                <c:pt idx="71">
                  <c:v>1</c:v>
                </c:pt>
                <c:pt idx="72">
                  <c:v>1</c:v>
                </c:pt>
                <c:pt idx="73">
                  <c:v>8</c:v>
                </c:pt>
                <c:pt idx="74">
                  <c:v>8</c:v>
                </c:pt>
                <c:pt idx="75">
                  <c:v>3</c:v>
                </c:pt>
                <c:pt idx="76">
                  <c:v>2</c:v>
                </c:pt>
                <c:pt idx="77">
                  <c:v>2</c:v>
                </c:pt>
                <c:pt idx="78">
                  <c:v>2</c:v>
                </c:pt>
                <c:pt idx="79">
                  <c:v>1</c:v>
                </c:pt>
                <c:pt idx="80">
                  <c:v>2</c:v>
                </c:pt>
                <c:pt idx="81">
                  <c:v>2</c:v>
                </c:pt>
                <c:pt idx="82">
                  <c:v>1</c:v>
                </c:pt>
                <c:pt idx="83">
                  <c:v>2</c:v>
                </c:pt>
                <c:pt idx="84">
                  <c:v>5</c:v>
                </c:pt>
                <c:pt idx="85">
                  <c:v>4</c:v>
                </c:pt>
                <c:pt idx="86">
                  <c:v>2</c:v>
                </c:pt>
                <c:pt idx="87">
                  <c:v>2</c:v>
                </c:pt>
                <c:pt idx="88">
                  <c:v>2</c:v>
                </c:pt>
                <c:pt idx="89">
                  <c:v>1</c:v>
                </c:pt>
                <c:pt idx="90">
                  <c:v>5</c:v>
                </c:pt>
                <c:pt idx="91">
                  <c:v>3</c:v>
                </c:pt>
                <c:pt idx="92">
                  <c:v>6</c:v>
                </c:pt>
                <c:pt idx="93">
                  <c:v>3</c:v>
                </c:pt>
                <c:pt idx="94">
                  <c:v>1</c:v>
                </c:pt>
                <c:pt idx="95">
                  <c:v>2</c:v>
                </c:pt>
                <c:pt idx="96">
                  <c:v>3</c:v>
                </c:pt>
                <c:pt idx="97">
                  <c:v>1</c:v>
                </c:pt>
                <c:pt idx="98">
                  <c:v>1</c:v>
                </c:pt>
                <c:pt idx="99">
                  <c:v>1</c:v>
                </c:pt>
                <c:pt idx="100">
                  <c:v>2</c:v>
                </c:pt>
                <c:pt idx="101">
                  <c:v>3</c:v>
                </c:pt>
                <c:pt idx="102">
                  <c:v>11</c:v>
                </c:pt>
                <c:pt idx="103">
                  <c:v>3</c:v>
                </c:pt>
                <c:pt idx="104">
                  <c:v>6</c:v>
                </c:pt>
                <c:pt idx="105">
                  <c:v>1</c:v>
                </c:pt>
                <c:pt idx="106">
                  <c:v>1</c:v>
                </c:pt>
                <c:pt idx="107">
                  <c:v>3</c:v>
                </c:pt>
                <c:pt idx="108">
                  <c:v>4</c:v>
                </c:pt>
                <c:pt idx="109">
                  <c:v>4</c:v>
                </c:pt>
                <c:pt idx="110">
                  <c:v>3</c:v>
                </c:pt>
                <c:pt idx="111">
                  <c:v>2</c:v>
                </c:pt>
                <c:pt idx="112">
                  <c:v>1</c:v>
                </c:pt>
                <c:pt idx="113">
                  <c:v>1</c:v>
                </c:pt>
                <c:pt idx="114">
                  <c:v>1</c:v>
                </c:pt>
                <c:pt idx="115">
                  <c:v>2</c:v>
                </c:pt>
                <c:pt idx="116">
                  <c:v>1</c:v>
                </c:pt>
                <c:pt idx="117">
                  <c:v>4</c:v>
                </c:pt>
                <c:pt idx="118">
                  <c:v>1</c:v>
                </c:pt>
                <c:pt idx="119">
                  <c:v>1</c:v>
                </c:pt>
                <c:pt idx="120">
                  <c:v>1</c:v>
                </c:pt>
                <c:pt idx="121">
                  <c:v>2</c:v>
                </c:pt>
                <c:pt idx="122">
                  <c:v>1</c:v>
                </c:pt>
                <c:pt idx="123">
                  <c:v>1</c:v>
                </c:pt>
                <c:pt idx="124">
                  <c:v>11</c:v>
                </c:pt>
                <c:pt idx="125">
                  <c:v>2</c:v>
                </c:pt>
                <c:pt idx="126">
                  <c:v>4</c:v>
                </c:pt>
                <c:pt idx="127">
                  <c:v>3</c:v>
                </c:pt>
                <c:pt idx="128">
                  <c:v>1</c:v>
                </c:pt>
                <c:pt idx="129">
                  <c:v>5</c:v>
                </c:pt>
                <c:pt idx="130">
                  <c:v>1</c:v>
                </c:pt>
                <c:pt idx="131">
                  <c:v>1</c:v>
                </c:pt>
                <c:pt idx="132">
                  <c:v>1</c:v>
                </c:pt>
                <c:pt idx="133">
                  <c:v>4</c:v>
                </c:pt>
                <c:pt idx="134">
                  <c:v>1</c:v>
                </c:pt>
                <c:pt idx="135">
                  <c:v>8</c:v>
                </c:pt>
                <c:pt idx="136">
                  <c:v>1</c:v>
                </c:pt>
                <c:pt idx="137">
                  <c:v>6</c:v>
                </c:pt>
                <c:pt idx="138">
                  <c:v>5</c:v>
                </c:pt>
                <c:pt idx="139">
                  <c:v>8</c:v>
                </c:pt>
                <c:pt idx="140">
                  <c:v>2</c:v>
                </c:pt>
                <c:pt idx="141">
                  <c:v>9</c:v>
                </c:pt>
                <c:pt idx="142">
                  <c:v>1</c:v>
                </c:pt>
                <c:pt idx="143">
                  <c:v>1</c:v>
                </c:pt>
                <c:pt idx="144">
                  <c:v>4</c:v>
                </c:pt>
                <c:pt idx="145">
                  <c:v>1</c:v>
                </c:pt>
                <c:pt idx="146">
                  <c:v>1</c:v>
                </c:pt>
                <c:pt idx="147">
                  <c:v>2</c:v>
                </c:pt>
                <c:pt idx="148">
                  <c:v>4</c:v>
                </c:pt>
                <c:pt idx="149">
                  <c:v>4</c:v>
                </c:pt>
                <c:pt idx="150">
                  <c:v>1</c:v>
                </c:pt>
                <c:pt idx="151">
                  <c:v>1</c:v>
                </c:pt>
                <c:pt idx="152">
                  <c:v>2</c:v>
                </c:pt>
                <c:pt idx="153">
                  <c:v>1</c:v>
                </c:pt>
                <c:pt idx="154">
                  <c:v>2</c:v>
                </c:pt>
                <c:pt idx="155">
                  <c:v>1</c:v>
                </c:pt>
                <c:pt idx="156">
                  <c:v>1</c:v>
                </c:pt>
                <c:pt idx="157">
                  <c:v>1</c:v>
                </c:pt>
                <c:pt idx="158">
                  <c:v>2</c:v>
                </c:pt>
                <c:pt idx="159">
                  <c:v>5</c:v>
                </c:pt>
                <c:pt idx="160">
                  <c:v>15</c:v>
                </c:pt>
                <c:pt idx="161">
                  <c:v>3</c:v>
                </c:pt>
                <c:pt idx="162">
                  <c:v>1</c:v>
                </c:pt>
                <c:pt idx="163">
                  <c:v>2</c:v>
                </c:pt>
                <c:pt idx="164">
                  <c:v>1</c:v>
                </c:pt>
                <c:pt idx="165">
                  <c:v>1</c:v>
                </c:pt>
                <c:pt idx="166">
                  <c:v>3</c:v>
                </c:pt>
                <c:pt idx="167">
                  <c:v>1</c:v>
                </c:pt>
                <c:pt idx="168">
                  <c:v>1</c:v>
                </c:pt>
                <c:pt idx="169">
                  <c:v>1</c:v>
                </c:pt>
                <c:pt idx="170">
                  <c:v>2</c:v>
                </c:pt>
                <c:pt idx="171">
                  <c:v>2</c:v>
                </c:pt>
                <c:pt idx="172">
                  <c:v>1</c:v>
                </c:pt>
                <c:pt idx="173">
                  <c:v>1</c:v>
                </c:pt>
                <c:pt idx="174">
                  <c:v>3</c:v>
                </c:pt>
                <c:pt idx="175">
                  <c:v>1</c:v>
                </c:pt>
                <c:pt idx="176">
                  <c:v>2</c:v>
                </c:pt>
                <c:pt idx="177">
                  <c:v>1</c:v>
                </c:pt>
                <c:pt idx="178">
                  <c:v>1</c:v>
                </c:pt>
                <c:pt idx="179">
                  <c:v>1</c:v>
                </c:pt>
                <c:pt idx="180">
                  <c:v>5</c:v>
                </c:pt>
                <c:pt idx="181">
                  <c:v>1</c:v>
                </c:pt>
                <c:pt idx="182">
                  <c:v>1</c:v>
                </c:pt>
                <c:pt idx="183">
                  <c:v>1</c:v>
                </c:pt>
                <c:pt idx="184">
                  <c:v>1</c:v>
                </c:pt>
                <c:pt idx="185">
                  <c:v>1</c:v>
                </c:pt>
                <c:pt idx="186">
                  <c:v>1</c:v>
                </c:pt>
                <c:pt idx="187">
                  <c:v>5</c:v>
                </c:pt>
                <c:pt idx="188">
                  <c:v>2</c:v>
                </c:pt>
                <c:pt idx="189">
                  <c:v>2</c:v>
                </c:pt>
                <c:pt idx="190">
                  <c:v>4</c:v>
                </c:pt>
                <c:pt idx="191">
                  <c:v>2</c:v>
                </c:pt>
                <c:pt idx="192">
                  <c:v>4</c:v>
                </c:pt>
                <c:pt idx="193">
                  <c:v>5</c:v>
                </c:pt>
                <c:pt idx="194">
                  <c:v>3</c:v>
                </c:pt>
                <c:pt idx="195">
                  <c:v>1</c:v>
                </c:pt>
                <c:pt idx="196">
                  <c:v>5</c:v>
                </c:pt>
                <c:pt idx="197">
                  <c:v>2</c:v>
                </c:pt>
                <c:pt idx="198">
                  <c:v>2</c:v>
                </c:pt>
                <c:pt idx="199">
                  <c:v>6</c:v>
                </c:pt>
                <c:pt idx="200">
                  <c:v>1</c:v>
                </c:pt>
                <c:pt idx="201">
                  <c:v>2</c:v>
                </c:pt>
                <c:pt idx="202">
                  <c:v>5</c:v>
                </c:pt>
                <c:pt idx="203">
                  <c:v>1</c:v>
                </c:pt>
                <c:pt idx="204">
                  <c:v>1</c:v>
                </c:pt>
                <c:pt idx="205">
                  <c:v>2</c:v>
                </c:pt>
                <c:pt idx="206">
                  <c:v>11</c:v>
                </c:pt>
                <c:pt idx="207">
                  <c:v>2</c:v>
                </c:pt>
                <c:pt idx="208">
                  <c:v>1</c:v>
                </c:pt>
                <c:pt idx="209">
                  <c:v>2</c:v>
                </c:pt>
                <c:pt idx="210">
                  <c:v>1</c:v>
                </c:pt>
                <c:pt idx="211">
                  <c:v>2</c:v>
                </c:pt>
                <c:pt idx="212">
                  <c:v>1</c:v>
                </c:pt>
                <c:pt idx="213">
                  <c:v>2</c:v>
                </c:pt>
                <c:pt idx="214">
                  <c:v>2</c:v>
                </c:pt>
                <c:pt idx="215">
                  <c:v>1</c:v>
                </c:pt>
                <c:pt idx="216">
                  <c:v>1</c:v>
                </c:pt>
                <c:pt idx="217">
                  <c:v>1</c:v>
                </c:pt>
                <c:pt idx="218">
                  <c:v>1</c:v>
                </c:pt>
                <c:pt idx="219">
                  <c:v>2</c:v>
                </c:pt>
                <c:pt idx="220">
                  <c:v>1</c:v>
                </c:pt>
                <c:pt idx="221">
                  <c:v>2</c:v>
                </c:pt>
                <c:pt idx="222">
                  <c:v>1</c:v>
                </c:pt>
                <c:pt idx="223">
                  <c:v>6</c:v>
                </c:pt>
                <c:pt idx="224">
                  <c:v>1</c:v>
                </c:pt>
                <c:pt idx="225">
                  <c:v>1</c:v>
                </c:pt>
                <c:pt idx="226">
                  <c:v>3</c:v>
                </c:pt>
                <c:pt idx="227">
                  <c:v>2</c:v>
                </c:pt>
                <c:pt idx="228">
                  <c:v>1</c:v>
                </c:pt>
                <c:pt idx="229">
                  <c:v>7</c:v>
                </c:pt>
                <c:pt idx="230">
                  <c:v>7</c:v>
                </c:pt>
                <c:pt idx="231">
                  <c:v>2</c:v>
                </c:pt>
                <c:pt idx="232">
                  <c:v>1</c:v>
                </c:pt>
                <c:pt idx="233">
                  <c:v>2</c:v>
                </c:pt>
                <c:pt idx="234">
                  <c:v>1</c:v>
                </c:pt>
                <c:pt idx="235">
                  <c:v>5</c:v>
                </c:pt>
                <c:pt idx="236">
                  <c:v>1</c:v>
                </c:pt>
                <c:pt idx="237">
                  <c:v>2</c:v>
                </c:pt>
                <c:pt idx="238">
                  <c:v>1</c:v>
                </c:pt>
                <c:pt idx="239">
                  <c:v>1</c:v>
                </c:pt>
                <c:pt idx="240">
                  <c:v>1</c:v>
                </c:pt>
                <c:pt idx="241">
                  <c:v>1</c:v>
                </c:pt>
                <c:pt idx="242">
                  <c:v>3</c:v>
                </c:pt>
                <c:pt idx="243">
                  <c:v>4</c:v>
                </c:pt>
                <c:pt idx="244">
                  <c:v>1</c:v>
                </c:pt>
                <c:pt idx="245">
                  <c:v>1</c:v>
                </c:pt>
                <c:pt idx="246">
                  <c:v>1</c:v>
                </c:pt>
                <c:pt idx="247">
                  <c:v>2</c:v>
                </c:pt>
                <c:pt idx="248">
                  <c:v>1</c:v>
                </c:pt>
                <c:pt idx="249">
                  <c:v>4</c:v>
                </c:pt>
                <c:pt idx="250">
                  <c:v>17</c:v>
                </c:pt>
                <c:pt idx="251">
                  <c:v>4</c:v>
                </c:pt>
                <c:pt idx="252">
                  <c:v>1</c:v>
                </c:pt>
                <c:pt idx="253">
                  <c:v>2</c:v>
                </c:pt>
                <c:pt idx="254">
                  <c:v>2</c:v>
                </c:pt>
                <c:pt idx="255">
                  <c:v>3</c:v>
                </c:pt>
                <c:pt idx="256">
                  <c:v>1</c:v>
                </c:pt>
                <c:pt idx="257">
                  <c:v>1</c:v>
                </c:pt>
                <c:pt idx="258">
                  <c:v>3</c:v>
                </c:pt>
                <c:pt idx="259">
                  <c:v>1</c:v>
                </c:pt>
                <c:pt idx="260">
                  <c:v>1</c:v>
                </c:pt>
                <c:pt idx="261">
                  <c:v>4</c:v>
                </c:pt>
                <c:pt idx="262">
                  <c:v>2</c:v>
                </c:pt>
                <c:pt idx="263">
                  <c:v>15</c:v>
                </c:pt>
                <c:pt idx="264">
                  <c:v>2</c:v>
                </c:pt>
                <c:pt idx="265">
                  <c:v>1</c:v>
                </c:pt>
                <c:pt idx="266">
                  <c:v>2</c:v>
                </c:pt>
                <c:pt idx="267">
                  <c:v>2</c:v>
                </c:pt>
                <c:pt idx="268">
                  <c:v>6</c:v>
                </c:pt>
                <c:pt idx="269">
                  <c:v>2</c:v>
                </c:pt>
                <c:pt idx="270">
                  <c:v>7</c:v>
                </c:pt>
                <c:pt idx="271">
                  <c:v>1</c:v>
                </c:pt>
                <c:pt idx="272">
                  <c:v>9</c:v>
                </c:pt>
                <c:pt idx="273">
                  <c:v>5</c:v>
                </c:pt>
                <c:pt idx="274">
                  <c:v>4</c:v>
                </c:pt>
                <c:pt idx="275">
                  <c:v>2</c:v>
                </c:pt>
                <c:pt idx="276">
                  <c:v>1</c:v>
                </c:pt>
                <c:pt idx="277">
                  <c:v>1</c:v>
                </c:pt>
                <c:pt idx="278">
                  <c:v>1</c:v>
                </c:pt>
                <c:pt idx="279">
                  <c:v>7</c:v>
                </c:pt>
                <c:pt idx="280">
                  <c:v>2</c:v>
                </c:pt>
                <c:pt idx="281">
                  <c:v>2</c:v>
                </c:pt>
                <c:pt idx="282">
                  <c:v>1</c:v>
                </c:pt>
                <c:pt idx="283">
                  <c:v>3</c:v>
                </c:pt>
                <c:pt idx="284">
                  <c:v>2</c:v>
                </c:pt>
                <c:pt idx="285">
                  <c:v>1</c:v>
                </c:pt>
                <c:pt idx="286">
                  <c:v>1</c:v>
                </c:pt>
                <c:pt idx="287">
                  <c:v>1</c:v>
                </c:pt>
                <c:pt idx="288">
                  <c:v>3</c:v>
                </c:pt>
                <c:pt idx="289">
                  <c:v>1</c:v>
                </c:pt>
                <c:pt idx="290">
                  <c:v>7</c:v>
                </c:pt>
                <c:pt idx="291">
                  <c:v>3</c:v>
                </c:pt>
                <c:pt idx="292">
                  <c:v>6</c:v>
                </c:pt>
                <c:pt idx="293">
                  <c:v>2</c:v>
                </c:pt>
                <c:pt idx="294">
                  <c:v>1</c:v>
                </c:pt>
                <c:pt idx="295">
                  <c:v>9</c:v>
                </c:pt>
                <c:pt idx="296">
                  <c:v>1</c:v>
                </c:pt>
                <c:pt idx="297">
                  <c:v>1</c:v>
                </c:pt>
                <c:pt idx="298">
                  <c:v>1</c:v>
                </c:pt>
                <c:pt idx="299">
                  <c:v>10</c:v>
                </c:pt>
                <c:pt idx="300">
                  <c:v>4</c:v>
                </c:pt>
                <c:pt idx="301">
                  <c:v>1</c:v>
                </c:pt>
                <c:pt idx="302">
                  <c:v>2</c:v>
                </c:pt>
                <c:pt idx="303">
                  <c:v>4</c:v>
                </c:pt>
                <c:pt idx="304">
                  <c:v>2</c:v>
                </c:pt>
                <c:pt idx="305">
                  <c:v>1</c:v>
                </c:pt>
                <c:pt idx="306">
                  <c:v>2</c:v>
                </c:pt>
                <c:pt idx="307">
                  <c:v>4</c:v>
                </c:pt>
                <c:pt idx="308">
                  <c:v>9</c:v>
                </c:pt>
                <c:pt idx="309">
                  <c:v>6</c:v>
                </c:pt>
                <c:pt idx="310">
                  <c:v>1</c:v>
                </c:pt>
                <c:pt idx="311">
                  <c:v>3</c:v>
                </c:pt>
                <c:pt idx="312">
                  <c:v>4</c:v>
                </c:pt>
                <c:pt idx="313">
                  <c:v>1</c:v>
                </c:pt>
                <c:pt idx="314">
                  <c:v>1</c:v>
                </c:pt>
                <c:pt idx="315">
                  <c:v>1</c:v>
                </c:pt>
                <c:pt idx="316">
                  <c:v>2</c:v>
                </c:pt>
                <c:pt idx="317">
                  <c:v>8</c:v>
                </c:pt>
                <c:pt idx="318">
                  <c:v>1</c:v>
                </c:pt>
                <c:pt idx="319">
                  <c:v>2</c:v>
                </c:pt>
                <c:pt idx="320">
                  <c:v>5</c:v>
                </c:pt>
                <c:pt idx="321">
                  <c:v>4</c:v>
                </c:pt>
                <c:pt idx="322">
                  <c:v>8</c:v>
                </c:pt>
                <c:pt idx="323">
                  <c:v>1</c:v>
                </c:pt>
                <c:pt idx="324">
                  <c:v>3</c:v>
                </c:pt>
                <c:pt idx="325">
                  <c:v>3</c:v>
                </c:pt>
                <c:pt idx="326">
                  <c:v>5</c:v>
                </c:pt>
                <c:pt idx="327">
                  <c:v>2</c:v>
                </c:pt>
                <c:pt idx="328">
                  <c:v>2</c:v>
                </c:pt>
                <c:pt idx="329">
                  <c:v>1</c:v>
                </c:pt>
                <c:pt idx="330">
                  <c:v>2</c:v>
                </c:pt>
                <c:pt idx="331">
                  <c:v>1</c:v>
                </c:pt>
                <c:pt idx="332">
                  <c:v>2</c:v>
                </c:pt>
                <c:pt idx="333">
                  <c:v>1</c:v>
                </c:pt>
                <c:pt idx="334">
                  <c:v>1</c:v>
                </c:pt>
                <c:pt idx="335">
                  <c:v>1</c:v>
                </c:pt>
                <c:pt idx="336">
                  <c:v>3</c:v>
                </c:pt>
                <c:pt idx="337">
                  <c:v>1</c:v>
                </c:pt>
                <c:pt idx="338">
                  <c:v>6</c:v>
                </c:pt>
                <c:pt idx="339">
                  <c:v>2</c:v>
                </c:pt>
                <c:pt idx="340">
                  <c:v>9</c:v>
                </c:pt>
                <c:pt idx="341">
                  <c:v>4</c:v>
                </c:pt>
                <c:pt idx="342">
                  <c:v>2</c:v>
                </c:pt>
                <c:pt idx="343">
                  <c:v>1</c:v>
                </c:pt>
                <c:pt idx="344">
                  <c:v>1</c:v>
                </c:pt>
                <c:pt idx="345">
                  <c:v>5</c:v>
                </c:pt>
                <c:pt idx="346">
                  <c:v>1</c:v>
                </c:pt>
                <c:pt idx="347">
                  <c:v>1</c:v>
                </c:pt>
                <c:pt idx="348">
                  <c:v>3</c:v>
                </c:pt>
                <c:pt idx="349">
                  <c:v>2</c:v>
                </c:pt>
                <c:pt idx="350">
                  <c:v>1</c:v>
                </c:pt>
                <c:pt idx="351">
                  <c:v>3</c:v>
                </c:pt>
                <c:pt idx="352">
                  <c:v>6</c:v>
                </c:pt>
                <c:pt idx="353">
                  <c:v>1</c:v>
                </c:pt>
                <c:pt idx="354">
                  <c:v>2</c:v>
                </c:pt>
                <c:pt idx="355">
                  <c:v>1</c:v>
                </c:pt>
                <c:pt idx="356">
                  <c:v>5</c:v>
                </c:pt>
                <c:pt idx="357">
                  <c:v>1</c:v>
                </c:pt>
                <c:pt idx="358">
                  <c:v>2</c:v>
                </c:pt>
                <c:pt idx="359">
                  <c:v>26</c:v>
                </c:pt>
                <c:pt idx="360">
                  <c:v>2</c:v>
                </c:pt>
                <c:pt idx="361">
                  <c:v>1</c:v>
                </c:pt>
                <c:pt idx="362">
                  <c:v>1</c:v>
                </c:pt>
                <c:pt idx="363">
                  <c:v>3</c:v>
                </c:pt>
                <c:pt idx="364">
                  <c:v>5</c:v>
                </c:pt>
                <c:pt idx="365">
                  <c:v>2</c:v>
                </c:pt>
                <c:pt idx="366">
                  <c:v>1</c:v>
                </c:pt>
                <c:pt idx="367">
                  <c:v>3</c:v>
                </c:pt>
                <c:pt idx="368">
                  <c:v>3</c:v>
                </c:pt>
                <c:pt idx="369">
                  <c:v>1</c:v>
                </c:pt>
                <c:pt idx="370">
                  <c:v>1</c:v>
                </c:pt>
                <c:pt idx="371">
                  <c:v>2</c:v>
                </c:pt>
                <c:pt idx="372">
                  <c:v>1</c:v>
                </c:pt>
                <c:pt idx="373">
                  <c:v>1</c:v>
                </c:pt>
                <c:pt idx="374">
                  <c:v>1</c:v>
                </c:pt>
              </c:numCache>
            </c:numRef>
          </c:val>
          <c:smooth val="0"/>
          <c:extLst>
            <c:ext xmlns:c16="http://schemas.microsoft.com/office/drawing/2014/chart" uri="{C3380CC4-5D6E-409C-BE32-E72D297353CC}">
              <c16:uniqueId val="{00000000-B681-458B-9F1D-592DD6C2180F}"/>
            </c:ext>
          </c:extLst>
        </c:ser>
        <c:dLbls>
          <c:showLegendKey val="0"/>
          <c:showVal val="0"/>
          <c:showCatName val="0"/>
          <c:showSerName val="0"/>
          <c:showPercent val="0"/>
          <c:showBubbleSize val="0"/>
        </c:dLbls>
        <c:smooth val="0"/>
        <c:axId val="760353024"/>
        <c:axId val="760351584"/>
      </c:lineChart>
      <c:catAx>
        <c:axId val="7603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51584"/>
        <c:crosses val="autoZero"/>
        <c:auto val="1"/>
        <c:lblAlgn val="ctr"/>
        <c:lblOffset val="100"/>
        <c:noMultiLvlLbl val="0"/>
      </c:catAx>
      <c:valAx>
        <c:axId val="7603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530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6</xdr:col>
      <xdr:colOff>333375</xdr:colOff>
      <xdr:row>3</xdr:row>
      <xdr:rowOff>52387</xdr:rowOff>
    </xdr:from>
    <xdr:to>
      <xdr:col>14</xdr:col>
      <xdr:colOff>0</xdr:colOff>
      <xdr:row>15</xdr:row>
      <xdr:rowOff>114300</xdr:rowOff>
    </xdr:to>
    <xdr:graphicFrame macro="">
      <xdr:nvGraphicFramePr>
        <xdr:cNvPr id="2" name="Chart 1">
          <a:extLst>
            <a:ext uri="{FF2B5EF4-FFF2-40B4-BE49-F238E27FC236}">
              <a16:creationId xmlns:a16="http://schemas.microsoft.com/office/drawing/2014/main" id="{ADBA6CE4-BB5A-8F15-2FAC-86C6D6B77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37</xdr:row>
      <xdr:rowOff>176212</xdr:rowOff>
    </xdr:from>
    <xdr:to>
      <xdr:col>11</xdr:col>
      <xdr:colOff>276225</xdr:colOff>
      <xdr:row>50</xdr:row>
      <xdr:rowOff>161925</xdr:rowOff>
    </xdr:to>
    <xdr:graphicFrame macro="">
      <xdr:nvGraphicFramePr>
        <xdr:cNvPr id="5" name="Chart 4">
          <a:extLst>
            <a:ext uri="{FF2B5EF4-FFF2-40B4-BE49-F238E27FC236}">
              <a16:creationId xmlns:a16="http://schemas.microsoft.com/office/drawing/2014/main" id="{9DB09B85-5116-C436-BAD3-FE77086C0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465</xdr:row>
      <xdr:rowOff>228600</xdr:rowOff>
    </xdr:from>
    <xdr:to>
      <xdr:col>12</xdr:col>
      <xdr:colOff>257175</xdr:colOff>
      <xdr:row>475</xdr:row>
      <xdr:rowOff>133350</xdr:rowOff>
    </xdr:to>
    <xdr:graphicFrame macro="">
      <xdr:nvGraphicFramePr>
        <xdr:cNvPr id="9" name="Chart 8">
          <a:extLst>
            <a:ext uri="{FF2B5EF4-FFF2-40B4-BE49-F238E27FC236}">
              <a16:creationId xmlns:a16="http://schemas.microsoft.com/office/drawing/2014/main" id="{6C11B9B6-6C06-C0F1-D0CC-429C39363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142875</xdr:colOff>
      <xdr:row>479</xdr:row>
      <xdr:rowOff>57150</xdr:rowOff>
    </xdr:from>
    <xdr:to>
      <xdr:col>11</xdr:col>
      <xdr:colOff>371475</xdr:colOff>
      <xdr:row>491</xdr:row>
      <xdr:rowOff>38100</xdr:rowOff>
    </xdr:to>
    <xdr:graphicFrame macro="">
      <xdr:nvGraphicFramePr>
        <xdr:cNvPr id="10" name="Chart 9">
          <a:extLst>
            <a:ext uri="{FF2B5EF4-FFF2-40B4-BE49-F238E27FC236}">
              <a16:creationId xmlns:a16="http://schemas.microsoft.com/office/drawing/2014/main" id="{DA8AA248-41A3-7D40-3AEF-ED98A1560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695324</xdr:colOff>
      <xdr:row>494</xdr:row>
      <xdr:rowOff>52386</xdr:rowOff>
    </xdr:from>
    <xdr:to>
      <xdr:col>14</xdr:col>
      <xdr:colOff>19050</xdr:colOff>
      <xdr:row>507</xdr:row>
      <xdr:rowOff>133349</xdr:rowOff>
    </xdr:to>
    <xdr:graphicFrame macro="">
      <xdr:nvGraphicFramePr>
        <xdr:cNvPr id="11" name="Chart 10">
          <a:extLst>
            <a:ext uri="{FF2B5EF4-FFF2-40B4-BE49-F238E27FC236}">
              <a16:creationId xmlns:a16="http://schemas.microsoft.com/office/drawing/2014/main" id="{241B0366-1D1C-39AF-4765-8F812265C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514349</xdr:colOff>
      <xdr:row>512</xdr:row>
      <xdr:rowOff>47625</xdr:rowOff>
    </xdr:from>
    <xdr:to>
      <xdr:col>17</xdr:col>
      <xdr:colOff>381000</xdr:colOff>
      <xdr:row>525</xdr:row>
      <xdr:rowOff>100012</xdr:rowOff>
    </xdr:to>
    <xdr:graphicFrame macro="">
      <xdr:nvGraphicFramePr>
        <xdr:cNvPr id="12" name="Chart 11">
          <a:extLst>
            <a:ext uri="{FF2B5EF4-FFF2-40B4-BE49-F238E27FC236}">
              <a16:creationId xmlns:a16="http://schemas.microsoft.com/office/drawing/2014/main" id="{FA81B20B-B0CB-2C93-21CF-930D6B9DE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161925</xdr:colOff>
      <xdr:row>532</xdr:row>
      <xdr:rowOff>80961</xdr:rowOff>
    </xdr:from>
    <xdr:to>
      <xdr:col>13</xdr:col>
      <xdr:colOff>0</xdr:colOff>
      <xdr:row>546</xdr:row>
      <xdr:rowOff>28574</xdr:rowOff>
    </xdr:to>
    <xdr:graphicFrame macro="">
      <xdr:nvGraphicFramePr>
        <xdr:cNvPr id="13" name="Chart 12">
          <a:extLst>
            <a:ext uri="{FF2B5EF4-FFF2-40B4-BE49-F238E27FC236}">
              <a16:creationId xmlns:a16="http://schemas.microsoft.com/office/drawing/2014/main" id="{95DD3727-DF74-6CF1-D72C-9EF324F0A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314324</xdr:colOff>
      <xdr:row>549</xdr:row>
      <xdr:rowOff>142874</xdr:rowOff>
    </xdr:from>
    <xdr:to>
      <xdr:col>12</xdr:col>
      <xdr:colOff>142874</xdr:colOff>
      <xdr:row>560</xdr:row>
      <xdr:rowOff>142875</xdr:rowOff>
    </xdr:to>
    <xdr:graphicFrame macro="">
      <xdr:nvGraphicFramePr>
        <xdr:cNvPr id="14" name="Chart 13">
          <a:extLst>
            <a:ext uri="{FF2B5EF4-FFF2-40B4-BE49-F238E27FC236}">
              <a16:creationId xmlns:a16="http://schemas.microsoft.com/office/drawing/2014/main" id="{05B16CC2-2DAE-DFE0-A134-B6D6F2EB9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314324</xdr:colOff>
      <xdr:row>562</xdr:row>
      <xdr:rowOff>176211</xdr:rowOff>
    </xdr:from>
    <xdr:to>
      <xdr:col>15</xdr:col>
      <xdr:colOff>885825</xdr:colOff>
      <xdr:row>578</xdr:row>
      <xdr:rowOff>104774</xdr:rowOff>
    </xdr:to>
    <xdr:graphicFrame macro="">
      <xdr:nvGraphicFramePr>
        <xdr:cNvPr id="16" name="Chart 15">
          <a:extLst>
            <a:ext uri="{FF2B5EF4-FFF2-40B4-BE49-F238E27FC236}">
              <a16:creationId xmlns:a16="http://schemas.microsoft.com/office/drawing/2014/main" id="{F846E5A7-AC01-AB21-ED43-AD278D97D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333375</xdr:colOff>
      <xdr:row>55</xdr:row>
      <xdr:rowOff>80962</xdr:rowOff>
    </xdr:from>
    <xdr:to>
      <xdr:col>9</xdr:col>
      <xdr:colOff>400050</xdr:colOff>
      <xdr:row>66</xdr:row>
      <xdr:rowOff>47625</xdr:rowOff>
    </xdr:to>
    <xdr:graphicFrame macro="">
      <xdr:nvGraphicFramePr>
        <xdr:cNvPr id="3" name="Chart 2">
          <a:extLst>
            <a:ext uri="{FF2B5EF4-FFF2-40B4-BE49-F238E27FC236}">
              <a16:creationId xmlns:a16="http://schemas.microsoft.com/office/drawing/2014/main" id="{55A58F39-D766-9305-A482-80753132D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47625</xdr:colOff>
      <xdr:row>23</xdr:row>
      <xdr:rowOff>47625</xdr:rowOff>
    </xdr:from>
    <xdr:to>
      <xdr:col>10</xdr:col>
      <xdr:colOff>647700</xdr:colOff>
      <xdr:row>34</xdr:row>
      <xdr:rowOff>33336</xdr:rowOff>
    </xdr:to>
    <xdr:graphicFrame macro="">
      <xdr:nvGraphicFramePr>
        <xdr:cNvPr id="15" name="Chart 14">
          <a:extLst>
            <a:ext uri="{FF2B5EF4-FFF2-40B4-BE49-F238E27FC236}">
              <a16:creationId xmlns:a16="http://schemas.microsoft.com/office/drawing/2014/main" id="{60B2FBF0-5989-CDC2-8877-8DB7B0483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47625</xdr:colOff>
      <xdr:row>71</xdr:row>
      <xdr:rowOff>95249</xdr:rowOff>
    </xdr:from>
    <xdr:to>
      <xdr:col>9</xdr:col>
      <xdr:colOff>504825</xdr:colOff>
      <xdr:row>82</xdr:row>
      <xdr:rowOff>33336</xdr:rowOff>
    </xdr:to>
    <xdr:graphicFrame macro="">
      <xdr:nvGraphicFramePr>
        <xdr:cNvPr id="17" name="Chart 16">
          <a:extLst>
            <a:ext uri="{FF2B5EF4-FFF2-40B4-BE49-F238E27FC236}">
              <a16:creationId xmlns:a16="http://schemas.microsoft.com/office/drawing/2014/main" id="{F2671EC0-0AE5-B3D3-4E4F-CF82EC8CD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47625</xdr:colOff>
      <xdr:row>86</xdr:row>
      <xdr:rowOff>9525</xdr:rowOff>
    </xdr:from>
    <xdr:to>
      <xdr:col>14</xdr:col>
      <xdr:colOff>542925</xdr:colOff>
      <xdr:row>97</xdr:row>
      <xdr:rowOff>33337</xdr:rowOff>
    </xdr:to>
    <xdr:graphicFrame macro="">
      <xdr:nvGraphicFramePr>
        <xdr:cNvPr id="18" name="Chart 17">
          <a:extLst>
            <a:ext uri="{FF2B5EF4-FFF2-40B4-BE49-F238E27FC236}">
              <a16:creationId xmlns:a16="http://schemas.microsoft.com/office/drawing/2014/main" id="{99D4A84C-AF7A-A35E-E003-11B3F8CFE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57150</xdr:colOff>
      <xdr:row>497</xdr:row>
      <xdr:rowOff>114300</xdr:rowOff>
    </xdr:from>
    <xdr:to>
      <xdr:col>18</xdr:col>
      <xdr:colOff>457200</xdr:colOff>
      <xdr:row>505</xdr:row>
      <xdr:rowOff>180975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89523362-E8DC-B379-C90A-DE69091478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315700" y="95269050"/>
              <a:ext cx="146685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885825</xdr:colOff>
      <xdr:row>53</xdr:row>
      <xdr:rowOff>1</xdr:rowOff>
    </xdr:from>
    <xdr:to>
      <xdr:col>13</xdr:col>
      <xdr:colOff>514350</xdr:colOff>
      <xdr:row>60</xdr:row>
      <xdr:rowOff>142876</xdr:rowOff>
    </xdr:to>
    <mc:AlternateContent xmlns:mc="http://schemas.openxmlformats.org/markup-compatibility/2006" xmlns:a14="http://schemas.microsoft.com/office/drawing/2010/main">
      <mc:Choice Requires="a14">
        <xdr:graphicFrame macro="">
          <xdr:nvGraphicFramePr>
            <xdr:cNvPr id="20" name="Coffee type">
              <a:extLst>
                <a:ext uri="{FF2B5EF4-FFF2-40B4-BE49-F238E27FC236}">
                  <a16:creationId xmlns:a16="http://schemas.microsoft.com/office/drawing/2014/main" id="{11F40BFE-BE72-C8AF-8BE7-D4563B70C1F5}"/>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8229600" y="10287001"/>
              <a:ext cx="1647825"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0</xdr:row>
      <xdr:rowOff>57150</xdr:rowOff>
    </xdr:from>
    <xdr:to>
      <xdr:col>15</xdr:col>
      <xdr:colOff>533400</xdr:colOff>
      <xdr:row>20</xdr:row>
      <xdr:rowOff>85725</xdr:rowOff>
    </xdr:to>
    <xdr:sp macro="" textlink="">
      <xdr:nvSpPr>
        <xdr:cNvPr id="3" name="Rectangle 2">
          <a:extLst>
            <a:ext uri="{FF2B5EF4-FFF2-40B4-BE49-F238E27FC236}">
              <a16:creationId xmlns:a16="http://schemas.microsoft.com/office/drawing/2014/main" id="{2AA85ADA-4C53-A97D-B4DA-9DC18A54224E}"/>
            </a:ext>
          </a:extLst>
        </xdr:cNvPr>
        <xdr:cNvSpPr/>
      </xdr:nvSpPr>
      <xdr:spPr>
        <a:xfrm>
          <a:off x="2686050" y="57150"/>
          <a:ext cx="6991350" cy="383857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561975</xdr:colOff>
      <xdr:row>0</xdr:row>
      <xdr:rowOff>114300</xdr:rowOff>
    </xdr:from>
    <xdr:to>
      <xdr:col>11</xdr:col>
      <xdr:colOff>285750</xdr:colOff>
      <xdr:row>3</xdr:row>
      <xdr:rowOff>133350</xdr:rowOff>
    </xdr:to>
    <xdr:sp macro="" textlink="">
      <xdr:nvSpPr>
        <xdr:cNvPr id="14" name="TextBox 13">
          <a:extLst>
            <a:ext uri="{FF2B5EF4-FFF2-40B4-BE49-F238E27FC236}">
              <a16:creationId xmlns:a16="http://schemas.microsoft.com/office/drawing/2014/main" id="{6F43A69F-8B30-DAB4-B284-205C0487834C}"/>
            </a:ext>
          </a:extLst>
        </xdr:cNvPr>
        <xdr:cNvSpPr txBox="1"/>
      </xdr:nvSpPr>
      <xdr:spPr>
        <a:xfrm>
          <a:off x="3000375" y="114300"/>
          <a:ext cx="3990975" cy="59055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kern="1200" cap="none" spc="0">
              <a:ln w="0"/>
              <a:solidFill>
                <a:schemeClr val="accent2">
                  <a:lumMod val="50000"/>
                </a:schemeClr>
              </a:solidFill>
              <a:effectLst>
                <a:outerShdw blurRad="38100" dist="25400" dir="5400000" algn="ctr" rotWithShape="0">
                  <a:srgbClr val="6E747A">
                    <a:alpha val="43000"/>
                  </a:srgbClr>
                </a:outerShdw>
              </a:effectLst>
            </a:rPr>
            <a:t>Coffee</a:t>
          </a:r>
          <a:r>
            <a:rPr lang="en-US" sz="2800" b="1" kern="1200" cap="none" spc="0" baseline="0">
              <a:ln w="0"/>
              <a:solidFill>
                <a:schemeClr val="accent2">
                  <a:lumMod val="50000"/>
                </a:schemeClr>
              </a:solidFill>
              <a:effectLst>
                <a:outerShdw blurRad="38100" dist="25400" dir="5400000" algn="ctr" rotWithShape="0">
                  <a:srgbClr val="6E747A">
                    <a:alpha val="43000"/>
                  </a:srgbClr>
                </a:outerShdw>
              </a:effectLst>
            </a:rPr>
            <a:t> Data Sales Views</a:t>
          </a:r>
          <a:endParaRPr lang="en-US" sz="2800" b="1" kern="1200" cap="none" spc="0">
            <a:ln w="0"/>
            <a:solidFill>
              <a:schemeClr val="accent2">
                <a:lumMod val="50000"/>
              </a:schemeClr>
            </a:solidFill>
            <a:effectLst>
              <a:outerShdw blurRad="38100" dist="25400" dir="5400000" algn="ctr" rotWithShape="0">
                <a:srgbClr val="6E747A">
                  <a:alpha val="43000"/>
                </a:srgbClr>
              </a:outerShdw>
            </a:effectLst>
          </a:endParaRPr>
        </a:p>
      </xdr:txBody>
    </xdr:sp>
    <xdr:clientData/>
  </xdr:twoCellAnchor>
  <xdr:twoCellAnchor editAs="oneCell">
    <xdr:from>
      <xdr:col>4</xdr:col>
      <xdr:colOff>390524</xdr:colOff>
      <xdr:row>12</xdr:row>
      <xdr:rowOff>114301</xdr:rowOff>
    </xdr:from>
    <xdr:to>
      <xdr:col>6</xdr:col>
      <xdr:colOff>590549</xdr:colOff>
      <xdr:row>19</xdr:row>
      <xdr:rowOff>152401</xdr:rowOff>
    </xdr:to>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E479504D-837B-402D-9265-3FEB7B6DFCD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828924" y="2400301"/>
              <a:ext cx="141922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171450</xdr:colOff>
      <xdr:row>12</xdr:row>
      <xdr:rowOff>114299</xdr:rowOff>
    </xdr:from>
    <xdr:to>
      <xdr:col>11</xdr:col>
      <xdr:colOff>257175</xdr:colOff>
      <xdr:row>20</xdr:row>
      <xdr:rowOff>38100</xdr:rowOff>
    </xdr:to>
    <xdr:graphicFrame macro="">
      <xdr:nvGraphicFramePr>
        <xdr:cNvPr id="26" name="Chart 25">
          <a:extLst>
            <a:ext uri="{FF2B5EF4-FFF2-40B4-BE49-F238E27FC236}">
              <a16:creationId xmlns:a16="http://schemas.microsoft.com/office/drawing/2014/main" id="{BA357BFD-B86A-4767-BCED-A6015B85F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400050</xdr:colOff>
      <xdr:row>5</xdr:row>
      <xdr:rowOff>9525</xdr:rowOff>
    </xdr:from>
    <xdr:to>
      <xdr:col>6</xdr:col>
      <xdr:colOff>600075</xdr:colOff>
      <xdr:row>12</xdr:row>
      <xdr:rowOff>85725</xdr:rowOff>
    </xdr:to>
    <mc:AlternateContent xmlns:mc="http://schemas.openxmlformats.org/markup-compatibility/2006" xmlns:a14="http://schemas.microsoft.com/office/drawing/2010/main">
      <mc:Choice Requires="a14">
        <xdr:graphicFrame macro="">
          <xdr:nvGraphicFramePr>
            <xdr:cNvPr id="41" name="Coffee type 1">
              <a:extLst>
                <a:ext uri="{FF2B5EF4-FFF2-40B4-BE49-F238E27FC236}">
                  <a16:creationId xmlns:a16="http://schemas.microsoft.com/office/drawing/2014/main" id="{83750FEF-20FD-4448-8000-0C58E0037518}"/>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2838450" y="962025"/>
              <a:ext cx="1419225"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295275</xdr:colOff>
      <xdr:row>12</xdr:row>
      <xdr:rowOff>133349</xdr:rowOff>
    </xdr:from>
    <xdr:to>
      <xdr:col>15</xdr:col>
      <xdr:colOff>419100</xdr:colOff>
      <xdr:row>20</xdr:row>
      <xdr:rowOff>28574</xdr:rowOff>
    </xdr:to>
    <xdr:graphicFrame macro="">
      <xdr:nvGraphicFramePr>
        <xdr:cNvPr id="43" name="Chart 42">
          <a:extLst>
            <a:ext uri="{FF2B5EF4-FFF2-40B4-BE49-F238E27FC236}">
              <a16:creationId xmlns:a16="http://schemas.microsoft.com/office/drawing/2014/main" id="{BFCDCB2D-5F24-45B0-A3AC-11F61DCB9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4</xdr:row>
      <xdr:rowOff>123825</xdr:rowOff>
    </xdr:from>
    <xdr:to>
      <xdr:col>15</xdr:col>
      <xdr:colOff>409575</xdr:colOff>
      <xdr:row>12</xdr:row>
      <xdr:rowOff>95250</xdr:rowOff>
    </xdr:to>
    <xdr:graphicFrame macro="">
      <xdr:nvGraphicFramePr>
        <xdr:cNvPr id="45" name="Chart 44">
          <a:extLst>
            <a:ext uri="{FF2B5EF4-FFF2-40B4-BE49-F238E27FC236}">
              <a16:creationId xmlns:a16="http://schemas.microsoft.com/office/drawing/2014/main" id="{20062C35-0626-4F7F-8028-977C97DCE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152401</xdr:colOff>
      <xdr:row>4</xdr:row>
      <xdr:rowOff>142874</xdr:rowOff>
    </xdr:from>
    <xdr:to>
      <xdr:col>11</xdr:col>
      <xdr:colOff>266701</xdr:colOff>
      <xdr:row>12</xdr:row>
      <xdr:rowOff>76199</xdr:rowOff>
    </xdr:to>
    <xdr:graphicFrame macro="">
      <xdr:nvGraphicFramePr>
        <xdr:cNvPr id="47" name="Chart 46">
          <a:extLst>
            <a:ext uri="{FF2B5EF4-FFF2-40B4-BE49-F238E27FC236}">
              <a16:creationId xmlns:a16="http://schemas.microsoft.com/office/drawing/2014/main" id="{4A13F8D2-7A30-41A6-B40B-F0ECDD688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495300</xdr:colOff>
      <xdr:row>1</xdr:row>
      <xdr:rowOff>19050</xdr:rowOff>
    </xdr:from>
    <xdr:to>
      <xdr:col>15</xdr:col>
      <xdr:colOff>419100</xdr:colOff>
      <xdr:row>4</xdr:row>
      <xdr:rowOff>19050</xdr:rowOff>
    </xdr:to>
    <xdr:sp macro="" textlink="">
      <xdr:nvSpPr>
        <xdr:cNvPr id="49" name="Rectangle: Rounded Corners 48">
          <a:extLst>
            <a:ext uri="{FF2B5EF4-FFF2-40B4-BE49-F238E27FC236}">
              <a16:creationId xmlns:a16="http://schemas.microsoft.com/office/drawing/2014/main" id="{78960D4D-936B-46D9-4312-31C4C65BADEA}"/>
            </a:ext>
          </a:extLst>
        </xdr:cNvPr>
        <xdr:cNvSpPr/>
      </xdr:nvSpPr>
      <xdr:spPr>
        <a:xfrm>
          <a:off x="8420100" y="209550"/>
          <a:ext cx="114300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600075</xdr:colOff>
      <xdr:row>1</xdr:row>
      <xdr:rowOff>9526</xdr:rowOff>
    </xdr:from>
    <xdr:to>
      <xdr:col>15</xdr:col>
      <xdr:colOff>295275</xdr:colOff>
      <xdr:row>2</xdr:row>
      <xdr:rowOff>66675</xdr:rowOff>
    </xdr:to>
    <xdr:sp macro="" textlink="">
      <xdr:nvSpPr>
        <xdr:cNvPr id="50" name="TextBox 49">
          <a:extLst>
            <a:ext uri="{FF2B5EF4-FFF2-40B4-BE49-F238E27FC236}">
              <a16:creationId xmlns:a16="http://schemas.microsoft.com/office/drawing/2014/main" id="{4685E978-FADB-1BBE-7C8D-4FAF94B22838}"/>
            </a:ext>
          </a:extLst>
        </xdr:cNvPr>
        <xdr:cNvSpPr txBox="1"/>
      </xdr:nvSpPr>
      <xdr:spPr>
        <a:xfrm>
          <a:off x="8524875" y="200026"/>
          <a:ext cx="914400" cy="24764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kern="1200">
              <a:solidFill>
                <a:schemeClr val="accent2">
                  <a:lumMod val="50000"/>
                </a:schemeClr>
              </a:solidFill>
            </a:rPr>
            <a:t>Total Profit</a:t>
          </a:r>
        </a:p>
      </xdr:txBody>
    </xdr:sp>
    <xdr:clientData/>
  </xdr:twoCellAnchor>
  <xdr:oneCellAnchor>
    <xdr:from>
      <xdr:col>14</xdr:col>
      <xdr:colOff>19050</xdr:colOff>
      <xdr:row>2</xdr:row>
      <xdr:rowOff>9525</xdr:rowOff>
    </xdr:from>
    <xdr:ext cx="971550" cy="342899"/>
    <xdr:sp macro="" textlink="WORKSHEET!Y8">
      <xdr:nvSpPr>
        <xdr:cNvPr id="51" name="TextBox 50">
          <a:extLst>
            <a:ext uri="{FF2B5EF4-FFF2-40B4-BE49-F238E27FC236}">
              <a16:creationId xmlns:a16="http://schemas.microsoft.com/office/drawing/2014/main" id="{450C4F7D-D45A-7583-7902-E42580153FCE}"/>
            </a:ext>
          </a:extLst>
        </xdr:cNvPr>
        <xdr:cNvSpPr txBox="1"/>
      </xdr:nvSpPr>
      <xdr:spPr>
        <a:xfrm>
          <a:off x="8553450" y="390525"/>
          <a:ext cx="971550" cy="34289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EB45035-26CA-4E6B-8676-91D70B785309}" type="TxLink">
            <a:rPr lang="en-US" sz="1200" b="1" i="0" u="none" strike="noStrike" kern="1200">
              <a:solidFill>
                <a:schemeClr val="tx1">
                  <a:lumMod val="95000"/>
                  <a:lumOff val="5000"/>
                </a:schemeClr>
              </a:solidFill>
              <a:latin typeface="Calibri"/>
              <a:cs typeface="Calibri"/>
            </a:rPr>
            <a:pPr/>
            <a:t>4520.2174</a:t>
          </a:fld>
          <a:endParaRPr lang="en-US" sz="1200" b="1" kern="1200">
            <a:solidFill>
              <a:schemeClr val="tx1">
                <a:lumMod val="95000"/>
                <a:lumOff val="5000"/>
              </a:schemeClr>
            </a:solidFill>
          </a:endParaRPr>
        </a:p>
      </xdr:txBody>
    </xdr:sp>
    <xdr:clientData/>
  </xdr:oneCellAnchor>
  <xdr:twoCellAnchor>
    <xdr:from>
      <xdr:col>11</xdr:col>
      <xdr:colOff>276225</xdr:colOff>
      <xdr:row>1</xdr:row>
      <xdr:rowOff>28575</xdr:rowOff>
    </xdr:from>
    <xdr:to>
      <xdr:col>13</xdr:col>
      <xdr:colOff>476250</xdr:colOff>
      <xdr:row>4</xdr:row>
      <xdr:rowOff>38100</xdr:rowOff>
    </xdr:to>
    <xdr:sp macro="" textlink="">
      <xdr:nvSpPr>
        <xdr:cNvPr id="52" name="Rectangle: Rounded Corners 51">
          <a:extLst>
            <a:ext uri="{FF2B5EF4-FFF2-40B4-BE49-F238E27FC236}">
              <a16:creationId xmlns:a16="http://schemas.microsoft.com/office/drawing/2014/main" id="{7A3681D6-5F48-DAF9-38B8-66668F192D05}"/>
            </a:ext>
          </a:extLst>
        </xdr:cNvPr>
        <xdr:cNvSpPr/>
      </xdr:nvSpPr>
      <xdr:spPr>
        <a:xfrm>
          <a:off x="6981825" y="219075"/>
          <a:ext cx="1419225" cy="581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381000</xdr:colOff>
      <xdr:row>1</xdr:row>
      <xdr:rowOff>19050</xdr:rowOff>
    </xdr:from>
    <xdr:to>
      <xdr:col>13</xdr:col>
      <xdr:colOff>409575</xdr:colOff>
      <xdr:row>2</xdr:row>
      <xdr:rowOff>171449</xdr:rowOff>
    </xdr:to>
    <xdr:sp macro="" textlink="">
      <xdr:nvSpPr>
        <xdr:cNvPr id="53" name="TextBox 52">
          <a:extLst>
            <a:ext uri="{FF2B5EF4-FFF2-40B4-BE49-F238E27FC236}">
              <a16:creationId xmlns:a16="http://schemas.microsoft.com/office/drawing/2014/main" id="{27263655-4FC0-6F5A-E930-7EBE4F068E89}"/>
            </a:ext>
          </a:extLst>
        </xdr:cNvPr>
        <xdr:cNvSpPr txBox="1"/>
      </xdr:nvSpPr>
      <xdr:spPr>
        <a:xfrm>
          <a:off x="7086600" y="209550"/>
          <a:ext cx="1247775" cy="34289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kern="1200">
              <a:solidFill>
                <a:schemeClr val="accent2">
                  <a:lumMod val="50000"/>
                </a:schemeClr>
              </a:solidFill>
            </a:rPr>
            <a:t>No. of</a:t>
          </a:r>
          <a:r>
            <a:rPr lang="en-US" sz="1100" b="1" u="sng" kern="1200" baseline="0">
              <a:solidFill>
                <a:schemeClr val="accent2">
                  <a:lumMod val="50000"/>
                </a:schemeClr>
              </a:solidFill>
            </a:rPr>
            <a:t> </a:t>
          </a:r>
          <a:r>
            <a:rPr lang="en-US" sz="1100" b="1" u="sng" kern="1200">
              <a:solidFill>
                <a:schemeClr val="accent2">
                  <a:lumMod val="50000"/>
                </a:schemeClr>
              </a:solidFill>
            </a:rPr>
            <a:t>Customers</a:t>
          </a:r>
        </a:p>
      </xdr:txBody>
    </xdr:sp>
    <xdr:clientData/>
  </xdr:twoCellAnchor>
  <xdr:twoCellAnchor>
    <xdr:from>
      <xdr:col>12</xdr:col>
      <xdr:colOff>123825</xdr:colOff>
      <xdr:row>2</xdr:row>
      <xdr:rowOff>38100</xdr:rowOff>
    </xdr:from>
    <xdr:to>
      <xdr:col>13</xdr:col>
      <xdr:colOff>447675</xdr:colOff>
      <xdr:row>3</xdr:row>
      <xdr:rowOff>133350</xdr:rowOff>
    </xdr:to>
    <xdr:sp macro="" textlink="WORKSHEET!Y12">
      <xdr:nvSpPr>
        <xdr:cNvPr id="54" name="TextBox 53">
          <a:extLst>
            <a:ext uri="{FF2B5EF4-FFF2-40B4-BE49-F238E27FC236}">
              <a16:creationId xmlns:a16="http://schemas.microsoft.com/office/drawing/2014/main" id="{BBDE4BC3-C393-31AA-CDDA-6EC9C78A0BFF}"/>
            </a:ext>
          </a:extLst>
        </xdr:cNvPr>
        <xdr:cNvSpPr txBox="1"/>
      </xdr:nvSpPr>
      <xdr:spPr>
        <a:xfrm>
          <a:off x="7439025" y="419100"/>
          <a:ext cx="933450"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2811A7-2986-4BFC-8FF0-2B338B5FA049}" type="TxLink">
            <a:rPr lang="en-US" sz="1400" b="1" i="0" u="none" strike="noStrike" kern="1200">
              <a:solidFill>
                <a:srgbClr val="000000"/>
              </a:solidFill>
              <a:latin typeface="Calibri"/>
              <a:cs typeface="Calibri"/>
            </a:rPr>
            <a:pPr/>
            <a:t>1000</a:t>
          </a:fld>
          <a:endParaRPr lang="en-US" sz="1400" b="1"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6.686276967594" createdVersion="8" refreshedVersion="8" minRefreshableVersion="3" recordCount="1000" xr:uid="{C34CE538-D77B-4B64-8A42-5B6C671F9F5C}">
  <cacheSource type="worksheet">
    <worksheetSource ref="A1:U1001" sheet="WORKSHEET"/>
  </cacheSource>
  <cacheFields count="24">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3"/>
    </cacheField>
    <cacheField name="Year" numFmtId="2">
      <sharedItems count="4">
        <s v="2019"/>
        <s v="2021"/>
        <s v="2022"/>
        <s v="2020"/>
      </sharedItems>
    </cacheField>
    <cacheField name="Month" numFmtId="2">
      <sharedItems count="12">
        <s v="September"/>
        <s v="June"/>
        <s v="July"/>
        <s v="August"/>
        <s v="January"/>
        <s v="May"/>
        <s v="March"/>
        <s v="October"/>
        <s v="April"/>
        <s v="December"/>
        <s v="February"/>
        <s v="November"/>
      </sharedItems>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Phone number" numFmtId="0">
      <sharedItems/>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Country" numFmtId="0">
      <sharedItems count="3">
        <s v="United States"/>
        <s v="Ireland"/>
        <s v="United Kingdom"/>
      </sharedItems>
    </cacheField>
    <cacheField name="Loyalty Card" numFmtId="0">
      <sharedItems count="2">
        <s v="Yes"/>
        <s v="No"/>
      </sharedItems>
    </cacheField>
    <cacheField name="Product ID" numFmtId="0">
      <sharedItems/>
    </cacheField>
    <cacheField name="Coffee type" numFmtId="0">
      <sharedItems count="4">
        <s v="Robusta"/>
        <s v="Excelsa"/>
        <s v="Arabica"/>
        <s v="Liberica"/>
      </sharedItems>
    </cacheField>
    <cacheField name="Roast type" numFmtId="0">
      <sharedItems count="3">
        <s v="Medium"/>
        <s v="Light"/>
        <s v="Dark"/>
      </sharedItems>
    </cacheField>
    <cacheField name="Quantity" numFmtId="0">
      <sharedItems containsSemiMixedTypes="0" containsString="0" containsNumber="1" containsInteger="1" minValue="1" maxValue="6" count="6">
        <n v="2"/>
        <n v="5"/>
        <n v="1"/>
        <n v="3"/>
        <n v="4"/>
        <n v="6"/>
      </sharedItems>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Profit" numFmtId="0">
      <sharedItems containsSemiMixedTypes="0" containsString="0" containsNumber="1" minValue="0.16109999999999997" maxValue="4.7391499999999995"/>
    </cacheField>
    <cacheField name="Total Profit" numFmtId="0">
      <sharedItems containsSemiMixedTypes="0" containsString="0" containsNumber="1" minValue="0.16109999999999997" maxValue="28.434899999999999"/>
    </cacheField>
    <cacheField name="Profit Margin" numFmtId="166">
      <sharedItems containsSemiMixedTypes="0" containsString="0" containsNumber="1" minValue="5.9999999999999982" maxValue="13.000000000000004" count="13">
        <n v="6.0000000000000009"/>
        <n v="10.999999999999998"/>
        <n v="9"/>
        <n v="11"/>
        <n v="13"/>
        <n v="11.000000000000002"/>
        <n v="5.9999999999999982"/>
        <n v="6"/>
        <n v="8.9999999999999982"/>
        <n v="9.0000000000000018"/>
        <n v="12.999999999999998"/>
        <n v="5.9999999999999991"/>
        <n v="13.000000000000004"/>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231221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9.918063425925" createdVersion="8" refreshedVersion="8" minRefreshableVersion="3" recordCount="1001" xr:uid="{D53FB2B0-D9AA-46C8-B1A2-603CB7E855A0}">
  <cacheSource type="worksheet">
    <worksheetSource ref="A1:U1048576" sheet="WORKSHEET"/>
  </cacheSource>
  <cacheFields count="21">
    <cacheField name="Order ID" numFmtId="0">
      <sharedItems containsBlank="1"/>
    </cacheField>
    <cacheField name="Order Date" numFmtId="0">
      <sharedItems containsNonDate="0" containsDate="1" containsString="0" containsBlank="1" minDate="2019-01-02T00:00:00" maxDate="2022-08-20T00:00:00"/>
    </cacheField>
    <cacheField name="Year" numFmtId="0">
      <sharedItems containsBlank="1"/>
    </cacheField>
    <cacheField name="Month" numFmtId="0">
      <sharedItems containsBlank="1"/>
    </cacheField>
    <cacheField name="Customer ID" numFmtId="0">
      <sharedItems containsBlank="1"/>
    </cacheField>
    <cacheField name="Customer Name" numFmtId="0">
      <sharedItems containsBlank="1"/>
    </cacheField>
    <cacheField name="Email" numFmtId="0">
      <sharedItems containsBlank="1"/>
    </cacheField>
    <cacheField name="Phone number" numFmtId="0">
      <sharedItems containsBlank="1"/>
    </cacheField>
    <cacheField name="City" numFmtId="0">
      <sharedItems containsBlank="1"/>
    </cacheField>
    <cacheField name="Country" numFmtId="0">
      <sharedItems containsBlank="1"/>
    </cacheField>
    <cacheField name="Loyalty Card" numFmtId="0">
      <sharedItems containsBlank="1"/>
    </cacheField>
    <cacheField name="Product ID" numFmtId="0">
      <sharedItems containsBlank="1"/>
    </cacheField>
    <cacheField name="Coffee type" numFmtId="0">
      <sharedItems containsBlank="1"/>
    </cacheField>
    <cacheField name="Roast type" numFmtId="0">
      <sharedItems containsBlank="1"/>
    </cacheField>
    <cacheField name="Quantity" numFmtId="0">
      <sharedItems containsString="0" containsBlank="1" containsNumber="1" containsInteger="1" minValue="1" maxValue="6"/>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acheField>
    <cacheField name="Profit" numFmtId="0">
      <sharedItems containsString="0" containsBlank="1" containsNumber="1" minValue="0.16109999999999997" maxValue="4.7391499999999995"/>
    </cacheField>
    <cacheField name="Total Profit" numFmtId="0">
      <sharedItems containsString="0" containsBlank="1" containsNumber="1" minValue="0.16109999999999997" maxValue="28.434899999999999"/>
    </cacheField>
    <cacheField name="Profit Margin" numFmtId="0">
      <sharedItems containsString="0" containsBlank="1" containsNumber="1" minValue="5.9999999999999982" maxValue="13.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A2:O991V-37451-860"/>
    <x v="0"/>
    <x v="0"/>
    <x v="0"/>
    <x v="0"/>
    <x v="0"/>
    <s v="aallner0@lulu.com"/>
    <s v="+1 (862) 817-0124"/>
    <x v="0"/>
    <x v="0"/>
    <x v="0"/>
    <s v="R-M-1"/>
    <x v="0"/>
    <x v="0"/>
    <x v="0"/>
    <n v="1"/>
    <n v="9.9499999999999993"/>
    <x v="0"/>
    <n v="0.59699999999999998"/>
    <n v="1.194"/>
    <x v="0"/>
  </r>
  <r>
    <s v="QEV-37451-860"/>
    <x v="0"/>
    <x v="0"/>
    <x v="0"/>
    <x v="0"/>
    <x v="0"/>
    <s v="aallner0@lulu.com"/>
    <s v="+1 (862) 817-0124"/>
    <x v="0"/>
    <x v="0"/>
    <x v="0"/>
    <s v="E-M-0.5"/>
    <x v="1"/>
    <x v="0"/>
    <x v="1"/>
    <n v="0.5"/>
    <n v="8.25"/>
    <x v="1"/>
    <n v="0.90749999999999997"/>
    <n v="4.5374999999999996"/>
    <x v="1"/>
  </r>
  <r>
    <s v="FAA-43335-268"/>
    <x v="1"/>
    <x v="1"/>
    <x v="1"/>
    <x v="1"/>
    <x v="1"/>
    <s v="jredholes2@tmall.com"/>
    <s v="+1 (210) 986-6806"/>
    <x v="1"/>
    <x v="0"/>
    <x v="0"/>
    <s v="A-L-1"/>
    <x v="2"/>
    <x v="1"/>
    <x v="2"/>
    <n v="1"/>
    <n v="12.95"/>
    <x v="2"/>
    <n v="1.1655"/>
    <n v="1.1655"/>
    <x v="2"/>
  </r>
  <r>
    <s v="KAC-83089-793"/>
    <x v="2"/>
    <x v="1"/>
    <x v="2"/>
    <x v="2"/>
    <x v="2"/>
    <s v="UNKNOWN"/>
    <s v="+353 (698) 362-9201"/>
    <x v="2"/>
    <x v="1"/>
    <x v="1"/>
    <s v="E-M-1"/>
    <x v="1"/>
    <x v="0"/>
    <x v="0"/>
    <n v="1"/>
    <n v="13.75"/>
    <x v="3"/>
    <n v="1.5125"/>
    <n v="3.0249999999999999"/>
    <x v="3"/>
  </r>
  <r>
    <s v="KAC-83089-793"/>
    <x v="2"/>
    <x v="1"/>
    <x v="2"/>
    <x v="2"/>
    <x v="2"/>
    <s v="UNKNOWN"/>
    <s v="+353 (698) 362-9201"/>
    <x v="2"/>
    <x v="1"/>
    <x v="1"/>
    <s v="R-L-2.5"/>
    <x v="0"/>
    <x v="1"/>
    <x v="0"/>
    <n v="2.5"/>
    <n v="27.484999999999996"/>
    <x v="4"/>
    <n v="1.6490999999999998"/>
    <n v="3.2981999999999996"/>
    <x v="0"/>
  </r>
  <r>
    <s v="CVP-18956-553"/>
    <x v="3"/>
    <x v="1"/>
    <x v="3"/>
    <x v="3"/>
    <x v="3"/>
    <s v="UNKNOWN"/>
    <s v="+1 (570) 289-7473"/>
    <x v="3"/>
    <x v="0"/>
    <x v="1"/>
    <s v="L-D-1"/>
    <x v="3"/>
    <x v="2"/>
    <x v="3"/>
    <n v="1"/>
    <n v="12.95"/>
    <x v="5"/>
    <n v="1.6835"/>
    <n v="5.0504999999999995"/>
    <x v="4"/>
  </r>
  <r>
    <s v="IPP-31994-879"/>
    <x v="4"/>
    <x v="2"/>
    <x v="4"/>
    <x v="4"/>
    <x v="4"/>
    <s v="slobe6@nifty.com"/>
    <s v="+1 (937) 954-4541"/>
    <x v="4"/>
    <x v="0"/>
    <x v="0"/>
    <s v="E-D-0.5"/>
    <x v="1"/>
    <x v="2"/>
    <x v="3"/>
    <n v="0.5"/>
    <n v="7.29"/>
    <x v="6"/>
    <n v="0.80190000000000006"/>
    <n v="2.4057000000000004"/>
    <x v="5"/>
  </r>
  <r>
    <s v="SNZ-65340-705"/>
    <x v="5"/>
    <x v="2"/>
    <x v="5"/>
    <x v="5"/>
    <x v="5"/>
    <s v="UNKNOWN"/>
    <s v="+353 (507) 574-3034"/>
    <x v="5"/>
    <x v="1"/>
    <x v="0"/>
    <s v="L-L-0.2"/>
    <x v="3"/>
    <x v="1"/>
    <x v="2"/>
    <n v="0.2"/>
    <n v="4.7549999999999999"/>
    <x v="7"/>
    <n v="0.61814999999999998"/>
    <n v="0.61814999999999998"/>
    <x v="4"/>
  </r>
  <r>
    <s v="EZT-46571-659"/>
    <x v="6"/>
    <x v="0"/>
    <x v="4"/>
    <x v="6"/>
    <x v="6"/>
    <s v="gpetracci8@livejournal.com"/>
    <s v="+1 (310) 868-1842"/>
    <x v="6"/>
    <x v="0"/>
    <x v="1"/>
    <s v="R-M-0.5"/>
    <x v="0"/>
    <x v="0"/>
    <x v="3"/>
    <n v="0.5"/>
    <n v="5.97"/>
    <x v="8"/>
    <n v="0.35819999999999996"/>
    <n v="1.0745999999999998"/>
    <x v="6"/>
  </r>
  <r>
    <s v="NWQ-70061-912"/>
    <x v="0"/>
    <x v="0"/>
    <x v="0"/>
    <x v="7"/>
    <x v="7"/>
    <s v="rraven9@ed.gov"/>
    <s v="+1 (213) 263-0288"/>
    <x v="6"/>
    <x v="0"/>
    <x v="1"/>
    <s v="R-M-0.5"/>
    <x v="0"/>
    <x v="0"/>
    <x v="2"/>
    <n v="0.5"/>
    <n v="5.97"/>
    <x v="9"/>
    <n v="0.35819999999999996"/>
    <n v="0.35819999999999996"/>
    <x v="7"/>
  </r>
  <r>
    <s v="BKK-47233-845"/>
    <x v="7"/>
    <x v="1"/>
    <x v="6"/>
    <x v="8"/>
    <x v="8"/>
    <s v="fferbera@businesswire.com"/>
    <s v="+1 (408) 383-5302"/>
    <x v="7"/>
    <x v="0"/>
    <x v="1"/>
    <s v="A-D-1"/>
    <x v="2"/>
    <x v="2"/>
    <x v="4"/>
    <n v="1"/>
    <n v="9.9499999999999993"/>
    <x v="10"/>
    <n v="0.89549999999999985"/>
    <n v="3.5819999999999994"/>
    <x v="2"/>
  </r>
  <r>
    <s v="VQR-01002-970"/>
    <x v="8"/>
    <x v="3"/>
    <x v="7"/>
    <x v="9"/>
    <x v="9"/>
    <s v="dphizackerlyb@utexas.edu"/>
    <s v="+1 (408) 533-6012"/>
    <x v="7"/>
    <x v="0"/>
    <x v="0"/>
    <s v="E-L-2.5"/>
    <x v="1"/>
    <x v="1"/>
    <x v="1"/>
    <n v="2.5"/>
    <n v="34.154999999999994"/>
    <x v="11"/>
    <n v="3.7570499999999996"/>
    <n v="18.785249999999998"/>
    <x v="3"/>
  </r>
  <r>
    <s v="SZW-48378-399"/>
    <x v="9"/>
    <x v="2"/>
    <x v="2"/>
    <x v="10"/>
    <x v="10"/>
    <s v="rscholarc@nyu.edu"/>
    <s v="+1 (804) 420-0420"/>
    <x v="8"/>
    <x v="0"/>
    <x v="1"/>
    <s v="R-M-1"/>
    <x v="0"/>
    <x v="0"/>
    <x v="1"/>
    <n v="1"/>
    <n v="9.9499999999999993"/>
    <x v="12"/>
    <n v="0.59699999999999998"/>
    <n v="2.9849999999999999"/>
    <x v="7"/>
  </r>
  <r>
    <s v="ITA-87418-783"/>
    <x v="10"/>
    <x v="3"/>
    <x v="5"/>
    <x v="11"/>
    <x v="11"/>
    <s v="tvanyutind@wix.com"/>
    <s v="UNKNOWN"/>
    <x v="9"/>
    <x v="0"/>
    <x v="1"/>
    <s v="R-D-2.5"/>
    <x v="0"/>
    <x v="2"/>
    <x v="0"/>
    <n v="2.5"/>
    <n v="20.584999999999997"/>
    <x v="13"/>
    <n v="1.2350999999999999"/>
    <n v="2.4701999999999997"/>
    <x v="0"/>
  </r>
  <r>
    <s v="GNZ-46006-527"/>
    <x v="11"/>
    <x v="2"/>
    <x v="8"/>
    <x v="12"/>
    <x v="12"/>
    <s v="ptrobee@wunderground.com"/>
    <s v="+1 (314) 240-7896"/>
    <x v="10"/>
    <x v="0"/>
    <x v="0"/>
    <s v="L-D-0.2"/>
    <x v="3"/>
    <x v="2"/>
    <x v="3"/>
    <n v="0.2"/>
    <n v="3.8849999999999998"/>
    <x v="14"/>
    <n v="0.50505"/>
    <n v="1.51515"/>
    <x v="4"/>
  </r>
  <r>
    <s v="FYQ-78248-319"/>
    <x v="12"/>
    <x v="2"/>
    <x v="1"/>
    <x v="13"/>
    <x v="13"/>
    <s v="loscroftf@ebay.co.uk"/>
    <s v="UNKNOWN"/>
    <x v="11"/>
    <x v="0"/>
    <x v="1"/>
    <s v="R-M-2.5"/>
    <x v="0"/>
    <x v="0"/>
    <x v="1"/>
    <n v="2.5"/>
    <n v="22.884999999999998"/>
    <x v="15"/>
    <n v="1.3730999999999998"/>
    <n v="6.865499999999999"/>
    <x v="7"/>
  </r>
  <r>
    <s v="VAU-44387-624"/>
    <x v="13"/>
    <x v="0"/>
    <x v="6"/>
    <x v="14"/>
    <x v="14"/>
    <s v="malabasterg@hexun.com"/>
    <s v="+1 (971) 483-6255"/>
    <x v="12"/>
    <x v="0"/>
    <x v="1"/>
    <s v="A-M-0.2"/>
    <x v="2"/>
    <x v="0"/>
    <x v="5"/>
    <n v="0.2"/>
    <n v="3.375"/>
    <x v="16"/>
    <n v="0.30374999999999996"/>
    <n v="1.8224999999999998"/>
    <x v="8"/>
  </r>
  <r>
    <s v="RDW-33155-159"/>
    <x v="14"/>
    <x v="0"/>
    <x v="7"/>
    <x v="15"/>
    <x v="15"/>
    <s v="rbroxuph@jimdo.com"/>
    <s v="+1 (713) 663-1338"/>
    <x v="13"/>
    <x v="0"/>
    <x v="1"/>
    <s v="A-L-1"/>
    <x v="2"/>
    <x v="1"/>
    <x v="5"/>
    <n v="1"/>
    <n v="12.95"/>
    <x v="17"/>
    <n v="1.1655"/>
    <n v="6.9930000000000003"/>
    <x v="9"/>
  </r>
  <r>
    <s v="TDZ-59011-211"/>
    <x v="15"/>
    <x v="0"/>
    <x v="1"/>
    <x v="16"/>
    <x v="16"/>
    <s v="predfordi@ow.ly"/>
    <s v="UNKNOWN"/>
    <x v="14"/>
    <x v="1"/>
    <x v="0"/>
    <s v="R-D-2.5"/>
    <x v="0"/>
    <x v="2"/>
    <x v="4"/>
    <n v="2.5"/>
    <n v="20.584999999999997"/>
    <x v="18"/>
    <n v="1.2350999999999999"/>
    <n v="4.9403999999999995"/>
    <x v="0"/>
  </r>
  <r>
    <s v="IDU-25793-399"/>
    <x v="16"/>
    <x v="3"/>
    <x v="9"/>
    <x v="17"/>
    <x v="17"/>
    <s v="acorradinoj@harvard.edu"/>
    <s v="+1 (646) 202-5965"/>
    <x v="15"/>
    <x v="0"/>
    <x v="0"/>
    <s v="A-M-0.2"/>
    <x v="2"/>
    <x v="0"/>
    <x v="1"/>
    <n v="0.2"/>
    <n v="3.375"/>
    <x v="19"/>
    <n v="0.30374999999999996"/>
    <n v="1.5187499999999998"/>
    <x v="8"/>
  </r>
  <r>
    <s v="IDU-25793-399"/>
    <x v="16"/>
    <x v="3"/>
    <x v="9"/>
    <x v="17"/>
    <x v="17"/>
    <s v="acorradinoj@harvard.edu"/>
    <s v="+1 (646) 202-5965"/>
    <x v="15"/>
    <x v="0"/>
    <x v="0"/>
    <s v="E-D-0.2"/>
    <x v="1"/>
    <x v="2"/>
    <x v="4"/>
    <n v="0.2"/>
    <n v="3.645"/>
    <x v="20"/>
    <n v="0.40095000000000003"/>
    <n v="1.6038000000000001"/>
    <x v="3"/>
  </r>
  <r>
    <s v="NUO-20013-488"/>
    <x v="16"/>
    <x v="3"/>
    <x v="9"/>
    <x v="18"/>
    <x v="18"/>
    <s v="adavidowskyl@netvibes.com"/>
    <s v="+1 (616) 481-9962"/>
    <x v="16"/>
    <x v="0"/>
    <x v="1"/>
    <s v="A-D-0.2"/>
    <x v="2"/>
    <x v="2"/>
    <x v="5"/>
    <n v="0.2"/>
    <n v="2.9849999999999999"/>
    <x v="8"/>
    <n v="0.26865"/>
    <n v="1.6118999999999999"/>
    <x v="2"/>
  </r>
  <r>
    <s v="UQU-65630-479"/>
    <x v="17"/>
    <x v="1"/>
    <x v="4"/>
    <x v="19"/>
    <x v="19"/>
    <s v="aantukm@kickstarter.com"/>
    <s v="+1 (941) 740-6268"/>
    <x v="17"/>
    <x v="0"/>
    <x v="0"/>
    <s v="R-M-2.5"/>
    <x v="0"/>
    <x v="0"/>
    <x v="4"/>
    <n v="2.5"/>
    <n v="22.884999999999998"/>
    <x v="21"/>
    <n v="1.3730999999999998"/>
    <n v="5.4923999999999991"/>
    <x v="7"/>
  </r>
  <r>
    <s v="FEO-11834-332"/>
    <x v="18"/>
    <x v="2"/>
    <x v="10"/>
    <x v="20"/>
    <x v="20"/>
    <s v="ikleinertn@timesonline.co.uk"/>
    <s v="+1 (360) 352-6598"/>
    <x v="18"/>
    <x v="0"/>
    <x v="0"/>
    <s v="A-D-0.2"/>
    <x v="2"/>
    <x v="2"/>
    <x v="4"/>
    <n v="0.2"/>
    <n v="2.9849999999999999"/>
    <x v="22"/>
    <n v="0.26865"/>
    <n v="1.0746"/>
    <x v="9"/>
  </r>
  <r>
    <s v="TKY-71558-096"/>
    <x v="19"/>
    <x v="1"/>
    <x v="0"/>
    <x v="21"/>
    <x v="21"/>
    <s v="cblofeldo@amazon.co.uk"/>
    <s v="+1 (303) 936-3357"/>
    <x v="19"/>
    <x v="0"/>
    <x v="1"/>
    <s v="A-M-1"/>
    <x v="2"/>
    <x v="0"/>
    <x v="2"/>
    <n v="1"/>
    <n v="11.25"/>
    <x v="23"/>
    <n v="1.0125"/>
    <n v="1.0125"/>
    <x v="2"/>
  </r>
  <r>
    <s v="OXY-65322-253"/>
    <x v="20"/>
    <x v="3"/>
    <x v="7"/>
    <x v="22"/>
    <x v="22"/>
    <s v="UNKNOWN"/>
    <s v="+1 (941) 267-4822"/>
    <x v="17"/>
    <x v="0"/>
    <x v="0"/>
    <s v="E-M-0.2"/>
    <x v="1"/>
    <x v="0"/>
    <x v="3"/>
    <n v="0.2"/>
    <n v="4.125"/>
    <x v="24"/>
    <n v="0.45374999999999999"/>
    <n v="1.3612500000000001"/>
    <x v="3"/>
  </r>
  <r>
    <s v="EVP-43500-491"/>
    <x v="21"/>
    <x v="0"/>
    <x v="10"/>
    <x v="23"/>
    <x v="23"/>
    <s v="sshalesq@umich.edu"/>
    <s v="+1 (707) 881-5004"/>
    <x v="20"/>
    <x v="0"/>
    <x v="0"/>
    <s v="A-M-0.5"/>
    <x v="2"/>
    <x v="0"/>
    <x v="4"/>
    <n v="0.5"/>
    <n v="6.75"/>
    <x v="25"/>
    <n v="0.60749999999999993"/>
    <n v="2.4299999999999997"/>
    <x v="8"/>
  </r>
  <r>
    <s v="WAG-26945-689"/>
    <x v="22"/>
    <x v="0"/>
    <x v="7"/>
    <x v="24"/>
    <x v="24"/>
    <s v="vdanneilr@mtv.com"/>
    <s v="+353 (751) 346-0399"/>
    <x v="21"/>
    <x v="1"/>
    <x v="1"/>
    <s v="A-M-0.2"/>
    <x v="2"/>
    <x v="0"/>
    <x v="1"/>
    <n v="0.2"/>
    <n v="3.375"/>
    <x v="19"/>
    <n v="0.30374999999999996"/>
    <n v="1.5187499999999998"/>
    <x v="8"/>
  </r>
  <r>
    <s v="CHE-78995-767"/>
    <x v="23"/>
    <x v="2"/>
    <x v="3"/>
    <x v="25"/>
    <x v="25"/>
    <s v="tnewburys@usda.gov"/>
    <s v="+353 (803) 587-0026"/>
    <x v="22"/>
    <x v="1"/>
    <x v="1"/>
    <s v="A-D-0.5"/>
    <x v="2"/>
    <x v="2"/>
    <x v="3"/>
    <n v="0.5"/>
    <n v="5.97"/>
    <x v="8"/>
    <n v="0.5373"/>
    <n v="1.6118999999999999"/>
    <x v="2"/>
  </r>
  <r>
    <s v="RYZ-14633-602"/>
    <x v="21"/>
    <x v="0"/>
    <x v="10"/>
    <x v="26"/>
    <x v="26"/>
    <s v="mcalcuttt@baidu.com"/>
    <s v="+353 (928) 869-1762"/>
    <x v="23"/>
    <x v="1"/>
    <x v="0"/>
    <s v="A-D-1"/>
    <x v="2"/>
    <x v="2"/>
    <x v="4"/>
    <n v="1"/>
    <n v="9.9499999999999993"/>
    <x v="10"/>
    <n v="0.89549999999999985"/>
    <n v="3.5819999999999994"/>
    <x v="2"/>
  </r>
  <r>
    <s v="WOQ-36015-429"/>
    <x v="24"/>
    <x v="1"/>
    <x v="0"/>
    <x v="27"/>
    <x v="27"/>
    <s v="UNKNOWN"/>
    <s v="+1 (303) 486-9517"/>
    <x v="24"/>
    <x v="0"/>
    <x v="1"/>
    <s v="L-M-0.2"/>
    <x v="3"/>
    <x v="0"/>
    <x v="1"/>
    <n v="0.2"/>
    <n v="4.3650000000000002"/>
    <x v="26"/>
    <n v="0.56745000000000001"/>
    <n v="2.83725"/>
    <x v="10"/>
  </r>
  <r>
    <s v="WOQ-36015-429"/>
    <x v="24"/>
    <x v="1"/>
    <x v="0"/>
    <x v="27"/>
    <x v="27"/>
    <s v="UNKNOWN"/>
    <s v="+1 (303) 486-9517"/>
    <x v="24"/>
    <x v="0"/>
    <x v="1"/>
    <s v="A-D-0.5"/>
    <x v="2"/>
    <x v="2"/>
    <x v="5"/>
    <n v="0.5"/>
    <n v="5.97"/>
    <x v="27"/>
    <n v="0.5373"/>
    <n v="3.2237999999999998"/>
    <x v="2"/>
  </r>
  <r>
    <s v="WOQ-36015-429"/>
    <x v="24"/>
    <x v="1"/>
    <x v="0"/>
    <x v="27"/>
    <x v="27"/>
    <s v="UNKNOWN"/>
    <s v="+1 (303) 486-9517"/>
    <x v="24"/>
    <x v="0"/>
    <x v="1"/>
    <s v="L-M-0.5"/>
    <x v="3"/>
    <x v="0"/>
    <x v="5"/>
    <n v="0.5"/>
    <n v="8.73"/>
    <x v="28"/>
    <n v="1.1349"/>
    <n v="6.8094000000000001"/>
    <x v="4"/>
  </r>
  <r>
    <s v="SCT-60553-454"/>
    <x v="25"/>
    <x v="1"/>
    <x v="2"/>
    <x v="28"/>
    <x v="28"/>
    <s v="ggatheralx@123-reg.co.uk"/>
    <s v="UNKNOWN"/>
    <x v="25"/>
    <x v="0"/>
    <x v="1"/>
    <s v="L-L-0.2"/>
    <x v="3"/>
    <x v="1"/>
    <x v="1"/>
    <n v="0.2"/>
    <n v="4.7549999999999999"/>
    <x v="29"/>
    <n v="0.61814999999999998"/>
    <n v="3.0907499999999999"/>
    <x v="4"/>
  </r>
  <r>
    <s v="GFK-52063-244"/>
    <x v="26"/>
    <x v="3"/>
    <x v="1"/>
    <x v="29"/>
    <x v="29"/>
    <s v="uwelberryy@ebay.co.uk"/>
    <s v="+44 (392) 503-8132"/>
    <x v="26"/>
    <x v="2"/>
    <x v="0"/>
    <s v="L-L-0.5"/>
    <x v="3"/>
    <x v="1"/>
    <x v="5"/>
    <n v="0.5"/>
    <n v="9.51"/>
    <x v="30"/>
    <n v="1.2363"/>
    <n v="7.4177999999999997"/>
    <x v="10"/>
  </r>
  <r>
    <s v="AMM-79521-378"/>
    <x v="27"/>
    <x v="1"/>
    <x v="1"/>
    <x v="30"/>
    <x v="30"/>
    <s v="feilhartz@who.int"/>
    <s v="+1 (304) 510-6095"/>
    <x v="27"/>
    <x v="0"/>
    <x v="1"/>
    <s v="A-D-0.5"/>
    <x v="2"/>
    <x v="2"/>
    <x v="5"/>
    <n v="0.5"/>
    <n v="5.97"/>
    <x v="27"/>
    <n v="0.5373"/>
    <n v="3.2237999999999998"/>
    <x v="2"/>
  </r>
  <r>
    <s v="QUQ-90580-772"/>
    <x v="28"/>
    <x v="1"/>
    <x v="10"/>
    <x v="31"/>
    <x v="31"/>
    <s v="zponting10@altervista.org"/>
    <s v="+1 (501) 172-1476"/>
    <x v="28"/>
    <x v="0"/>
    <x v="1"/>
    <s v="L-M-0.2"/>
    <x v="3"/>
    <x v="0"/>
    <x v="0"/>
    <n v="0.2"/>
    <n v="4.3650000000000002"/>
    <x v="31"/>
    <n v="0.56745000000000001"/>
    <n v="1.1349"/>
    <x v="4"/>
  </r>
  <r>
    <s v="LGD-24408-274"/>
    <x v="29"/>
    <x v="0"/>
    <x v="8"/>
    <x v="32"/>
    <x v="32"/>
    <s v="sstrase11@booking.com"/>
    <s v="+1 (303) 579-8015"/>
    <x v="29"/>
    <x v="0"/>
    <x v="1"/>
    <s v="L-L-0.5"/>
    <x v="3"/>
    <x v="1"/>
    <x v="3"/>
    <n v="0.5"/>
    <n v="9.51"/>
    <x v="32"/>
    <n v="1.2363"/>
    <n v="3.7088999999999999"/>
    <x v="10"/>
  </r>
  <r>
    <s v="HCT-95608-959"/>
    <x v="30"/>
    <x v="3"/>
    <x v="8"/>
    <x v="33"/>
    <x v="33"/>
    <s v="dde12@unesco.org"/>
    <s v="+1 (612) 492-5160"/>
    <x v="30"/>
    <x v="0"/>
    <x v="1"/>
    <s v="R-M-2.5"/>
    <x v="0"/>
    <x v="0"/>
    <x v="1"/>
    <n v="2.5"/>
    <n v="22.884999999999998"/>
    <x v="15"/>
    <n v="1.3730999999999998"/>
    <n v="6.865499999999999"/>
    <x v="7"/>
  </r>
  <r>
    <s v="OFX-99147-470"/>
    <x v="31"/>
    <x v="1"/>
    <x v="11"/>
    <x v="34"/>
    <x v="34"/>
    <s v="UNKNOWN"/>
    <s v="UNKNOWN"/>
    <x v="31"/>
    <x v="0"/>
    <x v="0"/>
    <s v="R-M-1"/>
    <x v="0"/>
    <x v="0"/>
    <x v="5"/>
    <n v="1"/>
    <n v="9.9499999999999993"/>
    <x v="33"/>
    <n v="0.59699999999999998"/>
    <n v="3.5819999999999999"/>
    <x v="0"/>
  </r>
  <r>
    <s v="LUO-37559-016"/>
    <x v="32"/>
    <x v="1"/>
    <x v="8"/>
    <x v="35"/>
    <x v="35"/>
    <s v="UNKNOWN"/>
    <s v="+1 (504) 545-1478"/>
    <x v="32"/>
    <x v="0"/>
    <x v="1"/>
    <s v="L-M-1"/>
    <x v="3"/>
    <x v="0"/>
    <x v="3"/>
    <n v="1"/>
    <n v="14.55"/>
    <x v="34"/>
    <n v="1.8915000000000002"/>
    <n v="5.6745000000000001"/>
    <x v="10"/>
  </r>
  <r>
    <s v="XWC-20610-167"/>
    <x v="33"/>
    <x v="2"/>
    <x v="2"/>
    <x v="36"/>
    <x v="36"/>
    <s v="lyeoland15@pbs.org"/>
    <s v="+1 (860) 576-2887"/>
    <x v="33"/>
    <x v="0"/>
    <x v="0"/>
    <s v="E-D-0.2"/>
    <x v="1"/>
    <x v="2"/>
    <x v="0"/>
    <n v="0.2"/>
    <n v="3.645"/>
    <x v="35"/>
    <n v="0.40095000000000003"/>
    <n v="0.80190000000000006"/>
    <x v="3"/>
  </r>
  <r>
    <s v="GPU-79113-136"/>
    <x v="34"/>
    <x v="0"/>
    <x v="5"/>
    <x v="37"/>
    <x v="37"/>
    <s v="atolworthy16@toplist.cz"/>
    <s v="+1 (801) 722-4425"/>
    <x v="34"/>
    <x v="0"/>
    <x v="0"/>
    <s v="R-D-0.2"/>
    <x v="0"/>
    <x v="2"/>
    <x v="3"/>
    <n v="0.2"/>
    <n v="2.6849999999999996"/>
    <x v="36"/>
    <n v="0.16109999999999997"/>
    <n v="0.4832999999999999"/>
    <x v="11"/>
  </r>
  <r>
    <s v="ULR-52653-960"/>
    <x v="35"/>
    <x v="1"/>
    <x v="7"/>
    <x v="38"/>
    <x v="38"/>
    <s v="UNKNOWN"/>
    <s v="+1 (617) 493-7594"/>
    <x v="35"/>
    <x v="0"/>
    <x v="1"/>
    <s v="L-L-2.5"/>
    <x v="3"/>
    <x v="1"/>
    <x v="0"/>
    <n v="2.5"/>
    <n v="36.454999999999998"/>
    <x v="37"/>
    <n v="4.7391499999999995"/>
    <n v="9.4782999999999991"/>
    <x v="4"/>
  </r>
  <r>
    <s v="HPI-42308-142"/>
    <x v="36"/>
    <x v="3"/>
    <x v="8"/>
    <x v="39"/>
    <x v="39"/>
    <s v="obaudassi18@seesaa.net"/>
    <s v="+1 (585) 356-6251"/>
    <x v="36"/>
    <x v="0"/>
    <x v="0"/>
    <s v="E-M-0.5"/>
    <x v="1"/>
    <x v="0"/>
    <x v="0"/>
    <n v="0.5"/>
    <n v="8.25"/>
    <x v="38"/>
    <n v="0.90749999999999997"/>
    <n v="1.8149999999999999"/>
    <x v="3"/>
  </r>
  <r>
    <s v="XHI-30227-581"/>
    <x v="37"/>
    <x v="2"/>
    <x v="4"/>
    <x v="40"/>
    <x v="40"/>
    <s v="pkingsbury19@comcast.net"/>
    <s v="+1 (917) 705-8224"/>
    <x v="37"/>
    <x v="0"/>
    <x v="1"/>
    <s v="L-D-2.5"/>
    <x v="3"/>
    <x v="2"/>
    <x v="5"/>
    <n v="2.5"/>
    <n v="29.784999999999997"/>
    <x v="39"/>
    <n v="3.8720499999999998"/>
    <n v="23.232299999999999"/>
    <x v="4"/>
  </r>
  <r>
    <s v="DJH-05202-380"/>
    <x v="38"/>
    <x v="0"/>
    <x v="11"/>
    <x v="41"/>
    <x v="41"/>
    <s v="UNKNOWN"/>
    <s v="+1 (205) 923-1460"/>
    <x v="38"/>
    <x v="0"/>
    <x v="0"/>
    <s v="E-M-2.5"/>
    <x v="1"/>
    <x v="0"/>
    <x v="0"/>
    <n v="2.5"/>
    <n v="31.624999999999996"/>
    <x v="40"/>
    <n v="3.4787499999999998"/>
    <n v="6.9574999999999996"/>
    <x v="3"/>
  </r>
  <r>
    <s v="VMW-26889-781"/>
    <x v="39"/>
    <x v="0"/>
    <x v="1"/>
    <x v="42"/>
    <x v="42"/>
    <s v="acurley1b@hao123.com"/>
    <s v="+1 (760) 840-3808"/>
    <x v="39"/>
    <x v="0"/>
    <x v="0"/>
    <s v="A-L-0.2"/>
    <x v="2"/>
    <x v="1"/>
    <x v="0"/>
    <n v="0.2"/>
    <n v="3.8849999999999998"/>
    <x v="41"/>
    <n v="0.34964999999999996"/>
    <n v="0.69929999999999992"/>
    <x v="2"/>
  </r>
  <r>
    <s v="DBU-81099-586"/>
    <x v="40"/>
    <x v="3"/>
    <x v="0"/>
    <x v="43"/>
    <x v="43"/>
    <s v="rmcgilvary1c@tamu.edu"/>
    <s v="UNKNOWN"/>
    <x v="40"/>
    <x v="0"/>
    <x v="1"/>
    <s v="A-D-2.5"/>
    <x v="2"/>
    <x v="2"/>
    <x v="4"/>
    <n v="2.5"/>
    <n v="22.884999999999998"/>
    <x v="21"/>
    <n v="2.0596499999999995"/>
    <n v="8.2385999999999981"/>
    <x v="8"/>
  </r>
  <r>
    <s v="PQA-54820-810"/>
    <x v="41"/>
    <x v="2"/>
    <x v="3"/>
    <x v="44"/>
    <x v="44"/>
    <s v="ipikett1d@xinhuanet.com"/>
    <s v="+1 (202) 871-9039"/>
    <x v="41"/>
    <x v="0"/>
    <x v="1"/>
    <s v="A-L-1"/>
    <x v="2"/>
    <x v="1"/>
    <x v="3"/>
    <n v="1"/>
    <n v="12.95"/>
    <x v="5"/>
    <n v="1.1655"/>
    <n v="3.4965000000000002"/>
    <x v="9"/>
  </r>
  <r>
    <s v="XKB-41924-202"/>
    <x v="42"/>
    <x v="2"/>
    <x v="3"/>
    <x v="45"/>
    <x v="45"/>
    <s v="ibouldon1e@gizmodo.com"/>
    <s v="+1 (754) 391-4736"/>
    <x v="42"/>
    <x v="0"/>
    <x v="1"/>
    <s v="L-D-0.5"/>
    <x v="3"/>
    <x v="2"/>
    <x v="0"/>
    <n v="0.5"/>
    <n v="7.77"/>
    <x v="42"/>
    <n v="1.0101"/>
    <n v="2.0202"/>
    <x v="4"/>
  </r>
  <r>
    <s v="DWZ-69106-473"/>
    <x v="43"/>
    <x v="0"/>
    <x v="5"/>
    <x v="46"/>
    <x v="46"/>
    <s v="kflanders1f@over-blog.com"/>
    <s v="+353 (467) 720-7274"/>
    <x v="43"/>
    <x v="1"/>
    <x v="0"/>
    <s v="L-L-2.5"/>
    <x v="3"/>
    <x v="1"/>
    <x v="4"/>
    <n v="2.5"/>
    <n v="36.454999999999998"/>
    <x v="43"/>
    <n v="4.7391499999999995"/>
    <n v="18.956599999999998"/>
    <x v="4"/>
  </r>
  <r>
    <s v="YHV-68700-050"/>
    <x v="44"/>
    <x v="0"/>
    <x v="0"/>
    <x v="47"/>
    <x v="47"/>
    <s v="hmattioli1g@webmd.com"/>
    <s v="UNKNOWN"/>
    <x v="44"/>
    <x v="2"/>
    <x v="1"/>
    <s v="R-M-0.5"/>
    <x v="0"/>
    <x v="0"/>
    <x v="1"/>
    <n v="0.5"/>
    <n v="5.97"/>
    <x v="44"/>
    <n v="0.35819999999999996"/>
    <n v="1.7909999999999999"/>
    <x v="0"/>
  </r>
  <r>
    <s v="YHV-68700-050"/>
    <x v="44"/>
    <x v="0"/>
    <x v="0"/>
    <x v="47"/>
    <x v="47"/>
    <s v="hmattioli1g@webmd.com"/>
    <s v="UNKNOWN"/>
    <x v="44"/>
    <x v="2"/>
    <x v="1"/>
    <s v="L-L-2.5"/>
    <x v="3"/>
    <x v="1"/>
    <x v="0"/>
    <n v="2.5"/>
    <n v="36.454999999999998"/>
    <x v="37"/>
    <n v="4.7391499999999995"/>
    <n v="9.4782999999999991"/>
    <x v="4"/>
  </r>
  <r>
    <s v="KRB-88066-642"/>
    <x v="45"/>
    <x v="1"/>
    <x v="6"/>
    <x v="48"/>
    <x v="48"/>
    <s v="agillard1i@issuu.com"/>
    <s v="+1 (419) 663-2236"/>
    <x v="45"/>
    <x v="0"/>
    <x v="1"/>
    <s v="L-M-1"/>
    <x v="3"/>
    <x v="0"/>
    <x v="1"/>
    <n v="1"/>
    <n v="14.55"/>
    <x v="45"/>
    <n v="1.8915000000000002"/>
    <n v="9.4575000000000014"/>
    <x v="12"/>
  </r>
  <r>
    <s v="LQU-08404-173"/>
    <x v="46"/>
    <x v="3"/>
    <x v="9"/>
    <x v="49"/>
    <x v="49"/>
    <s v="UNKNOWN"/>
    <s v="+1 (609) 409-7044"/>
    <x v="46"/>
    <x v="0"/>
    <x v="1"/>
    <s v="L-L-1"/>
    <x v="3"/>
    <x v="1"/>
    <x v="3"/>
    <n v="1"/>
    <n v="15.85"/>
    <x v="46"/>
    <n v="2.0605000000000002"/>
    <n v="6.1815000000000007"/>
    <x v="12"/>
  </r>
  <r>
    <s v="CWK-60159-881"/>
    <x v="47"/>
    <x v="3"/>
    <x v="4"/>
    <x v="50"/>
    <x v="50"/>
    <s v="tgrizard1k@odnoklassniki.ru"/>
    <s v="+1 (813) 243-2150"/>
    <x v="47"/>
    <x v="0"/>
    <x v="0"/>
    <s v="E-D-0.2"/>
    <x v="1"/>
    <x v="2"/>
    <x v="3"/>
    <n v="0.2"/>
    <n v="3.645"/>
    <x v="47"/>
    <n v="0.40095000000000003"/>
    <n v="1.2028500000000002"/>
    <x v="5"/>
  </r>
  <r>
    <s v="EEG-74197-843"/>
    <x v="48"/>
    <x v="2"/>
    <x v="2"/>
    <x v="51"/>
    <x v="51"/>
    <s v="rrelton1l@stanford.edu"/>
    <s v="+1 (850) 626-1181"/>
    <x v="48"/>
    <x v="0"/>
    <x v="1"/>
    <s v="E-L-1"/>
    <x v="1"/>
    <x v="1"/>
    <x v="4"/>
    <n v="1"/>
    <n v="14.85"/>
    <x v="48"/>
    <n v="1.6335"/>
    <n v="6.5339999999999998"/>
    <x v="3"/>
  </r>
  <r>
    <s v="UCZ-59708-525"/>
    <x v="49"/>
    <x v="2"/>
    <x v="6"/>
    <x v="52"/>
    <x v="52"/>
    <s v="UNKNOWN"/>
    <s v="+1 (813) 759-3534"/>
    <x v="49"/>
    <x v="0"/>
    <x v="0"/>
    <s v="L-D-2.5"/>
    <x v="3"/>
    <x v="2"/>
    <x v="3"/>
    <n v="2.5"/>
    <n v="29.784999999999997"/>
    <x v="49"/>
    <n v="3.8720499999999998"/>
    <n v="11.616149999999999"/>
    <x v="4"/>
  </r>
  <r>
    <s v="HUB-47311-849"/>
    <x v="50"/>
    <x v="1"/>
    <x v="9"/>
    <x v="53"/>
    <x v="53"/>
    <s v="sgilroy1n@eepurl.com"/>
    <s v="UNKNOWN"/>
    <x v="50"/>
    <x v="0"/>
    <x v="0"/>
    <s v="L-M-0.5"/>
    <x v="3"/>
    <x v="0"/>
    <x v="3"/>
    <n v="0.5"/>
    <n v="8.73"/>
    <x v="50"/>
    <n v="1.1349"/>
    <n v="3.4047000000000001"/>
    <x v="4"/>
  </r>
  <r>
    <s v="WYM-17686-694"/>
    <x v="51"/>
    <x v="1"/>
    <x v="10"/>
    <x v="54"/>
    <x v="54"/>
    <s v="ccottingham1o@wikipedia.org"/>
    <s v="+1 (260) 764-1820"/>
    <x v="51"/>
    <x v="0"/>
    <x v="1"/>
    <s v="A-D-2.5"/>
    <x v="2"/>
    <x v="2"/>
    <x v="1"/>
    <n v="2.5"/>
    <n v="22.884999999999998"/>
    <x v="15"/>
    <n v="2.0596499999999995"/>
    <n v="10.298249999999998"/>
    <x v="2"/>
  </r>
  <r>
    <s v="ZYQ-15797-695"/>
    <x v="52"/>
    <x v="0"/>
    <x v="10"/>
    <x v="55"/>
    <x v="55"/>
    <s v="UNKNOWN"/>
    <s v="+44 (177) 260-5076"/>
    <x v="52"/>
    <x v="2"/>
    <x v="0"/>
    <s v="R-D-0.5"/>
    <x v="0"/>
    <x v="2"/>
    <x v="1"/>
    <n v="0.5"/>
    <n v="5.3699999999999992"/>
    <x v="51"/>
    <n v="0.32219999999999993"/>
    <n v="1.6109999999999998"/>
    <x v="0"/>
  </r>
  <r>
    <s v="EEJ-16185-108"/>
    <x v="53"/>
    <x v="0"/>
    <x v="10"/>
    <x v="56"/>
    <x v="56"/>
    <s v="UNKNOWN"/>
    <s v="+1 (239) 347-9766"/>
    <x v="53"/>
    <x v="0"/>
    <x v="0"/>
    <s v="L-L-0.2"/>
    <x v="3"/>
    <x v="1"/>
    <x v="1"/>
    <n v="0.2"/>
    <n v="4.7549999999999999"/>
    <x v="29"/>
    <n v="0.61814999999999998"/>
    <n v="3.0907499999999999"/>
    <x v="4"/>
  </r>
  <r>
    <s v="RWR-77888-800"/>
    <x v="54"/>
    <x v="3"/>
    <x v="10"/>
    <x v="57"/>
    <x v="57"/>
    <s v="adykes1r@eventbrite.com"/>
    <s v="+1 (312) 111-6203"/>
    <x v="54"/>
    <x v="0"/>
    <x v="1"/>
    <s v="A-M-0.5"/>
    <x v="2"/>
    <x v="0"/>
    <x v="2"/>
    <n v="0.5"/>
    <n v="6.75"/>
    <x v="52"/>
    <n v="0.60749999999999993"/>
    <n v="0.60749999999999993"/>
    <x v="8"/>
  </r>
  <r>
    <s v="LHN-75209-742"/>
    <x v="55"/>
    <x v="3"/>
    <x v="6"/>
    <x v="58"/>
    <x v="58"/>
    <s v="UNKNOWN"/>
    <s v="+1 (973) 434-8662"/>
    <x v="55"/>
    <x v="0"/>
    <x v="0"/>
    <s v="R-M-0.5"/>
    <x v="0"/>
    <x v="0"/>
    <x v="5"/>
    <n v="0.5"/>
    <n v="5.97"/>
    <x v="27"/>
    <n v="0.35819999999999996"/>
    <n v="2.1491999999999996"/>
    <x v="6"/>
  </r>
  <r>
    <s v="TIR-71396-998"/>
    <x v="56"/>
    <x v="2"/>
    <x v="6"/>
    <x v="59"/>
    <x v="59"/>
    <s v="acockrem1t@engadget.com"/>
    <s v="+1 (571) 316-8217"/>
    <x v="56"/>
    <x v="0"/>
    <x v="0"/>
    <s v="R-D-2.5"/>
    <x v="0"/>
    <x v="2"/>
    <x v="4"/>
    <n v="2.5"/>
    <n v="20.584999999999997"/>
    <x v="18"/>
    <n v="1.2350999999999999"/>
    <n v="4.9403999999999995"/>
    <x v="0"/>
  </r>
  <r>
    <s v="RXF-37618-213"/>
    <x v="57"/>
    <x v="2"/>
    <x v="8"/>
    <x v="60"/>
    <x v="60"/>
    <s v="bumpleby1u@soundcloud.com"/>
    <s v="+1 (682) 627-0888"/>
    <x v="57"/>
    <x v="0"/>
    <x v="0"/>
    <s v="R-L-0.5"/>
    <x v="0"/>
    <x v="1"/>
    <x v="2"/>
    <n v="0.5"/>
    <n v="7.169999999999999"/>
    <x v="53"/>
    <n v="0.43019999999999992"/>
    <n v="0.43019999999999992"/>
    <x v="7"/>
  </r>
  <r>
    <s v="ANM-16388-634"/>
    <x v="58"/>
    <x v="1"/>
    <x v="11"/>
    <x v="61"/>
    <x v="61"/>
    <s v="nsaleway1v@dedecms.com"/>
    <s v="+1 (323) 473-0294"/>
    <x v="58"/>
    <x v="0"/>
    <x v="1"/>
    <s v="L-L-0.2"/>
    <x v="3"/>
    <x v="1"/>
    <x v="0"/>
    <n v="0.2"/>
    <n v="4.7549999999999999"/>
    <x v="54"/>
    <n v="0.61814999999999998"/>
    <n v="1.2363"/>
    <x v="4"/>
  </r>
  <r>
    <s v="WYL-29300-070"/>
    <x v="59"/>
    <x v="0"/>
    <x v="7"/>
    <x v="62"/>
    <x v="62"/>
    <s v="hgoulter1w@abc.net.au"/>
    <s v="+1 (423) 764-7751"/>
    <x v="59"/>
    <x v="0"/>
    <x v="1"/>
    <s v="R-M-0.2"/>
    <x v="0"/>
    <x v="0"/>
    <x v="2"/>
    <n v="0.2"/>
    <n v="2.9849999999999999"/>
    <x v="55"/>
    <n v="0.17909999999999998"/>
    <n v="0.17909999999999998"/>
    <x v="7"/>
  </r>
  <r>
    <s v="JHW-74554-805"/>
    <x v="60"/>
    <x v="0"/>
    <x v="11"/>
    <x v="63"/>
    <x v="63"/>
    <s v="grizzello1x@symantec.com"/>
    <s v="+44 (247) 225-8003"/>
    <x v="60"/>
    <x v="2"/>
    <x v="0"/>
    <s v="R-M-1"/>
    <x v="0"/>
    <x v="0"/>
    <x v="5"/>
    <n v="1"/>
    <n v="9.9499999999999993"/>
    <x v="33"/>
    <n v="0.59699999999999998"/>
    <n v="3.5819999999999999"/>
    <x v="0"/>
  </r>
  <r>
    <s v="KYS-27063-603"/>
    <x v="61"/>
    <x v="0"/>
    <x v="1"/>
    <x v="64"/>
    <x v="64"/>
    <s v="slist1y@mapquest.com"/>
    <s v="+1 (614) 279-9816"/>
    <x v="61"/>
    <x v="0"/>
    <x v="1"/>
    <s v="E-L-2.5"/>
    <x v="1"/>
    <x v="1"/>
    <x v="4"/>
    <n v="2.5"/>
    <n v="34.154999999999994"/>
    <x v="56"/>
    <n v="3.7570499999999996"/>
    <n v="15.028199999999998"/>
    <x v="3"/>
  </r>
  <r>
    <s v="GAZ-58626-277"/>
    <x v="62"/>
    <x v="1"/>
    <x v="4"/>
    <x v="65"/>
    <x v="65"/>
    <s v="sedmondson1z@theguardian.com"/>
    <s v="+353 (248) 428-7978"/>
    <x v="62"/>
    <x v="1"/>
    <x v="1"/>
    <s v="L-L-0.2"/>
    <x v="3"/>
    <x v="1"/>
    <x v="0"/>
    <n v="0.2"/>
    <n v="4.7549999999999999"/>
    <x v="54"/>
    <n v="0.61814999999999998"/>
    <n v="1.2363"/>
    <x v="4"/>
  </r>
  <r>
    <s v="RPJ-37787-335"/>
    <x v="63"/>
    <x v="3"/>
    <x v="7"/>
    <x v="66"/>
    <x v="66"/>
    <s v="UNKNOWN"/>
    <s v="+1 (504) 209-2724"/>
    <x v="32"/>
    <x v="0"/>
    <x v="1"/>
    <s v="A-M-2.5"/>
    <x v="2"/>
    <x v="0"/>
    <x v="3"/>
    <n v="2.5"/>
    <n v="25.874999999999996"/>
    <x v="57"/>
    <n v="2.3287499999999994"/>
    <n v="6.9862499999999983"/>
    <x v="2"/>
  </r>
  <r>
    <s v="LEF-83057-763"/>
    <x v="64"/>
    <x v="1"/>
    <x v="1"/>
    <x v="67"/>
    <x v="67"/>
    <s v="UNKNOWN"/>
    <s v="+1 (704) 799-5219"/>
    <x v="63"/>
    <x v="0"/>
    <x v="0"/>
    <s v="L-M-0.2"/>
    <x v="3"/>
    <x v="0"/>
    <x v="1"/>
    <n v="0.2"/>
    <n v="4.3650000000000002"/>
    <x v="26"/>
    <n v="0.56745000000000001"/>
    <n v="2.83725"/>
    <x v="10"/>
  </r>
  <r>
    <s v="RPW-36123-215"/>
    <x v="65"/>
    <x v="1"/>
    <x v="2"/>
    <x v="68"/>
    <x v="68"/>
    <s v="jrangall22@newsvine.com"/>
    <s v="+1 (781) 512-6637"/>
    <x v="64"/>
    <x v="0"/>
    <x v="0"/>
    <s v="E-L-0.5"/>
    <x v="1"/>
    <x v="1"/>
    <x v="0"/>
    <n v="0.5"/>
    <n v="8.91"/>
    <x v="58"/>
    <n v="0.98009999999999997"/>
    <n v="1.9601999999999999"/>
    <x v="3"/>
  </r>
  <r>
    <s v="WLL-59044-117"/>
    <x v="66"/>
    <x v="1"/>
    <x v="2"/>
    <x v="69"/>
    <x v="69"/>
    <s v="kboorn23@ezinearticles.com"/>
    <s v="+353 (359) 134-1550"/>
    <x v="65"/>
    <x v="1"/>
    <x v="0"/>
    <s v="R-D-1"/>
    <x v="0"/>
    <x v="2"/>
    <x v="5"/>
    <n v="1"/>
    <n v="8.9499999999999993"/>
    <x v="59"/>
    <n v="0.53699999999999992"/>
    <n v="3.2219999999999995"/>
    <x v="7"/>
  </r>
  <r>
    <s v="AWT-22827-563"/>
    <x v="67"/>
    <x v="3"/>
    <x v="4"/>
    <x v="70"/>
    <x v="70"/>
    <s v="UNKNOWN"/>
    <s v="+353 (569) 458-9673"/>
    <x v="66"/>
    <x v="1"/>
    <x v="0"/>
    <s v="R-L-0.2"/>
    <x v="0"/>
    <x v="1"/>
    <x v="2"/>
    <n v="0.2"/>
    <n v="3.5849999999999995"/>
    <x v="60"/>
    <n v="0.21509999999999996"/>
    <n v="0.21509999999999996"/>
    <x v="7"/>
  </r>
  <r>
    <s v="QLM-07145-668"/>
    <x v="68"/>
    <x v="0"/>
    <x v="5"/>
    <x v="71"/>
    <x v="71"/>
    <s v="celgey25@webs.com"/>
    <s v="+1 (432) 261-0702"/>
    <x v="67"/>
    <x v="0"/>
    <x v="1"/>
    <s v="E-D-0.2"/>
    <x v="1"/>
    <x v="2"/>
    <x v="0"/>
    <n v="0.2"/>
    <n v="3.645"/>
    <x v="35"/>
    <n v="0.40095000000000003"/>
    <n v="0.80190000000000006"/>
    <x v="3"/>
  </r>
  <r>
    <s v="HVQ-64398-930"/>
    <x v="69"/>
    <x v="3"/>
    <x v="6"/>
    <x v="72"/>
    <x v="72"/>
    <s v="lmizzi26@rakuten.co.jp"/>
    <s v="+1 (214) 719-8530"/>
    <x v="68"/>
    <x v="0"/>
    <x v="0"/>
    <s v="A-M-0.5"/>
    <x v="2"/>
    <x v="0"/>
    <x v="5"/>
    <n v="0.5"/>
    <n v="6.75"/>
    <x v="61"/>
    <n v="0.60749999999999993"/>
    <n v="3.6449999999999996"/>
    <x v="8"/>
  </r>
  <r>
    <s v="WRT-40778-247"/>
    <x v="70"/>
    <x v="2"/>
    <x v="6"/>
    <x v="73"/>
    <x v="73"/>
    <s v="cgiacomazzo27@jigsy.com"/>
    <s v="+1 (571) 703-2064"/>
    <x v="69"/>
    <x v="0"/>
    <x v="1"/>
    <s v="R-L-1"/>
    <x v="0"/>
    <x v="1"/>
    <x v="4"/>
    <n v="1"/>
    <n v="11.95"/>
    <x v="62"/>
    <n v="0.71699999999999997"/>
    <n v="2.8679999999999999"/>
    <x v="7"/>
  </r>
  <r>
    <s v="SUB-13006-125"/>
    <x v="71"/>
    <x v="0"/>
    <x v="8"/>
    <x v="74"/>
    <x v="74"/>
    <s v="aarnow28@arizona.edu"/>
    <s v="+1 (650) 238-1964"/>
    <x v="70"/>
    <x v="0"/>
    <x v="0"/>
    <s v="A-L-0.5"/>
    <x v="2"/>
    <x v="1"/>
    <x v="1"/>
    <n v="0.5"/>
    <n v="7.77"/>
    <x v="5"/>
    <n v="0.69929999999999992"/>
    <n v="3.4964999999999997"/>
    <x v="9"/>
  </r>
  <r>
    <s v="CQM-49696-263"/>
    <x v="72"/>
    <x v="0"/>
    <x v="7"/>
    <x v="75"/>
    <x v="75"/>
    <s v="syann29@senate.gov"/>
    <s v="+1 (719) 803-5276"/>
    <x v="71"/>
    <x v="0"/>
    <x v="0"/>
    <s v="L-L-2.5"/>
    <x v="3"/>
    <x v="1"/>
    <x v="3"/>
    <n v="2.5"/>
    <n v="36.454999999999998"/>
    <x v="63"/>
    <n v="4.7391499999999995"/>
    <n v="14.217449999999999"/>
    <x v="4"/>
  </r>
  <r>
    <s v="KXN-85094-246"/>
    <x v="73"/>
    <x v="0"/>
    <x v="0"/>
    <x v="76"/>
    <x v="76"/>
    <s v="bnaulls2a@tiny.cc"/>
    <s v="+353 (809) 128-0755"/>
    <x v="72"/>
    <x v="1"/>
    <x v="0"/>
    <s v="L-M-2.5"/>
    <x v="3"/>
    <x v="0"/>
    <x v="3"/>
    <n v="2.5"/>
    <n v="33.464999999999996"/>
    <x v="64"/>
    <n v="4.3504499999999995"/>
    <n v="13.051349999999999"/>
    <x v="4"/>
  </r>
  <r>
    <s v="XOQ-12405-419"/>
    <x v="74"/>
    <x v="3"/>
    <x v="8"/>
    <x v="77"/>
    <x v="77"/>
    <s v="UNKNOWN"/>
    <s v="+1 (716) 869-3749"/>
    <x v="73"/>
    <x v="0"/>
    <x v="0"/>
    <s v="R-D-2.5"/>
    <x v="0"/>
    <x v="2"/>
    <x v="4"/>
    <n v="2.5"/>
    <n v="20.584999999999997"/>
    <x v="18"/>
    <n v="1.2350999999999999"/>
    <n v="4.9403999999999995"/>
    <x v="0"/>
  </r>
  <r>
    <s v="HYF-10254-369"/>
    <x v="75"/>
    <x v="0"/>
    <x v="11"/>
    <x v="78"/>
    <x v="78"/>
    <s v="zsherewood2c@apache.org"/>
    <s v="+1 (209) 433-7924"/>
    <x v="74"/>
    <x v="0"/>
    <x v="1"/>
    <s v="L-L-0.5"/>
    <x v="3"/>
    <x v="1"/>
    <x v="2"/>
    <n v="0.5"/>
    <n v="9.51"/>
    <x v="54"/>
    <n v="1.2363"/>
    <n v="1.2363"/>
    <x v="4"/>
  </r>
  <r>
    <s v="XXJ-47000-307"/>
    <x v="76"/>
    <x v="0"/>
    <x v="2"/>
    <x v="79"/>
    <x v="79"/>
    <s v="jdufaire2d@fc2.com"/>
    <s v="UNKNOWN"/>
    <x v="57"/>
    <x v="0"/>
    <x v="1"/>
    <s v="A-L-2.5"/>
    <x v="2"/>
    <x v="1"/>
    <x v="3"/>
    <n v="2.5"/>
    <n v="29.784999999999997"/>
    <x v="49"/>
    <n v="2.6806499999999995"/>
    <n v="8.0419499999999982"/>
    <x v="8"/>
  </r>
  <r>
    <s v="XXJ-47000-307"/>
    <x v="76"/>
    <x v="0"/>
    <x v="2"/>
    <x v="79"/>
    <x v="79"/>
    <s v="jdufaire2d@fc2.com"/>
    <s v="UNKNOWN"/>
    <x v="57"/>
    <x v="0"/>
    <x v="1"/>
    <s v="A-D-0.2"/>
    <x v="2"/>
    <x v="2"/>
    <x v="4"/>
    <n v="0.2"/>
    <n v="2.9849999999999999"/>
    <x v="22"/>
    <n v="0.26865"/>
    <n v="1.0746"/>
    <x v="9"/>
  </r>
  <r>
    <s v="ZDK-82166-357"/>
    <x v="77"/>
    <x v="1"/>
    <x v="8"/>
    <x v="80"/>
    <x v="80"/>
    <s v="bkeaveney2f@netlog.com"/>
    <s v="UNKNOWN"/>
    <x v="75"/>
    <x v="0"/>
    <x v="1"/>
    <s v="A-M-1"/>
    <x v="2"/>
    <x v="0"/>
    <x v="3"/>
    <n v="1"/>
    <n v="11.25"/>
    <x v="65"/>
    <n v="1.0125"/>
    <n v="3.0374999999999996"/>
    <x v="8"/>
  </r>
  <r>
    <s v="IHN-19982-362"/>
    <x v="78"/>
    <x v="1"/>
    <x v="6"/>
    <x v="81"/>
    <x v="81"/>
    <s v="egrise2g@cargocollective.com"/>
    <s v="UNKNOWN"/>
    <x v="76"/>
    <x v="0"/>
    <x v="1"/>
    <s v="R-L-1"/>
    <x v="0"/>
    <x v="1"/>
    <x v="3"/>
    <n v="1"/>
    <n v="11.95"/>
    <x v="66"/>
    <n v="0.71699999999999997"/>
    <n v="2.1509999999999998"/>
    <x v="0"/>
  </r>
  <r>
    <s v="VMT-10030-889"/>
    <x v="79"/>
    <x v="1"/>
    <x v="9"/>
    <x v="82"/>
    <x v="82"/>
    <s v="tgottelier2h@vistaprint.com"/>
    <s v="+1 (816) 743-8492"/>
    <x v="77"/>
    <x v="0"/>
    <x v="1"/>
    <s v="A-L-1"/>
    <x v="2"/>
    <x v="1"/>
    <x v="5"/>
    <n v="1"/>
    <n v="12.95"/>
    <x v="17"/>
    <n v="1.1655"/>
    <n v="6.9930000000000003"/>
    <x v="9"/>
  </r>
  <r>
    <s v="NHL-11063-100"/>
    <x v="80"/>
    <x v="3"/>
    <x v="5"/>
    <x v="83"/>
    <x v="83"/>
    <s v="UNKNOWN"/>
    <s v="+353 (576) 222-5069"/>
    <x v="43"/>
    <x v="1"/>
    <x v="0"/>
    <s v="A-L-1"/>
    <x v="2"/>
    <x v="1"/>
    <x v="4"/>
    <n v="1"/>
    <n v="12.95"/>
    <x v="67"/>
    <n v="1.1655"/>
    <n v="4.6619999999999999"/>
    <x v="2"/>
  </r>
  <r>
    <s v="ROV-87448-086"/>
    <x v="81"/>
    <x v="3"/>
    <x v="11"/>
    <x v="84"/>
    <x v="84"/>
    <s v="agreenhead2j@dailymail.co.uk"/>
    <s v="+1 (951) 797-0738"/>
    <x v="78"/>
    <x v="0"/>
    <x v="1"/>
    <s v="A-M-2.5"/>
    <x v="2"/>
    <x v="0"/>
    <x v="4"/>
    <n v="2.5"/>
    <n v="25.874999999999996"/>
    <x v="68"/>
    <n v="2.3287499999999994"/>
    <n v="9.3149999999999977"/>
    <x v="2"/>
  </r>
  <r>
    <s v="DGY-35773-612"/>
    <x v="82"/>
    <x v="3"/>
    <x v="2"/>
    <x v="85"/>
    <x v="85"/>
    <s v="UNKNOWN"/>
    <s v="+1 (512) 430-4374"/>
    <x v="79"/>
    <x v="0"/>
    <x v="0"/>
    <s v="E-L-1"/>
    <x v="1"/>
    <x v="1"/>
    <x v="3"/>
    <n v="1"/>
    <n v="14.85"/>
    <x v="69"/>
    <n v="1.6335"/>
    <n v="4.9005000000000001"/>
    <x v="5"/>
  </r>
  <r>
    <s v="YWH-50638-556"/>
    <x v="83"/>
    <x v="0"/>
    <x v="6"/>
    <x v="86"/>
    <x v="86"/>
    <s v="elangcaster2l@spotify.com"/>
    <s v="+44 (547) 590-3103"/>
    <x v="80"/>
    <x v="2"/>
    <x v="0"/>
    <s v="E-L-0.5"/>
    <x v="1"/>
    <x v="1"/>
    <x v="4"/>
    <n v="0.5"/>
    <n v="8.91"/>
    <x v="70"/>
    <n v="0.98009999999999997"/>
    <n v="3.9203999999999999"/>
    <x v="3"/>
  </r>
  <r>
    <s v="ISL-11200-600"/>
    <x v="84"/>
    <x v="3"/>
    <x v="2"/>
    <x v="87"/>
    <x v="87"/>
    <s v="UNKNOWN"/>
    <s v="UNKNOWN"/>
    <x v="81"/>
    <x v="1"/>
    <x v="0"/>
    <s v="A-D-0.2"/>
    <x v="2"/>
    <x v="2"/>
    <x v="5"/>
    <n v="0.2"/>
    <n v="2.9849999999999999"/>
    <x v="8"/>
    <n v="0.26865"/>
    <n v="1.6118999999999999"/>
    <x v="2"/>
  </r>
  <r>
    <s v="LBZ-75997-047"/>
    <x v="85"/>
    <x v="0"/>
    <x v="9"/>
    <x v="88"/>
    <x v="88"/>
    <s v="nmagauran2n@51.la"/>
    <s v="UNKNOWN"/>
    <x v="74"/>
    <x v="0"/>
    <x v="1"/>
    <s v="A-M-2.5"/>
    <x v="2"/>
    <x v="0"/>
    <x v="5"/>
    <n v="2.5"/>
    <n v="25.874999999999996"/>
    <x v="71"/>
    <n v="2.3287499999999994"/>
    <n v="13.972499999999997"/>
    <x v="2"/>
  </r>
  <r>
    <s v="EUH-08089-954"/>
    <x v="86"/>
    <x v="3"/>
    <x v="9"/>
    <x v="89"/>
    <x v="89"/>
    <s v="vkirdsch2o@google.fr"/>
    <s v="UNKNOWN"/>
    <x v="10"/>
    <x v="0"/>
    <x v="1"/>
    <s v="A-D-0.2"/>
    <x v="2"/>
    <x v="2"/>
    <x v="0"/>
    <n v="0.2"/>
    <n v="2.9849999999999999"/>
    <x v="9"/>
    <n v="0.26865"/>
    <n v="0.5373"/>
    <x v="9"/>
  </r>
  <r>
    <s v="BLD-12227-251"/>
    <x v="87"/>
    <x v="1"/>
    <x v="6"/>
    <x v="90"/>
    <x v="90"/>
    <s v="iwhapple2p@com.com"/>
    <s v="+1 (559) 522-1152"/>
    <x v="74"/>
    <x v="0"/>
    <x v="1"/>
    <s v="A-M-0.5"/>
    <x v="2"/>
    <x v="0"/>
    <x v="0"/>
    <n v="0.5"/>
    <n v="6.75"/>
    <x v="72"/>
    <n v="0.60749999999999993"/>
    <n v="1.2149999999999999"/>
    <x v="8"/>
  </r>
  <r>
    <s v="OPY-30711-853"/>
    <x v="25"/>
    <x v="1"/>
    <x v="2"/>
    <x v="91"/>
    <x v="91"/>
    <s v="UNKNOWN"/>
    <s v="+353 (338) 743-8327"/>
    <x v="82"/>
    <x v="1"/>
    <x v="1"/>
    <s v="A-D-0.2"/>
    <x v="2"/>
    <x v="2"/>
    <x v="2"/>
    <n v="0.2"/>
    <n v="2.9849999999999999"/>
    <x v="55"/>
    <n v="0.26865"/>
    <n v="0.26865"/>
    <x v="9"/>
  </r>
  <r>
    <s v="DBC-44122-300"/>
    <x v="88"/>
    <x v="3"/>
    <x v="11"/>
    <x v="92"/>
    <x v="92"/>
    <s v="UNKNOWN"/>
    <s v="+1 (614) 370-6392"/>
    <x v="61"/>
    <x v="0"/>
    <x v="0"/>
    <s v="L-M-0.2"/>
    <x v="3"/>
    <x v="0"/>
    <x v="3"/>
    <n v="0.2"/>
    <n v="4.3650000000000002"/>
    <x v="73"/>
    <n v="0.56745000000000001"/>
    <n v="1.70235"/>
    <x v="4"/>
  </r>
  <r>
    <s v="FJQ-60035-234"/>
    <x v="89"/>
    <x v="1"/>
    <x v="8"/>
    <x v="93"/>
    <x v="93"/>
    <s v="UNKNOWN"/>
    <s v="+1 (209) 148-6668"/>
    <x v="83"/>
    <x v="0"/>
    <x v="0"/>
    <s v="A-L-0.2"/>
    <x v="2"/>
    <x v="1"/>
    <x v="0"/>
    <n v="0.2"/>
    <n v="3.8849999999999998"/>
    <x v="41"/>
    <n v="0.34964999999999996"/>
    <n v="0.69929999999999992"/>
    <x v="2"/>
  </r>
  <r>
    <s v="HSF-66926-425"/>
    <x v="90"/>
    <x v="3"/>
    <x v="6"/>
    <x v="94"/>
    <x v="94"/>
    <s v="nyoules2t@reference.com"/>
    <s v="+353 (641) 846-7654"/>
    <x v="84"/>
    <x v="1"/>
    <x v="0"/>
    <s v="L-D-2.5"/>
    <x v="3"/>
    <x v="2"/>
    <x v="1"/>
    <n v="2.5"/>
    <n v="29.784999999999997"/>
    <x v="74"/>
    <n v="3.8720499999999998"/>
    <n v="19.360250000000001"/>
    <x v="12"/>
  </r>
  <r>
    <s v="LQG-41416-375"/>
    <x v="91"/>
    <x v="1"/>
    <x v="7"/>
    <x v="95"/>
    <x v="95"/>
    <s v="daizikovitz2u@answers.com"/>
    <s v="+353 (766) 141-6317"/>
    <x v="85"/>
    <x v="1"/>
    <x v="0"/>
    <s v="L-D-1"/>
    <x v="3"/>
    <x v="2"/>
    <x v="3"/>
    <n v="1"/>
    <n v="12.95"/>
    <x v="5"/>
    <n v="1.6835"/>
    <n v="5.0504999999999995"/>
    <x v="4"/>
  </r>
  <r>
    <s v="VZO-97265-841"/>
    <x v="92"/>
    <x v="2"/>
    <x v="2"/>
    <x v="96"/>
    <x v="96"/>
    <s v="brevel2v@fastcompany.com"/>
    <s v="+1 (585) 775-6952"/>
    <x v="36"/>
    <x v="0"/>
    <x v="1"/>
    <s v="R-M-0.2"/>
    <x v="0"/>
    <x v="0"/>
    <x v="4"/>
    <n v="0.2"/>
    <n v="2.9849999999999999"/>
    <x v="22"/>
    <n v="0.17909999999999998"/>
    <n v="0.71639999999999993"/>
    <x v="7"/>
  </r>
  <r>
    <s v="MOR-12987-399"/>
    <x v="93"/>
    <x v="0"/>
    <x v="3"/>
    <x v="97"/>
    <x v="97"/>
    <s v="epriddis2w@nationalgeographic.com"/>
    <s v="+1 (205) 133-0205"/>
    <x v="86"/>
    <x v="0"/>
    <x v="1"/>
    <s v="L-M-1"/>
    <x v="3"/>
    <x v="0"/>
    <x v="5"/>
    <n v="1"/>
    <n v="14.55"/>
    <x v="75"/>
    <n v="1.8915000000000002"/>
    <n v="11.349"/>
    <x v="10"/>
  </r>
  <r>
    <s v="UOA-23786-489"/>
    <x v="94"/>
    <x v="3"/>
    <x v="5"/>
    <x v="98"/>
    <x v="98"/>
    <s v="qveel2x@jugem.jp"/>
    <s v="+1 (713) 750-9202"/>
    <x v="13"/>
    <x v="0"/>
    <x v="0"/>
    <s v="A-M-0.5"/>
    <x v="2"/>
    <x v="0"/>
    <x v="5"/>
    <n v="0.5"/>
    <n v="6.75"/>
    <x v="61"/>
    <n v="0.60749999999999993"/>
    <n v="3.6449999999999996"/>
    <x v="8"/>
  </r>
  <r>
    <s v="AJL-52941-018"/>
    <x v="95"/>
    <x v="3"/>
    <x v="5"/>
    <x v="99"/>
    <x v="99"/>
    <s v="lconyers2y@twitter.com"/>
    <s v="+1 (915) 476-5712"/>
    <x v="87"/>
    <x v="0"/>
    <x v="1"/>
    <s v="E-D-1"/>
    <x v="1"/>
    <x v="2"/>
    <x v="0"/>
    <n v="1"/>
    <n v="12.15"/>
    <x v="76"/>
    <n v="1.3365"/>
    <n v="2.673"/>
    <x v="3"/>
  </r>
  <r>
    <s v="XSZ-84273-421"/>
    <x v="96"/>
    <x v="0"/>
    <x v="8"/>
    <x v="100"/>
    <x v="100"/>
    <s v="pwye2z@dagondesign.com"/>
    <s v="+1 (719) 620-1128"/>
    <x v="71"/>
    <x v="0"/>
    <x v="0"/>
    <s v="R-M-0.5"/>
    <x v="0"/>
    <x v="0"/>
    <x v="3"/>
    <n v="0.5"/>
    <n v="5.97"/>
    <x v="8"/>
    <n v="0.35819999999999996"/>
    <n v="1.0745999999999998"/>
    <x v="6"/>
  </r>
  <r>
    <s v="NUN-48214-216"/>
    <x v="97"/>
    <x v="3"/>
    <x v="2"/>
    <x v="101"/>
    <x v="101"/>
    <s v="UNKNOWN"/>
    <s v="+1 (260) 613-2279"/>
    <x v="51"/>
    <x v="0"/>
    <x v="1"/>
    <s v="A-M-0.5"/>
    <x v="2"/>
    <x v="0"/>
    <x v="4"/>
    <n v="0.5"/>
    <n v="6.75"/>
    <x v="25"/>
    <n v="0.60749999999999993"/>
    <n v="2.4299999999999997"/>
    <x v="8"/>
  </r>
  <r>
    <s v="AKV-93064-769"/>
    <x v="98"/>
    <x v="0"/>
    <x v="9"/>
    <x v="102"/>
    <x v="102"/>
    <s v="tsheryn31@mtv.com"/>
    <s v="+1 (516) 826-3780"/>
    <x v="88"/>
    <x v="0"/>
    <x v="0"/>
    <s v="L-D-0.5"/>
    <x v="3"/>
    <x v="2"/>
    <x v="2"/>
    <n v="0.5"/>
    <n v="7.77"/>
    <x v="41"/>
    <n v="1.0101"/>
    <n v="1.0101"/>
    <x v="4"/>
  </r>
  <r>
    <s v="BRB-40903-533"/>
    <x v="99"/>
    <x v="2"/>
    <x v="1"/>
    <x v="103"/>
    <x v="103"/>
    <s v="mredgrave32@cargocollective.com"/>
    <s v="+1 (413) 691-2892"/>
    <x v="64"/>
    <x v="0"/>
    <x v="0"/>
    <s v="E-L-0.2"/>
    <x v="1"/>
    <x v="1"/>
    <x v="3"/>
    <n v="0.2"/>
    <n v="4.4550000000000001"/>
    <x v="77"/>
    <n v="0.49004999999999999"/>
    <n v="1.4701499999999998"/>
    <x v="1"/>
  </r>
  <r>
    <s v="GPR-19973-483"/>
    <x v="100"/>
    <x v="0"/>
    <x v="1"/>
    <x v="104"/>
    <x v="104"/>
    <s v="bfominov33@yale.edu"/>
    <s v="UNKNOWN"/>
    <x v="48"/>
    <x v="0"/>
    <x v="1"/>
    <s v="R-D-0.5"/>
    <x v="0"/>
    <x v="2"/>
    <x v="1"/>
    <n v="0.5"/>
    <n v="5.3699999999999992"/>
    <x v="51"/>
    <n v="0.32219999999999993"/>
    <n v="1.6109999999999998"/>
    <x v="0"/>
  </r>
  <r>
    <s v="XIY-43041-882"/>
    <x v="101"/>
    <x v="1"/>
    <x v="7"/>
    <x v="105"/>
    <x v="105"/>
    <s v="scritchlow34@un.org"/>
    <s v="+1 (804) 428-7292"/>
    <x v="8"/>
    <x v="0"/>
    <x v="1"/>
    <s v="A-M-1"/>
    <x v="2"/>
    <x v="0"/>
    <x v="2"/>
    <n v="1"/>
    <n v="11.25"/>
    <x v="23"/>
    <n v="1.0125"/>
    <n v="1.0125"/>
    <x v="2"/>
  </r>
  <r>
    <s v="YGY-98425-969"/>
    <x v="102"/>
    <x v="0"/>
    <x v="8"/>
    <x v="106"/>
    <x v="106"/>
    <s v="msteptow35@earthlink.net"/>
    <s v="+353 (266) 235-5189"/>
    <x v="89"/>
    <x v="1"/>
    <x v="1"/>
    <s v="L-M-1"/>
    <x v="3"/>
    <x v="0"/>
    <x v="2"/>
    <n v="1"/>
    <n v="14.55"/>
    <x v="78"/>
    <n v="1.8915000000000002"/>
    <n v="1.8915000000000002"/>
    <x v="4"/>
  </r>
  <r>
    <s v="MSB-08397-648"/>
    <x v="103"/>
    <x v="1"/>
    <x v="6"/>
    <x v="107"/>
    <x v="107"/>
    <s v="UNKNOWN"/>
    <s v="+1 (304) 532-7229"/>
    <x v="90"/>
    <x v="0"/>
    <x v="1"/>
    <s v="R-L-0.2"/>
    <x v="0"/>
    <x v="1"/>
    <x v="4"/>
    <n v="0.2"/>
    <n v="3.5849999999999995"/>
    <x v="79"/>
    <n v="0.21509999999999996"/>
    <n v="0.86039999999999983"/>
    <x v="7"/>
  </r>
  <r>
    <s v="WDR-06028-345"/>
    <x v="104"/>
    <x v="0"/>
    <x v="3"/>
    <x v="108"/>
    <x v="108"/>
    <s v="imulliner37@pinterest.com"/>
    <s v="+44 (331) 777-9556"/>
    <x v="38"/>
    <x v="2"/>
    <x v="1"/>
    <s v="L-L-1"/>
    <x v="3"/>
    <x v="1"/>
    <x v="2"/>
    <n v="1"/>
    <n v="15.85"/>
    <x v="80"/>
    <n v="2.0605000000000002"/>
    <n v="2.0605000000000002"/>
    <x v="4"/>
  </r>
  <r>
    <s v="MXM-42948-061"/>
    <x v="105"/>
    <x v="3"/>
    <x v="3"/>
    <x v="109"/>
    <x v="109"/>
    <s v="gstandley38@dion.ne.jp"/>
    <s v="+353 (521) 138-4331"/>
    <x v="91"/>
    <x v="1"/>
    <x v="0"/>
    <s v="L-L-0.2"/>
    <x v="3"/>
    <x v="1"/>
    <x v="4"/>
    <n v="0.2"/>
    <n v="4.7549999999999999"/>
    <x v="81"/>
    <n v="0.61814999999999998"/>
    <n v="2.4725999999999999"/>
    <x v="4"/>
  </r>
  <r>
    <s v="MGQ-98961-173"/>
    <x v="11"/>
    <x v="2"/>
    <x v="8"/>
    <x v="110"/>
    <x v="110"/>
    <s v="bdrage39@youku.com"/>
    <s v="+1 (937) 566-3449"/>
    <x v="4"/>
    <x v="0"/>
    <x v="1"/>
    <s v="L-L-0.5"/>
    <x v="3"/>
    <x v="1"/>
    <x v="4"/>
    <n v="0.5"/>
    <n v="9.51"/>
    <x v="82"/>
    <n v="1.2363"/>
    <n v="4.9451999999999998"/>
    <x v="4"/>
  </r>
  <r>
    <s v="RFH-64349-897"/>
    <x v="106"/>
    <x v="0"/>
    <x v="7"/>
    <x v="111"/>
    <x v="111"/>
    <s v="myallop3a@fema.gov"/>
    <s v="+1 (907) 267-1236"/>
    <x v="92"/>
    <x v="0"/>
    <x v="0"/>
    <s v="E-D-0.5"/>
    <x v="1"/>
    <x v="2"/>
    <x v="3"/>
    <n v="0.5"/>
    <n v="7.29"/>
    <x v="6"/>
    <n v="0.80190000000000006"/>
    <n v="2.4057000000000004"/>
    <x v="5"/>
  </r>
  <r>
    <s v="TKL-20738-660"/>
    <x v="107"/>
    <x v="1"/>
    <x v="7"/>
    <x v="112"/>
    <x v="112"/>
    <s v="cswitsur3b@chronoengine.com"/>
    <s v="+1 (615) 791-3142"/>
    <x v="93"/>
    <x v="0"/>
    <x v="1"/>
    <s v="E-M-0.2"/>
    <x v="1"/>
    <x v="0"/>
    <x v="2"/>
    <n v="0.2"/>
    <n v="4.125"/>
    <x v="83"/>
    <n v="0.45374999999999999"/>
    <n v="0.45374999999999999"/>
    <x v="3"/>
  </r>
  <r>
    <s v="TKL-20738-660"/>
    <x v="107"/>
    <x v="1"/>
    <x v="7"/>
    <x v="112"/>
    <x v="112"/>
    <s v="cswitsur3b@chronoengine.com"/>
    <s v="+1 (615) 791-3142"/>
    <x v="93"/>
    <x v="0"/>
    <x v="1"/>
    <s v="A-L-0.2"/>
    <x v="2"/>
    <x v="1"/>
    <x v="2"/>
    <n v="0.2"/>
    <n v="3.8849999999999998"/>
    <x v="84"/>
    <n v="0.34964999999999996"/>
    <n v="0.34964999999999996"/>
    <x v="2"/>
  </r>
  <r>
    <s v="TKL-20738-660"/>
    <x v="107"/>
    <x v="1"/>
    <x v="7"/>
    <x v="112"/>
    <x v="112"/>
    <s v="cswitsur3b@chronoengine.com"/>
    <s v="+1 (615) 791-3142"/>
    <x v="93"/>
    <x v="0"/>
    <x v="1"/>
    <s v="E-M-1"/>
    <x v="1"/>
    <x v="0"/>
    <x v="1"/>
    <n v="1"/>
    <n v="13.75"/>
    <x v="85"/>
    <n v="1.5125"/>
    <n v="7.5625"/>
    <x v="3"/>
  </r>
  <r>
    <s v="GOW-03198-575"/>
    <x v="108"/>
    <x v="1"/>
    <x v="6"/>
    <x v="113"/>
    <x v="113"/>
    <s v="mludwell3e@blogger.com"/>
    <s v="+1 (303) 242-3542"/>
    <x v="29"/>
    <x v="0"/>
    <x v="0"/>
    <s v="A-D-0.5"/>
    <x v="2"/>
    <x v="2"/>
    <x v="4"/>
    <n v="0.5"/>
    <n v="5.97"/>
    <x v="86"/>
    <n v="0.5373"/>
    <n v="2.1492"/>
    <x v="9"/>
  </r>
  <r>
    <s v="QJB-90477-635"/>
    <x v="109"/>
    <x v="2"/>
    <x v="1"/>
    <x v="114"/>
    <x v="114"/>
    <s v="dbeauchamp3f@usda.gov"/>
    <s v="+1 (203) 189-4256"/>
    <x v="94"/>
    <x v="0"/>
    <x v="1"/>
    <s v="L-L-2.5"/>
    <x v="3"/>
    <x v="1"/>
    <x v="4"/>
    <n v="2.5"/>
    <n v="36.454999999999998"/>
    <x v="43"/>
    <n v="4.7391499999999995"/>
    <n v="18.956599999999998"/>
    <x v="4"/>
  </r>
  <r>
    <s v="MWP-46239-785"/>
    <x v="110"/>
    <x v="0"/>
    <x v="8"/>
    <x v="115"/>
    <x v="115"/>
    <s v="srodliff3g@ted.com"/>
    <s v="+1 (757) 537-3012"/>
    <x v="95"/>
    <x v="0"/>
    <x v="0"/>
    <s v="L-M-0.2"/>
    <x v="3"/>
    <x v="0"/>
    <x v="1"/>
    <n v="0.2"/>
    <n v="4.3650000000000002"/>
    <x v="26"/>
    <n v="0.56745000000000001"/>
    <n v="2.83725"/>
    <x v="10"/>
  </r>
  <r>
    <s v="QDV-03406-248"/>
    <x v="111"/>
    <x v="0"/>
    <x v="5"/>
    <x v="116"/>
    <x v="116"/>
    <s v="swoodham3h@businesswire.com"/>
    <s v="+353 (190) 188-4918"/>
    <x v="96"/>
    <x v="1"/>
    <x v="0"/>
    <s v="L-M-0.5"/>
    <x v="3"/>
    <x v="0"/>
    <x v="3"/>
    <n v="0.5"/>
    <n v="8.73"/>
    <x v="50"/>
    <n v="1.1349"/>
    <n v="3.4047000000000001"/>
    <x v="4"/>
  </r>
  <r>
    <s v="GPH-40635-105"/>
    <x v="112"/>
    <x v="3"/>
    <x v="2"/>
    <x v="117"/>
    <x v="117"/>
    <s v="hsynnot3i@about.com"/>
    <s v="+1 (907) 245-0601"/>
    <x v="92"/>
    <x v="0"/>
    <x v="1"/>
    <s v="A-M-1"/>
    <x v="2"/>
    <x v="0"/>
    <x v="2"/>
    <n v="1"/>
    <n v="11.25"/>
    <x v="23"/>
    <n v="1.0125"/>
    <n v="1.0125"/>
    <x v="2"/>
  </r>
  <r>
    <s v="JOM-80930-071"/>
    <x v="113"/>
    <x v="1"/>
    <x v="11"/>
    <x v="118"/>
    <x v="118"/>
    <s v="rlepere3j@shop-pro.jp"/>
    <s v="+353 (792) 857-4513"/>
    <x v="75"/>
    <x v="1"/>
    <x v="1"/>
    <s v="L-D-1"/>
    <x v="3"/>
    <x v="2"/>
    <x v="5"/>
    <n v="1"/>
    <n v="12.95"/>
    <x v="17"/>
    <n v="1.6835"/>
    <n v="10.100999999999999"/>
    <x v="4"/>
  </r>
  <r>
    <s v="OIL-26493-755"/>
    <x v="114"/>
    <x v="1"/>
    <x v="3"/>
    <x v="119"/>
    <x v="119"/>
    <s v="twoofinden3k@businesswire.com"/>
    <s v="+1 (701) 503-1067"/>
    <x v="97"/>
    <x v="0"/>
    <x v="1"/>
    <s v="A-M-0.5"/>
    <x v="2"/>
    <x v="0"/>
    <x v="2"/>
    <n v="0.5"/>
    <n v="6.75"/>
    <x v="52"/>
    <n v="0.60749999999999993"/>
    <n v="0.60749999999999993"/>
    <x v="8"/>
  </r>
  <r>
    <s v="CYV-13426-645"/>
    <x v="115"/>
    <x v="0"/>
    <x v="2"/>
    <x v="120"/>
    <x v="120"/>
    <s v="edacca3l@google.pl"/>
    <s v="+1 (812) 921-5458"/>
    <x v="98"/>
    <x v="0"/>
    <x v="0"/>
    <s v="E-D-1"/>
    <x v="1"/>
    <x v="2"/>
    <x v="2"/>
    <n v="1"/>
    <n v="12.15"/>
    <x v="87"/>
    <n v="1.3365"/>
    <n v="1.3365"/>
    <x v="3"/>
  </r>
  <r>
    <s v="WRP-39846-614"/>
    <x v="49"/>
    <x v="2"/>
    <x v="6"/>
    <x v="121"/>
    <x v="121"/>
    <s v="UNKNOWN"/>
    <s v="+353 (900) 633-2359"/>
    <x v="89"/>
    <x v="1"/>
    <x v="0"/>
    <s v="A-L-2.5"/>
    <x v="2"/>
    <x v="1"/>
    <x v="1"/>
    <n v="2.5"/>
    <n v="29.784999999999997"/>
    <x v="74"/>
    <n v="2.6806499999999995"/>
    <n v="13.403249999999998"/>
    <x v="2"/>
  </r>
  <r>
    <s v="VDZ-76673-968"/>
    <x v="116"/>
    <x v="3"/>
    <x v="9"/>
    <x v="122"/>
    <x v="122"/>
    <s v="bhindsberg3n@blogs.com"/>
    <s v="+1 (704) 888-5303"/>
    <x v="63"/>
    <x v="0"/>
    <x v="0"/>
    <s v="E-D-0.5"/>
    <x v="1"/>
    <x v="2"/>
    <x v="0"/>
    <n v="0.5"/>
    <n v="7.29"/>
    <x v="20"/>
    <n v="0.80190000000000006"/>
    <n v="1.6038000000000001"/>
    <x v="3"/>
  </r>
  <r>
    <s v="VTV-03546-175"/>
    <x v="117"/>
    <x v="3"/>
    <x v="2"/>
    <x v="123"/>
    <x v="123"/>
    <s v="orobins3o@salon.com"/>
    <s v="+1 (256) 196-8054"/>
    <x v="99"/>
    <x v="0"/>
    <x v="0"/>
    <s v="A-L-2.5"/>
    <x v="2"/>
    <x v="1"/>
    <x v="1"/>
    <n v="2.5"/>
    <n v="29.784999999999997"/>
    <x v="74"/>
    <n v="2.6806499999999995"/>
    <n v="13.403249999999998"/>
    <x v="2"/>
  </r>
  <r>
    <s v="GHR-72274-715"/>
    <x v="118"/>
    <x v="1"/>
    <x v="5"/>
    <x v="124"/>
    <x v="124"/>
    <s v="osyseland3p@independent.co.uk"/>
    <s v="+1 (714) 895-0210"/>
    <x v="100"/>
    <x v="0"/>
    <x v="1"/>
    <s v="L-D-1"/>
    <x v="3"/>
    <x v="2"/>
    <x v="2"/>
    <n v="1"/>
    <n v="12.95"/>
    <x v="2"/>
    <n v="1.6835"/>
    <n v="1.6835"/>
    <x v="4"/>
  </r>
  <r>
    <s v="ZGK-97262-313"/>
    <x v="119"/>
    <x v="2"/>
    <x v="2"/>
    <x v="125"/>
    <x v="125"/>
    <s v="UNKNOWN"/>
    <s v="UNKNOWN"/>
    <x v="41"/>
    <x v="0"/>
    <x v="0"/>
    <s v="E-M-2.5"/>
    <x v="1"/>
    <x v="0"/>
    <x v="3"/>
    <n v="2.5"/>
    <n v="31.624999999999996"/>
    <x v="88"/>
    <n v="3.4787499999999998"/>
    <n v="10.436249999999999"/>
    <x v="5"/>
  </r>
  <r>
    <s v="ZFS-30776-804"/>
    <x v="120"/>
    <x v="1"/>
    <x v="10"/>
    <x v="126"/>
    <x v="126"/>
    <s v="bmcamish2e@tripadvisor.com"/>
    <s v="UNKNOWN"/>
    <x v="101"/>
    <x v="0"/>
    <x v="0"/>
    <s v="A-L-0.5"/>
    <x v="2"/>
    <x v="1"/>
    <x v="1"/>
    <n v="0.5"/>
    <n v="7.77"/>
    <x v="5"/>
    <n v="0.69929999999999992"/>
    <n v="3.4964999999999997"/>
    <x v="9"/>
  </r>
  <r>
    <s v="QUU-91729-492"/>
    <x v="121"/>
    <x v="1"/>
    <x v="2"/>
    <x v="127"/>
    <x v="127"/>
    <s v="lkeenleyside3s@topsy.com"/>
    <s v="+1 (636) 713-5124"/>
    <x v="10"/>
    <x v="0"/>
    <x v="1"/>
    <s v="A-D-0.2"/>
    <x v="2"/>
    <x v="2"/>
    <x v="4"/>
    <n v="0.2"/>
    <n v="2.9849999999999999"/>
    <x v="22"/>
    <n v="0.26865"/>
    <n v="1.0746"/>
    <x v="9"/>
  </r>
  <r>
    <s v="PVI-72795-960"/>
    <x v="122"/>
    <x v="2"/>
    <x v="6"/>
    <x v="128"/>
    <x v="128"/>
    <s v="UNKNOWN"/>
    <s v="+353 (994) 611-5746"/>
    <x v="102"/>
    <x v="1"/>
    <x v="1"/>
    <s v="E-L-2.5"/>
    <x v="1"/>
    <x v="1"/>
    <x v="3"/>
    <n v="2.5"/>
    <n v="34.154999999999994"/>
    <x v="89"/>
    <n v="3.7570499999999996"/>
    <n v="11.271149999999999"/>
    <x v="5"/>
  </r>
  <r>
    <s v="PPP-78935-365"/>
    <x v="123"/>
    <x v="1"/>
    <x v="10"/>
    <x v="129"/>
    <x v="129"/>
    <s v="UNKNOWN"/>
    <s v="+1 (808) 815-5051"/>
    <x v="103"/>
    <x v="0"/>
    <x v="1"/>
    <s v="E-D-1"/>
    <x v="1"/>
    <x v="2"/>
    <x v="4"/>
    <n v="1"/>
    <n v="12.15"/>
    <x v="90"/>
    <n v="1.3365"/>
    <n v="5.3460000000000001"/>
    <x v="3"/>
  </r>
  <r>
    <s v="JUO-34131-517"/>
    <x v="124"/>
    <x v="0"/>
    <x v="10"/>
    <x v="130"/>
    <x v="130"/>
    <s v="UNKNOWN"/>
    <s v="+1 (951) 638-0879"/>
    <x v="78"/>
    <x v="0"/>
    <x v="0"/>
    <s v="L-D-1"/>
    <x v="3"/>
    <x v="2"/>
    <x v="5"/>
    <n v="1"/>
    <n v="12.95"/>
    <x v="17"/>
    <n v="1.6835"/>
    <n v="10.100999999999999"/>
    <x v="4"/>
  </r>
  <r>
    <s v="ZJE-89333-489"/>
    <x v="125"/>
    <x v="2"/>
    <x v="5"/>
    <x v="131"/>
    <x v="131"/>
    <s v="vkundt3w@bigcartel.com"/>
    <s v="+353 (472) 791-2507"/>
    <x v="104"/>
    <x v="1"/>
    <x v="0"/>
    <s v="L-D-2.5"/>
    <x v="3"/>
    <x v="2"/>
    <x v="2"/>
    <n v="2.5"/>
    <n v="29.784999999999997"/>
    <x v="91"/>
    <n v="3.8720499999999998"/>
    <n v="3.8720499999999998"/>
    <x v="4"/>
  </r>
  <r>
    <s v="LOO-35324-159"/>
    <x v="126"/>
    <x v="3"/>
    <x v="5"/>
    <x v="132"/>
    <x v="132"/>
    <s v="bbett3x@google.de"/>
    <s v="+1 (202) 632-9905"/>
    <x v="41"/>
    <x v="0"/>
    <x v="0"/>
    <s v="A-L-0.2"/>
    <x v="2"/>
    <x v="1"/>
    <x v="4"/>
    <n v="0.2"/>
    <n v="3.8849999999999998"/>
    <x v="42"/>
    <n v="0.34964999999999996"/>
    <n v="1.3985999999999998"/>
    <x v="2"/>
  </r>
  <r>
    <s v="JBQ-93412-846"/>
    <x v="127"/>
    <x v="2"/>
    <x v="8"/>
    <x v="133"/>
    <x v="133"/>
    <s v="UNKNOWN"/>
    <s v="UNKNOWN"/>
    <x v="105"/>
    <x v="1"/>
    <x v="0"/>
    <s v="E-L-2.5"/>
    <x v="1"/>
    <x v="1"/>
    <x v="4"/>
    <n v="2.5"/>
    <n v="34.154999999999994"/>
    <x v="56"/>
    <n v="3.7570499999999996"/>
    <n v="15.028199999999998"/>
    <x v="3"/>
  </r>
  <r>
    <s v="EHX-66333-637"/>
    <x v="128"/>
    <x v="3"/>
    <x v="0"/>
    <x v="134"/>
    <x v="134"/>
    <s v="dstaite3z@scientificamerican.com"/>
    <s v="+1 (713) 478-3937"/>
    <x v="13"/>
    <x v="0"/>
    <x v="1"/>
    <s v="L-M-0.5"/>
    <x v="3"/>
    <x v="0"/>
    <x v="0"/>
    <n v="0.5"/>
    <n v="8.73"/>
    <x v="92"/>
    <n v="1.1349"/>
    <n v="2.2698"/>
    <x v="4"/>
  </r>
  <r>
    <s v="WXG-25759-236"/>
    <x v="103"/>
    <x v="1"/>
    <x v="6"/>
    <x v="135"/>
    <x v="135"/>
    <s v="wkeyse40@apple.com"/>
    <s v="+1 (650) 947-8867"/>
    <x v="106"/>
    <x v="0"/>
    <x v="0"/>
    <s v="E-L-2.5"/>
    <x v="1"/>
    <x v="1"/>
    <x v="0"/>
    <n v="2.5"/>
    <n v="34.154999999999994"/>
    <x v="93"/>
    <n v="3.7570499999999996"/>
    <n v="7.5140999999999991"/>
    <x v="3"/>
  </r>
  <r>
    <s v="QNA-31113-984"/>
    <x v="129"/>
    <x v="0"/>
    <x v="8"/>
    <x v="136"/>
    <x v="136"/>
    <s v="oclausenthue41@marriott.com"/>
    <s v="+1 (915) 558-6109"/>
    <x v="87"/>
    <x v="0"/>
    <x v="1"/>
    <s v="L-M-0.2"/>
    <x v="3"/>
    <x v="0"/>
    <x v="4"/>
    <n v="0.2"/>
    <n v="4.3650000000000002"/>
    <x v="92"/>
    <n v="0.56745000000000001"/>
    <n v="2.2698"/>
    <x v="4"/>
  </r>
  <r>
    <s v="ZWI-52029-159"/>
    <x v="130"/>
    <x v="3"/>
    <x v="2"/>
    <x v="137"/>
    <x v="137"/>
    <s v="lfrancisco42@fema.gov"/>
    <s v="+1 (775) 346-9758"/>
    <x v="107"/>
    <x v="0"/>
    <x v="1"/>
    <s v="L-M-1"/>
    <x v="3"/>
    <x v="0"/>
    <x v="3"/>
    <n v="1"/>
    <n v="14.55"/>
    <x v="34"/>
    <n v="1.8915000000000002"/>
    <n v="5.6745000000000001"/>
    <x v="10"/>
  </r>
  <r>
    <s v="ZWI-52029-159"/>
    <x v="130"/>
    <x v="3"/>
    <x v="2"/>
    <x v="137"/>
    <x v="137"/>
    <s v="lfrancisco42@fema.gov"/>
    <s v="+1 (775) 346-9758"/>
    <x v="107"/>
    <x v="0"/>
    <x v="1"/>
    <s v="E-M-1"/>
    <x v="1"/>
    <x v="0"/>
    <x v="0"/>
    <n v="1"/>
    <n v="13.75"/>
    <x v="3"/>
    <n v="1.5125"/>
    <n v="3.0249999999999999"/>
    <x v="3"/>
  </r>
  <r>
    <s v="DFS-49954-707"/>
    <x v="131"/>
    <x v="1"/>
    <x v="9"/>
    <x v="138"/>
    <x v="138"/>
    <s v="gskingle44@clickbank.net"/>
    <s v="+1 (801) 886-5886"/>
    <x v="108"/>
    <x v="0"/>
    <x v="0"/>
    <s v="E-D-0.2"/>
    <x v="1"/>
    <x v="2"/>
    <x v="1"/>
    <n v="0.2"/>
    <n v="3.645"/>
    <x v="94"/>
    <n v="0.40095000000000003"/>
    <n v="2.00475"/>
    <x v="1"/>
  </r>
  <r>
    <s v="VYP-89830-878"/>
    <x v="132"/>
    <x v="3"/>
    <x v="7"/>
    <x v="139"/>
    <x v="139"/>
    <s v="UNKNOWN"/>
    <s v="+1 (305) 345-2788"/>
    <x v="109"/>
    <x v="0"/>
    <x v="0"/>
    <s v="A-M-2.5"/>
    <x v="2"/>
    <x v="0"/>
    <x v="0"/>
    <n v="2.5"/>
    <n v="25.874999999999996"/>
    <x v="95"/>
    <n v="2.3287499999999994"/>
    <n v="4.6574999999999989"/>
    <x v="2"/>
  </r>
  <r>
    <s v="AMT-40418-362"/>
    <x v="133"/>
    <x v="3"/>
    <x v="3"/>
    <x v="140"/>
    <x v="140"/>
    <s v="jbalsillie46@princeton.edu"/>
    <s v="+1 (540) 905-2213"/>
    <x v="110"/>
    <x v="0"/>
    <x v="0"/>
    <s v="L-D-1"/>
    <x v="3"/>
    <x v="2"/>
    <x v="2"/>
    <n v="1"/>
    <n v="12.95"/>
    <x v="2"/>
    <n v="1.6835"/>
    <n v="1.6835"/>
    <x v="4"/>
  </r>
  <r>
    <s v="NFQ-23241-793"/>
    <x v="134"/>
    <x v="3"/>
    <x v="7"/>
    <x v="141"/>
    <x v="141"/>
    <s v="UNKNOWN"/>
    <s v="+1 (515) 508-1573"/>
    <x v="111"/>
    <x v="0"/>
    <x v="0"/>
    <s v="A-M-1"/>
    <x v="2"/>
    <x v="0"/>
    <x v="3"/>
    <n v="1"/>
    <n v="11.25"/>
    <x v="65"/>
    <n v="1.0125"/>
    <n v="3.0374999999999996"/>
    <x v="8"/>
  </r>
  <r>
    <s v="JQK-64922-985"/>
    <x v="113"/>
    <x v="1"/>
    <x v="11"/>
    <x v="142"/>
    <x v="142"/>
    <s v="bleffek48@ning.com"/>
    <s v="+1 (808) 815-3474"/>
    <x v="103"/>
    <x v="0"/>
    <x v="0"/>
    <s v="R-M-2.5"/>
    <x v="0"/>
    <x v="0"/>
    <x v="3"/>
    <n v="2.5"/>
    <n v="22.884999999999998"/>
    <x v="96"/>
    <n v="1.3730999999999998"/>
    <n v="4.1192999999999991"/>
    <x v="6"/>
  </r>
  <r>
    <s v="YET-17732-678"/>
    <x v="135"/>
    <x v="1"/>
    <x v="1"/>
    <x v="143"/>
    <x v="143"/>
    <s v="UNKNOWN"/>
    <s v="+1 (754) 664-6126"/>
    <x v="42"/>
    <x v="0"/>
    <x v="1"/>
    <s v="R-D-0.2"/>
    <x v="0"/>
    <x v="2"/>
    <x v="2"/>
    <n v="0.2"/>
    <n v="2.6849999999999996"/>
    <x v="97"/>
    <n v="0.16109999999999997"/>
    <n v="0.16109999999999997"/>
    <x v="7"/>
  </r>
  <r>
    <s v="NKW-24945-846"/>
    <x v="35"/>
    <x v="1"/>
    <x v="7"/>
    <x v="144"/>
    <x v="144"/>
    <s v="jpray4a@youtube.com"/>
    <s v="+1 (215) 771-6504"/>
    <x v="11"/>
    <x v="0"/>
    <x v="1"/>
    <s v="A-D-2.5"/>
    <x v="2"/>
    <x v="2"/>
    <x v="1"/>
    <n v="2.5"/>
    <n v="22.884999999999998"/>
    <x v="15"/>
    <n v="2.0596499999999995"/>
    <n v="10.298249999999998"/>
    <x v="2"/>
  </r>
  <r>
    <s v="VKA-82720-513"/>
    <x v="136"/>
    <x v="0"/>
    <x v="1"/>
    <x v="145"/>
    <x v="145"/>
    <s v="gholborn4b@ow.ly"/>
    <s v="+1 (203) 577-5788"/>
    <x v="112"/>
    <x v="0"/>
    <x v="0"/>
    <s v="A-M-2.5"/>
    <x v="2"/>
    <x v="0"/>
    <x v="5"/>
    <n v="2.5"/>
    <n v="25.874999999999996"/>
    <x v="71"/>
    <n v="2.3287499999999994"/>
    <n v="13.972499999999997"/>
    <x v="2"/>
  </r>
  <r>
    <s v="THA-60599-417"/>
    <x v="137"/>
    <x v="0"/>
    <x v="7"/>
    <x v="146"/>
    <x v="146"/>
    <s v="fkeinrat4c@dailymail.co.uk"/>
    <s v="+1 (817) 785-7050"/>
    <x v="113"/>
    <x v="0"/>
    <x v="0"/>
    <s v="A-M-2.5"/>
    <x v="2"/>
    <x v="0"/>
    <x v="3"/>
    <n v="2.5"/>
    <n v="25.874999999999996"/>
    <x v="57"/>
    <n v="2.3287499999999994"/>
    <n v="6.9862499999999983"/>
    <x v="2"/>
  </r>
  <r>
    <s v="MEK-39769-035"/>
    <x v="138"/>
    <x v="1"/>
    <x v="1"/>
    <x v="147"/>
    <x v="147"/>
    <s v="pyea4d@aol.com"/>
    <s v="+353 (885) 555-9183"/>
    <x v="114"/>
    <x v="1"/>
    <x v="1"/>
    <s v="R-D-2.5"/>
    <x v="0"/>
    <x v="2"/>
    <x v="3"/>
    <n v="2.5"/>
    <n v="20.584999999999997"/>
    <x v="98"/>
    <n v="1.2350999999999999"/>
    <n v="3.7052999999999994"/>
    <x v="11"/>
  </r>
  <r>
    <s v="JAF-18294-750"/>
    <x v="139"/>
    <x v="0"/>
    <x v="0"/>
    <x v="148"/>
    <x v="148"/>
    <s v="UNKNOWN"/>
    <s v="+1 (423) 485-6650"/>
    <x v="115"/>
    <x v="0"/>
    <x v="0"/>
    <s v="R-D-2.5"/>
    <x v="0"/>
    <x v="2"/>
    <x v="5"/>
    <n v="2.5"/>
    <n v="20.584999999999997"/>
    <x v="99"/>
    <n v="1.2350999999999999"/>
    <n v="7.4105999999999987"/>
    <x v="11"/>
  </r>
  <r>
    <s v="TME-59627-221"/>
    <x v="140"/>
    <x v="1"/>
    <x v="8"/>
    <x v="149"/>
    <x v="149"/>
    <s v="UNKNOWN"/>
    <s v="+1 (503) 774-7836"/>
    <x v="12"/>
    <x v="0"/>
    <x v="1"/>
    <s v="L-L-2.5"/>
    <x v="3"/>
    <x v="1"/>
    <x v="5"/>
    <n v="2.5"/>
    <n v="36.454999999999998"/>
    <x v="100"/>
    <n v="4.7391499999999995"/>
    <n v="28.434899999999999"/>
    <x v="4"/>
  </r>
  <r>
    <s v="UDG-65353-824"/>
    <x v="141"/>
    <x v="3"/>
    <x v="4"/>
    <x v="150"/>
    <x v="150"/>
    <s v="kswede4g@addthis.com"/>
    <s v="+1 (405) 535-0273"/>
    <x v="101"/>
    <x v="0"/>
    <x v="1"/>
    <s v="E-M-0.5"/>
    <x v="1"/>
    <x v="0"/>
    <x v="4"/>
    <n v="0.5"/>
    <n v="8.25"/>
    <x v="101"/>
    <n v="0.90749999999999997"/>
    <n v="3.63"/>
    <x v="3"/>
  </r>
  <r>
    <s v="ENQ-42923-176"/>
    <x v="142"/>
    <x v="1"/>
    <x v="4"/>
    <x v="151"/>
    <x v="151"/>
    <s v="lrubrow4h@microsoft.com"/>
    <s v="+1 (202) 503-9022"/>
    <x v="41"/>
    <x v="0"/>
    <x v="1"/>
    <s v="A-L-0.5"/>
    <x v="2"/>
    <x v="1"/>
    <x v="3"/>
    <n v="0.5"/>
    <n v="7.77"/>
    <x v="102"/>
    <n v="0.69929999999999992"/>
    <n v="2.0978999999999997"/>
    <x v="2"/>
  </r>
  <r>
    <s v="CBT-55781-720"/>
    <x v="143"/>
    <x v="1"/>
    <x v="11"/>
    <x v="152"/>
    <x v="152"/>
    <s v="dtift4i@netvibes.com"/>
    <s v="+1 (336) 766-8518"/>
    <x v="116"/>
    <x v="0"/>
    <x v="0"/>
    <s v="E-D-0.5"/>
    <x v="1"/>
    <x v="2"/>
    <x v="3"/>
    <n v="0.5"/>
    <n v="7.29"/>
    <x v="6"/>
    <n v="0.80190000000000006"/>
    <n v="2.4057000000000004"/>
    <x v="5"/>
  </r>
  <r>
    <s v="NEU-86533-016"/>
    <x v="144"/>
    <x v="0"/>
    <x v="1"/>
    <x v="153"/>
    <x v="153"/>
    <s v="gschonfeld4j@oracle.com"/>
    <s v="+1 (571) 238-0580"/>
    <x v="117"/>
    <x v="0"/>
    <x v="1"/>
    <s v="R-D-0.2"/>
    <x v="0"/>
    <x v="2"/>
    <x v="5"/>
    <n v="0.2"/>
    <n v="2.6849999999999996"/>
    <x v="103"/>
    <n v="0.16109999999999997"/>
    <n v="0.96659999999999979"/>
    <x v="11"/>
  </r>
  <r>
    <s v="BYU-58154-603"/>
    <x v="145"/>
    <x v="3"/>
    <x v="9"/>
    <x v="154"/>
    <x v="154"/>
    <s v="cfeye4k@google.co.jp"/>
    <s v="+353 (471) 184-7815"/>
    <x v="118"/>
    <x v="1"/>
    <x v="1"/>
    <s v="E-D-0.5"/>
    <x v="1"/>
    <x v="2"/>
    <x v="4"/>
    <n v="0.5"/>
    <n v="7.29"/>
    <x v="104"/>
    <n v="0.80190000000000006"/>
    <n v="3.2076000000000002"/>
    <x v="3"/>
  </r>
  <r>
    <s v="EHJ-05910-257"/>
    <x v="146"/>
    <x v="1"/>
    <x v="10"/>
    <x v="155"/>
    <x v="155"/>
    <s v="UNKNOWN"/>
    <s v="+1 (262) 320-1474"/>
    <x v="119"/>
    <x v="0"/>
    <x v="0"/>
    <s v="R-D-1"/>
    <x v="0"/>
    <x v="2"/>
    <x v="5"/>
    <n v="1"/>
    <n v="8.9499999999999993"/>
    <x v="59"/>
    <n v="0.53699999999999992"/>
    <n v="3.2219999999999995"/>
    <x v="7"/>
  </r>
  <r>
    <s v="EIL-44855-309"/>
    <x v="147"/>
    <x v="1"/>
    <x v="6"/>
    <x v="156"/>
    <x v="156"/>
    <s v="UNKNOWN"/>
    <s v="+1 (305) 419-8626"/>
    <x v="120"/>
    <x v="0"/>
    <x v="0"/>
    <s v="R-D-0.5"/>
    <x v="0"/>
    <x v="2"/>
    <x v="1"/>
    <n v="0.5"/>
    <n v="5.3699999999999992"/>
    <x v="51"/>
    <n v="0.32219999999999993"/>
    <n v="1.6109999999999998"/>
    <x v="0"/>
  </r>
  <r>
    <s v="HCA-87224-420"/>
    <x v="148"/>
    <x v="2"/>
    <x v="3"/>
    <x v="157"/>
    <x v="157"/>
    <s v="tfero4n@comsenz.com"/>
    <s v="+1 (262) 954-6859"/>
    <x v="119"/>
    <x v="0"/>
    <x v="0"/>
    <s v="E-M-0.5"/>
    <x v="1"/>
    <x v="0"/>
    <x v="1"/>
    <n v="0.5"/>
    <n v="8.25"/>
    <x v="1"/>
    <n v="0.90749999999999997"/>
    <n v="4.5374999999999996"/>
    <x v="1"/>
  </r>
  <r>
    <s v="ABO-29054-365"/>
    <x v="149"/>
    <x v="0"/>
    <x v="4"/>
    <x v="158"/>
    <x v="158"/>
    <s v="UNKNOWN"/>
    <s v="+353 (479) 865-9222"/>
    <x v="118"/>
    <x v="1"/>
    <x v="1"/>
    <s v="A-M-0.5"/>
    <x v="2"/>
    <x v="0"/>
    <x v="5"/>
    <n v="0.5"/>
    <n v="6.75"/>
    <x v="61"/>
    <n v="0.60749999999999993"/>
    <n v="3.6449999999999996"/>
    <x v="8"/>
  </r>
  <r>
    <s v="TKN-58485-031"/>
    <x v="150"/>
    <x v="2"/>
    <x v="6"/>
    <x v="159"/>
    <x v="159"/>
    <s v="fdauney4p@sphinn.com"/>
    <s v="+353 (669) 355-6726"/>
    <x v="121"/>
    <x v="1"/>
    <x v="1"/>
    <s v="R-D-1"/>
    <x v="0"/>
    <x v="2"/>
    <x v="0"/>
    <n v="1"/>
    <n v="8.9499999999999993"/>
    <x v="105"/>
    <n v="0.53699999999999992"/>
    <n v="1.0739999999999998"/>
    <x v="7"/>
  </r>
  <r>
    <s v="RCK-04069-371"/>
    <x v="151"/>
    <x v="1"/>
    <x v="7"/>
    <x v="160"/>
    <x v="160"/>
    <s v="searley4q@youku.com"/>
    <s v="UNKNOWN"/>
    <x v="122"/>
    <x v="2"/>
    <x v="1"/>
    <s v="E-L-2.5"/>
    <x v="1"/>
    <x v="1"/>
    <x v="0"/>
    <n v="2.5"/>
    <n v="34.154999999999994"/>
    <x v="93"/>
    <n v="3.7570499999999996"/>
    <n v="7.5140999999999991"/>
    <x v="3"/>
  </r>
  <r>
    <s v="IRJ-67095-738"/>
    <x v="13"/>
    <x v="0"/>
    <x v="6"/>
    <x v="161"/>
    <x v="161"/>
    <s v="mchamberlayne4r@bigcartel.com"/>
    <s v="+1 (813) 801-0026"/>
    <x v="47"/>
    <x v="0"/>
    <x v="0"/>
    <s v="E-M-2.5"/>
    <x v="1"/>
    <x v="0"/>
    <x v="0"/>
    <n v="2.5"/>
    <n v="31.624999999999996"/>
    <x v="40"/>
    <n v="3.4787499999999998"/>
    <n v="6.9574999999999996"/>
    <x v="3"/>
  </r>
  <r>
    <s v="VEA-31961-977"/>
    <x v="79"/>
    <x v="1"/>
    <x v="9"/>
    <x v="162"/>
    <x v="162"/>
    <s v="bflaherty4s@moonfruit.com"/>
    <s v="UNKNOWN"/>
    <x v="123"/>
    <x v="1"/>
    <x v="1"/>
    <s v="E-D-0.5"/>
    <x v="1"/>
    <x v="2"/>
    <x v="3"/>
    <n v="0.5"/>
    <n v="7.29"/>
    <x v="6"/>
    <n v="0.80190000000000006"/>
    <n v="2.4057000000000004"/>
    <x v="5"/>
  </r>
  <r>
    <s v="BAF-42286-205"/>
    <x v="152"/>
    <x v="2"/>
    <x v="1"/>
    <x v="163"/>
    <x v="163"/>
    <s v="ocolbeck4t@sina.com.cn"/>
    <s v="+1 (334) 441-4420"/>
    <x v="124"/>
    <x v="0"/>
    <x v="1"/>
    <s v="R-M-2.5"/>
    <x v="0"/>
    <x v="0"/>
    <x v="4"/>
    <n v="2.5"/>
    <n v="22.884999999999998"/>
    <x v="21"/>
    <n v="1.3730999999999998"/>
    <n v="5.4923999999999991"/>
    <x v="7"/>
  </r>
  <r>
    <s v="WOR-52762-511"/>
    <x v="153"/>
    <x v="0"/>
    <x v="9"/>
    <x v="164"/>
    <x v="164"/>
    <s v="UNKNOWN"/>
    <s v="+1 (775) 947-1470"/>
    <x v="125"/>
    <x v="0"/>
    <x v="0"/>
    <s v="E-L-2.5"/>
    <x v="1"/>
    <x v="1"/>
    <x v="5"/>
    <n v="2.5"/>
    <n v="34.154999999999994"/>
    <x v="106"/>
    <n v="3.7570499999999996"/>
    <n v="22.542299999999997"/>
    <x v="5"/>
  </r>
  <r>
    <s v="ZWK-03995-815"/>
    <x v="154"/>
    <x v="1"/>
    <x v="8"/>
    <x v="165"/>
    <x v="165"/>
    <s v="ehobbing4v@nsw.gov.au"/>
    <s v="+1 (478) 206-7670"/>
    <x v="126"/>
    <x v="0"/>
    <x v="0"/>
    <s v="E-M-2.5"/>
    <x v="1"/>
    <x v="0"/>
    <x v="0"/>
    <n v="2.5"/>
    <n v="31.624999999999996"/>
    <x v="40"/>
    <n v="3.4787499999999998"/>
    <n v="6.9574999999999996"/>
    <x v="3"/>
  </r>
  <r>
    <s v="CKF-43291-846"/>
    <x v="155"/>
    <x v="3"/>
    <x v="6"/>
    <x v="166"/>
    <x v="166"/>
    <s v="othynne4w@auda.org.au"/>
    <s v="+1 (562) 132-7323"/>
    <x v="127"/>
    <x v="0"/>
    <x v="0"/>
    <s v="E-L-2.5"/>
    <x v="1"/>
    <x v="1"/>
    <x v="2"/>
    <n v="2.5"/>
    <n v="34.154999999999994"/>
    <x v="107"/>
    <n v="3.7570499999999996"/>
    <n v="3.7570499999999996"/>
    <x v="3"/>
  </r>
  <r>
    <s v="RMW-74160-339"/>
    <x v="156"/>
    <x v="3"/>
    <x v="7"/>
    <x v="167"/>
    <x v="167"/>
    <s v="eheining4x@flickr.com"/>
    <s v="UNKNOWN"/>
    <x v="128"/>
    <x v="0"/>
    <x v="0"/>
    <s v="R-L-2.5"/>
    <x v="0"/>
    <x v="1"/>
    <x v="4"/>
    <n v="2.5"/>
    <n v="27.484999999999996"/>
    <x v="108"/>
    <n v="1.6490999999999998"/>
    <n v="6.5963999999999992"/>
    <x v="0"/>
  </r>
  <r>
    <s v="FMT-94584-786"/>
    <x v="22"/>
    <x v="0"/>
    <x v="7"/>
    <x v="168"/>
    <x v="168"/>
    <s v="kmelloi4y@imdb.com"/>
    <s v="+1 (315) 525-0805"/>
    <x v="36"/>
    <x v="0"/>
    <x v="1"/>
    <s v="A-L-1"/>
    <x v="2"/>
    <x v="1"/>
    <x v="0"/>
    <n v="1"/>
    <n v="12.95"/>
    <x v="109"/>
    <n v="1.1655"/>
    <n v="2.331"/>
    <x v="2"/>
  </r>
  <r>
    <s v="NWT-78222-575"/>
    <x v="157"/>
    <x v="0"/>
    <x v="9"/>
    <x v="169"/>
    <x v="169"/>
    <s v="UNKNOWN"/>
    <s v="+353 (232) 652-5145"/>
    <x v="129"/>
    <x v="1"/>
    <x v="1"/>
    <s v="A-D-0.2"/>
    <x v="2"/>
    <x v="2"/>
    <x v="2"/>
    <n v="0.2"/>
    <n v="2.9849999999999999"/>
    <x v="55"/>
    <n v="0.26865"/>
    <n v="0.26865"/>
    <x v="9"/>
  </r>
  <r>
    <s v="EOI-02511-919"/>
    <x v="158"/>
    <x v="3"/>
    <x v="6"/>
    <x v="170"/>
    <x v="170"/>
    <s v="amussen50@51.la"/>
    <s v="+1 (212) 630-8669"/>
    <x v="130"/>
    <x v="0"/>
    <x v="1"/>
    <s v="E-L-0.2"/>
    <x v="1"/>
    <x v="1"/>
    <x v="1"/>
    <n v="0.2"/>
    <n v="4.4550000000000001"/>
    <x v="110"/>
    <n v="0.49004999999999999"/>
    <n v="2.45025"/>
    <x v="5"/>
  </r>
  <r>
    <s v="EOI-02511-919"/>
    <x v="158"/>
    <x v="3"/>
    <x v="6"/>
    <x v="170"/>
    <x v="170"/>
    <s v="amussen50@51.la"/>
    <s v="+1 (212) 630-8669"/>
    <x v="130"/>
    <x v="0"/>
    <x v="1"/>
    <s v="A-D-0.5"/>
    <x v="2"/>
    <x v="2"/>
    <x v="1"/>
    <n v="0.5"/>
    <n v="5.97"/>
    <x v="44"/>
    <n v="0.5373"/>
    <n v="2.6865000000000001"/>
    <x v="9"/>
  </r>
  <r>
    <s v="UCT-03935-589"/>
    <x v="78"/>
    <x v="1"/>
    <x v="6"/>
    <x v="171"/>
    <x v="171"/>
    <s v="amundford52@nbcnews.com"/>
    <s v="+1 (434) 738-7279"/>
    <x v="131"/>
    <x v="0"/>
    <x v="1"/>
    <s v="R-D-0.5"/>
    <x v="0"/>
    <x v="2"/>
    <x v="5"/>
    <n v="0.5"/>
    <n v="5.3699999999999992"/>
    <x v="111"/>
    <n v="0.32219999999999993"/>
    <n v="1.9331999999999996"/>
    <x v="11"/>
  </r>
  <r>
    <s v="SBI-60013-494"/>
    <x v="159"/>
    <x v="1"/>
    <x v="11"/>
    <x v="172"/>
    <x v="172"/>
    <s v="twalas53@google.ca"/>
    <s v="+1 (214) 205-7809"/>
    <x v="132"/>
    <x v="0"/>
    <x v="1"/>
    <s v="E-M-0.2"/>
    <x v="1"/>
    <x v="0"/>
    <x v="0"/>
    <n v="0.2"/>
    <n v="4.125"/>
    <x v="112"/>
    <n v="0.45374999999999999"/>
    <n v="0.90749999999999997"/>
    <x v="3"/>
  </r>
  <r>
    <s v="QRA-73277-814"/>
    <x v="160"/>
    <x v="1"/>
    <x v="2"/>
    <x v="173"/>
    <x v="173"/>
    <s v="iblazewicz54@thetimes.co.uk"/>
    <s v="+1 (612) 683-3450"/>
    <x v="30"/>
    <x v="0"/>
    <x v="1"/>
    <s v="A-L-0.5"/>
    <x v="2"/>
    <x v="1"/>
    <x v="4"/>
    <n v="0.5"/>
    <n v="7.77"/>
    <x v="113"/>
    <n v="0.69929999999999992"/>
    <n v="2.7971999999999997"/>
    <x v="2"/>
  </r>
  <r>
    <s v="EQE-31648-909"/>
    <x v="161"/>
    <x v="0"/>
    <x v="4"/>
    <x v="174"/>
    <x v="174"/>
    <s v="arizzetti55@naver.com"/>
    <s v="+1 (517) 237-7606"/>
    <x v="133"/>
    <x v="0"/>
    <x v="0"/>
    <s v="E-D-0.5"/>
    <x v="1"/>
    <x v="2"/>
    <x v="1"/>
    <n v="0.5"/>
    <n v="7.29"/>
    <x v="114"/>
    <n v="0.80190000000000006"/>
    <n v="4.0095000000000001"/>
    <x v="1"/>
  </r>
  <r>
    <s v="QOO-24615-950"/>
    <x v="162"/>
    <x v="0"/>
    <x v="3"/>
    <x v="175"/>
    <x v="175"/>
    <s v="mmeriet56@noaa.gov"/>
    <s v="+1 (701) 560-2604"/>
    <x v="25"/>
    <x v="0"/>
    <x v="1"/>
    <s v="R-M-2.5"/>
    <x v="0"/>
    <x v="0"/>
    <x v="3"/>
    <n v="2.5"/>
    <n v="22.884999999999998"/>
    <x v="96"/>
    <n v="1.3730999999999998"/>
    <n v="4.1192999999999991"/>
    <x v="6"/>
  </r>
  <r>
    <s v="WDV-73864-037"/>
    <x v="70"/>
    <x v="2"/>
    <x v="6"/>
    <x v="176"/>
    <x v="176"/>
    <s v="lpratt57@netvibes.com"/>
    <s v="UNKNOWN"/>
    <x v="92"/>
    <x v="0"/>
    <x v="0"/>
    <s v="L-M-0.5"/>
    <x v="3"/>
    <x v="0"/>
    <x v="1"/>
    <n v="0.5"/>
    <n v="8.73"/>
    <x v="34"/>
    <n v="1.1349"/>
    <n v="5.6745000000000001"/>
    <x v="10"/>
  </r>
  <r>
    <s v="PKR-88575-066"/>
    <x v="163"/>
    <x v="2"/>
    <x v="5"/>
    <x v="177"/>
    <x v="177"/>
    <s v="akitchingham58@com.com"/>
    <s v="+1 (405) 645-2204"/>
    <x v="101"/>
    <x v="0"/>
    <x v="0"/>
    <s v="E-L-0.2"/>
    <x v="1"/>
    <x v="1"/>
    <x v="2"/>
    <n v="0.2"/>
    <n v="4.4550000000000001"/>
    <x v="115"/>
    <n v="0.49004999999999999"/>
    <n v="0.49004999999999999"/>
    <x v="3"/>
  </r>
  <r>
    <s v="BWR-85735-955"/>
    <x v="153"/>
    <x v="0"/>
    <x v="9"/>
    <x v="178"/>
    <x v="178"/>
    <s v="bbartholin59@xinhuanet.com"/>
    <s v="+1 (918) 720-2715"/>
    <x v="134"/>
    <x v="0"/>
    <x v="0"/>
    <s v="L-M-1"/>
    <x v="3"/>
    <x v="0"/>
    <x v="3"/>
    <n v="1"/>
    <n v="14.55"/>
    <x v="34"/>
    <n v="1.8915000000000002"/>
    <n v="5.6745000000000001"/>
    <x v="10"/>
  </r>
  <r>
    <s v="YFX-64795-136"/>
    <x v="164"/>
    <x v="3"/>
    <x v="4"/>
    <x v="179"/>
    <x v="179"/>
    <s v="mprinn5a@usa.gov"/>
    <s v="+1 (734) 909-6836"/>
    <x v="135"/>
    <x v="0"/>
    <x v="0"/>
    <s v="L-M-2.5"/>
    <x v="3"/>
    <x v="0"/>
    <x v="2"/>
    <n v="2.5"/>
    <n v="33.464999999999996"/>
    <x v="116"/>
    <n v="4.3504499999999995"/>
    <n v="4.3504499999999995"/>
    <x v="4"/>
  </r>
  <r>
    <s v="DDO-71442-967"/>
    <x v="165"/>
    <x v="0"/>
    <x v="8"/>
    <x v="180"/>
    <x v="180"/>
    <s v="abaudino5b@netvibes.com"/>
    <s v="+1 (202) 328-7869"/>
    <x v="41"/>
    <x v="0"/>
    <x v="0"/>
    <s v="L-D-0.2"/>
    <x v="3"/>
    <x v="2"/>
    <x v="1"/>
    <n v="0.2"/>
    <n v="3.8849999999999998"/>
    <x v="117"/>
    <n v="0.50505"/>
    <n v="2.5252499999999998"/>
    <x v="4"/>
  </r>
  <r>
    <s v="ILQ-11027-588"/>
    <x v="166"/>
    <x v="3"/>
    <x v="6"/>
    <x v="181"/>
    <x v="181"/>
    <s v="ppetrushanko5c@blinklist.com"/>
    <s v="+353 (540) 480-2145"/>
    <x v="136"/>
    <x v="1"/>
    <x v="0"/>
    <s v="E-D-1"/>
    <x v="1"/>
    <x v="2"/>
    <x v="5"/>
    <n v="1"/>
    <n v="12.15"/>
    <x v="118"/>
    <n v="1.3365"/>
    <n v="8.0190000000000001"/>
    <x v="1"/>
  </r>
  <r>
    <s v="KRZ-13868-122"/>
    <x v="167"/>
    <x v="2"/>
    <x v="6"/>
    <x v="182"/>
    <x v="182"/>
    <s v="UNKNOWN"/>
    <s v="+1 (602) 411-5038"/>
    <x v="137"/>
    <x v="0"/>
    <x v="1"/>
    <s v="E-L-1"/>
    <x v="1"/>
    <x v="1"/>
    <x v="3"/>
    <n v="1"/>
    <n v="14.85"/>
    <x v="69"/>
    <n v="1.6335"/>
    <n v="4.9005000000000001"/>
    <x v="5"/>
  </r>
  <r>
    <s v="VRM-93594-914"/>
    <x v="168"/>
    <x v="1"/>
    <x v="2"/>
    <x v="183"/>
    <x v="183"/>
    <s v="elaird5e@bing.com"/>
    <s v="+1 (330) 112-0053"/>
    <x v="138"/>
    <x v="0"/>
    <x v="1"/>
    <s v="E-D-0.5"/>
    <x v="1"/>
    <x v="2"/>
    <x v="1"/>
    <n v="0.5"/>
    <n v="7.29"/>
    <x v="114"/>
    <n v="0.80190000000000006"/>
    <n v="4.0095000000000001"/>
    <x v="1"/>
  </r>
  <r>
    <s v="HXL-22497-359"/>
    <x v="169"/>
    <x v="0"/>
    <x v="3"/>
    <x v="184"/>
    <x v="184"/>
    <s v="mhowsden5f@infoseek.co.jp"/>
    <s v="+1 (901) 806-9640"/>
    <x v="139"/>
    <x v="0"/>
    <x v="1"/>
    <s v="A-L-1"/>
    <x v="2"/>
    <x v="1"/>
    <x v="3"/>
    <n v="1"/>
    <n v="12.95"/>
    <x v="5"/>
    <n v="1.1655"/>
    <n v="3.4965000000000002"/>
    <x v="9"/>
  </r>
  <r>
    <s v="NOP-21394-646"/>
    <x v="170"/>
    <x v="1"/>
    <x v="5"/>
    <x v="185"/>
    <x v="185"/>
    <s v="ncuttler5g@parallels.com"/>
    <s v="UNKNOWN"/>
    <x v="41"/>
    <x v="0"/>
    <x v="1"/>
    <s v="E-L-0.5"/>
    <x v="1"/>
    <x v="1"/>
    <x v="5"/>
    <n v="0.5"/>
    <n v="8.91"/>
    <x v="119"/>
    <n v="0.98009999999999997"/>
    <n v="5.8805999999999994"/>
    <x v="1"/>
  </r>
  <r>
    <s v="NOP-21394-646"/>
    <x v="170"/>
    <x v="1"/>
    <x v="5"/>
    <x v="185"/>
    <x v="185"/>
    <s v="ncuttler5g@parallels.com"/>
    <s v="UNKNOWN"/>
    <x v="41"/>
    <x v="0"/>
    <x v="1"/>
    <s v="L-D-2.5"/>
    <x v="3"/>
    <x v="2"/>
    <x v="0"/>
    <n v="2.5"/>
    <n v="29.784999999999997"/>
    <x v="120"/>
    <n v="3.8720499999999998"/>
    <n v="7.7440999999999995"/>
    <x v="4"/>
  </r>
  <r>
    <s v="NOP-21394-646"/>
    <x v="170"/>
    <x v="1"/>
    <x v="5"/>
    <x v="185"/>
    <x v="185"/>
    <s v="ncuttler5g@parallels.com"/>
    <s v="UNKNOWN"/>
    <x v="41"/>
    <x v="0"/>
    <x v="1"/>
    <s v="L-D-2.5"/>
    <x v="3"/>
    <x v="2"/>
    <x v="3"/>
    <n v="2.5"/>
    <n v="29.784999999999997"/>
    <x v="49"/>
    <n v="3.8720499999999998"/>
    <n v="11.616149999999999"/>
    <x v="4"/>
  </r>
  <r>
    <s v="NOP-21394-646"/>
    <x v="170"/>
    <x v="1"/>
    <x v="5"/>
    <x v="185"/>
    <x v="185"/>
    <s v="ncuttler5g@parallels.com"/>
    <s v="UNKNOWN"/>
    <x v="41"/>
    <x v="0"/>
    <x v="1"/>
    <s v="L-L-0.5"/>
    <x v="3"/>
    <x v="1"/>
    <x v="4"/>
    <n v="0.5"/>
    <n v="9.51"/>
    <x v="82"/>
    <n v="1.2363"/>
    <n v="4.9451999999999998"/>
    <x v="4"/>
  </r>
  <r>
    <s v="NOP-21394-646"/>
    <x v="170"/>
    <x v="1"/>
    <x v="5"/>
    <x v="185"/>
    <x v="185"/>
    <s v="ncuttler5g@parallels.com"/>
    <s v="UNKNOWN"/>
    <x v="41"/>
    <x v="0"/>
    <x v="1"/>
    <s v="E-M-1"/>
    <x v="1"/>
    <x v="0"/>
    <x v="3"/>
    <n v="1"/>
    <n v="13.75"/>
    <x v="1"/>
    <n v="1.5125"/>
    <n v="4.5374999999999996"/>
    <x v="1"/>
  </r>
  <r>
    <s v="FTV-77095-168"/>
    <x v="171"/>
    <x v="1"/>
    <x v="8"/>
    <x v="186"/>
    <x v="186"/>
    <s v="UNKNOWN"/>
    <s v="+1 (801) 581-0444"/>
    <x v="34"/>
    <x v="0"/>
    <x v="1"/>
    <s v="L-L-0.5"/>
    <x v="3"/>
    <x v="1"/>
    <x v="5"/>
    <n v="0.5"/>
    <n v="9.51"/>
    <x v="30"/>
    <n v="1.2363"/>
    <n v="7.4177999999999997"/>
    <x v="10"/>
  </r>
  <r>
    <s v="BOR-02906-411"/>
    <x v="172"/>
    <x v="1"/>
    <x v="7"/>
    <x v="187"/>
    <x v="187"/>
    <s v="tfelip5m@typepad.com"/>
    <s v="+1 (518) 651-0940"/>
    <x v="140"/>
    <x v="0"/>
    <x v="0"/>
    <s v="L-D-2.5"/>
    <x v="3"/>
    <x v="2"/>
    <x v="5"/>
    <n v="2.5"/>
    <n v="29.784999999999997"/>
    <x v="39"/>
    <n v="3.8720499999999998"/>
    <n v="23.232299999999999"/>
    <x v="4"/>
  </r>
  <r>
    <s v="WMP-68847-770"/>
    <x v="173"/>
    <x v="2"/>
    <x v="10"/>
    <x v="188"/>
    <x v="188"/>
    <s v="vle5n@disqus.com"/>
    <s v="+1 (864) 694-6658"/>
    <x v="141"/>
    <x v="0"/>
    <x v="1"/>
    <s v="L-L-0.2"/>
    <x v="3"/>
    <x v="1"/>
    <x v="2"/>
    <n v="0.2"/>
    <n v="4.7549999999999999"/>
    <x v="7"/>
    <n v="0.61814999999999998"/>
    <n v="0.61814999999999998"/>
    <x v="4"/>
  </r>
  <r>
    <s v="TMO-22785-872"/>
    <x v="174"/>
    <x v="3"/>
    <x v="2"/>
    <x v="189"/>
    <x v="189"/>
    <s v="UNKNOWN"/>
    <s v="+1 (914) 915-4328"/>
    <x v="142"/>
    <x v="0"/>
    <x v="1"/>
    <s v="E-M-1"/>
    <x v="1"/>
    <x v="0"/>
    <x v="5"/>
    <n v="1"/>
    <n v="13.75"/>
    <x v="121"/>
    <n v="1.5125"/>
    <n v="9.0749999999999993"/>
    <x v="1"/>
  </r>
  <r>
    <s v="TJG-73587-353"/>
    <x v="175"/>
    <x v="3"/>
    <x v="10"/>
    <x v="190"/>
    <x v="190"/>
    <s v="UNKNOWN"/>
    <s v="+1 (202) 137-6867"/>
    <x v="41"/>
    <x v="0"/>
    <x v="0"/>
    <s v="R-D-0.2"/>
    <x v="0"/>
    <x v="2"/>
    <x v="3"/>
    <n v="0.2"/>
    <n v="2.6849999999999996"/>
    <x v="36"/>
    <n v="0.16109999999999997"/>
    <n v="0.4832999999999999"/>
    <x v="11"/>
  </r>
  <r>
    <s v="OOU-61343-455"/>
    <x v="176"/>
    <x v="1"/>
    <x v="4"/>
    <x v="191"/>
    <x v="191"/>
    <s v="npoolman5q@howstuffworks.com"/>
    <s v="UNKNOWN"/>
    <x v="63"/>
    <x v="0"/>
    <x v="1"/>
    <s v="A-M-1"/>
    <x v="2"/>
    <x v="0"/>
    <x v="0"/>
    <n v="1"/>
    <n v="11.25"/>
    <x v="122"/>
    <n v="1.0125"/>
    <n v="2.0249999999999999"/>
    <x v="2"/>
  </r>
  <r>
    <s v="RMA-08327-369"/>
    <x v="142"/>
    <x v="1"/>
    <x v="4"/>
    <x v="192"/>
    <x v="192"/>
    <s v="oduny5r@constantcontact.com"/>
    <s v="+1 (806) 181-9003"/>
    <x v="143"/>
    <x v="0"/>
    <x v="0"/>
    <s v="A-M-0.5"/>
    <x v="2"/>
    <x v="0"/>
    <x v="5"/>
    <n v="0.5"/>
    <n v="6.75"/>
    <x v="61"/>
    <n v="0.60749999999999993"/>
    <n v="3.6449999999999996"/>
    <x v="8"/>
  </r>
  <r>
    <s v="SFB-97929-779"/>
    <x v="177"/>
    <x v="2"/>
    <x v="8"/>
    <x v="193"/>
    <x v="193"/>
    <s v="chalfhide5s@google.ru"/>
    <s v="+353 (885) 827-8865"/>
    <x v="144"/>
    <x v="1"/>
    <x v="0"/>
    <s v="E-D-0.5"/>
    <x v="1"/>
    <x v="2"/>
    <x v="4"/>
    <n v="0.5"/>
    <n v="7.29"/>
    <x v="104"/>
    <n v="0.80190000000000006"/>
    <n v="3.2076000000000002"/>
    <x v="3"/>
  </r>
  <r>
    <s v="AUP-10128-606"/>
    <x v="178"/>
    <x v="3"/>
    <x v="7"/>
    <x v="194"/>
    <x v="194"/>
    <s v="fmalecky5t@list-manage.com"/>
    <s v="+44 (738) 660-4264"/>
    <x v="145"/>
    <x v="2"/>
    <x v="1"/>
    <s v="A-M-0.5"/>
    <x v="2"/>
    <x v="0"/>
    <x v="2"/>
    <n v="0.5"/>
    <n v="6.75"/>
    <x v="52"/>
    <n v="0.60749999999999993"/>
    <n v="0.60749999999999993"/>
    <x v="8"/>
  </r>
  <r>
    <s v="YTW-40242-005"/>
    <x v="179"/>
    <x v="0"/>
    <x v="7"/>
    <x v="195"/>
    <x v="195"/>
    <s v="aattwater5u@wikia.com"/>
    <s v="+1 (434) 821-8618"/>
    <x v="131"/>
    <x v="0"/>
    <x v="0"/>
    <s v="L-D-1"/>
    <x v="3"/>
    <x v="2"/>
    <x v="4"/>
    <n v="1"/>
    <n v="12.95"/>
    <x v="67"/>
    <n v="1.6835"/>
    <n v="6.734"/>
    <x v="4"/>
  </r>
  <r>
    <s v="PRP-53390-819"/>
    <x v="180"/>
    <x v="1"/>
    <x v="6"/>
    <x v="196"/>
    <x v="196"/>
    <s v="mwhellans5v@mapquest.com"/>
    <s v="UNKNOWN"/>
    <x v="15"/>
    <x v="0"/>
    <x v="1"/>
    <s v="E-L-0.5"/>
    <x v="1"/>
    <x v="1"/>
    <x v="5"/>
    <n v="0.5"/>
    <n v="8.91"/>
    <x v="119"/>
    <n v="0.98009999999999997"/>
    <n v="5.8805999999999994"/>
    <x v="1"/>
  </r>
  <r>
    <s v="GSJ-01065-125"/>
    <x v="181"/>
    <x v="3"/>
    <x v="6"/>
    <x v="197"/>
    <x v="197"/>
    <s v="dcamilletti5w@businesswire.com"/>
    <s v="+1 (540) 722-6065"/>
    <x v="110"/>
    <x v="0"/>
    <x v="0"/>
    <s v="E-D-0.2"/>
    <x v="1"/>
    <x v="2"/>
    <x v="4"/>
    <n v="0.2"/>
    <n v="3.645"/>
    <x v="20"/>
    <n v="0.40095000000000003"/>
    <n v="1.6038000000000001"/>
    <x v="3"/>
  </r>
  <r>
    <s v="YQU-65147-580"/>
    <x v="182"/>
    <x v="2"/>
    <x v="6"/>
    <x v="198"/>
    <x v="198"/>
    <s v="egalgey5x@wufoo.com"/>
    <s v="+1 (718) 311-6732"/>
    <x v="15"/>
    <x v="0"/>
    <x v="1"/>
    <s v="R-D-2.5"/>
    <x v="0"/>
    <x v="2"/>
    <x v="2"/>
    <n v="2.5"/>
    <n v="20.584999999999997"/>
    <x v="123"/>
    <n v="1.2350999999999999"/>
    <n v="1.2350999999999999"/>
    <x v="0"/>
  </r>
  <r>
    <s v="QPM-95832-683"/>
    <x v="183"/>
    <x v="0"/>
    <x v="11"/>
    <x v="199"/>
    <x v="199"/>
    <s v="mhame5y@newsvine.com"/>
    <s v="+353 (649) 297-0884"/>
    <x v="146"/>
    <x v="1"/>
    <x v="1"/>
    <s v="L-L-1"/>
    <x v="3"/>
    <x v="1"/>
    <x v="0"/>
    <n v="1"/>
    <n v="15.85"/>
    <x v="124"/>
    <n v="2.0605000000000002"/>
    <n v="4.1210000000000004"/>
    <x v="4"/>
  </r>
  <r>
    <s v="BNQ-88920-567"/>
    <x v="184"/>
    <x v="0"/>
    <x v="9"/>
    <x v="200"/>
    <x v="200"/>
    <s v="igurnee5z@usnews.com"/>
    <s v="+1 (801) 642-0352"/>
    <x v="147"/>
    <x v="0"/>
    <x v="1"/>
    <s v="L-D-0.2"/>
    <x v="3"/>
    <x v="2"/>
    <x v="5"/>
    <n v="0.2"/>
    <n v="3.8849999999999998"/>
    <x v="102"/>
    <n v="0.50505"/>
    <n v="3.0303"/>
    <x v="4"/>
  </r>
  <r>
    <s v="PUX-47906-110"/>
    <x v="185"/>
    <x v="1"/>
    <x v="7"/>
    <x v="201"/>
    <x v="201"/>
    <s v="asnowding60@comsenz.com"/>
    <s v="+1 (419) 996-2492"/>
    <x v="45"/>
    <x v="0"/>
    <x v="0"/>
    <s v="L-M-1"/>
    <x v="3"/>
    <x v="0"/>
    <x v="4"/>
    <n v="1"/>
    <n v="14.55"/>
    <x v="125"/>
    <n v="1.8915000000000002"/>
    <n v="7.5660000000000007"/>
    <x v="4"/>
  </r>
  <r>
    <s v="COL-72079-610"/>
    <x v="186"/>
    <x v="3"/>
    <x v="9"/>
    <x v="202"/>
    <x v="202"/>
    <s v="gpoinsett61@berkeley.edu"/>
    <s v="+1 (626) 451-7397"/>
    <x v="148"/>
    <x v="0"/>
    <x v="1"/>
    <s v="E-L-0.5"/>
    <x v="1"/>
    <x v="1"/>
    <x v="4"/>
    <n v="0.5"/>
    <n v="8.91"/>
    <x v="70"/>
    <n v="0.98009999999999997"/>
    <n v="3.9203999999999999"/>
    <x v="3"/>
  </r>
  <r>
    <s v="LBC-45686-819"/>
    <x v="187"/>
    <x v="1"/>
    <x v="5"/>
    <x v="203"/>
    <x v="203"/>
    <s v="rfurman62@t.co"/>
    <s v="+353 (829) 808-4788"/>
    <x v="149"/>
    <x v="1"/>
    <x v="0"/>
    <s v="A-M-1"/>
    <x v="2"/>
    <x v="0"/>
    <x v="1"/>
    <n v="1"/>
    <n v="11.25"/>
    <x v="126"/>
    <n v="1.0125"/>
    <n v="5.0625"/>
    <x v="2"/>
  </r>
  <r>
    <s v="BLQ-03709-265"/>
    <x v="148"/>
    <x v="2"/>
    <x v="3"/>
    <x v="204"/>
    <x v="204"/>
    <s v="ccrosier63@xrea.com"/>
    <s v="+1 (816) 578-2743"/>
    <x v="150"/>
    <x v="0"/>
    <x v="1"/>
    <s v="R-L-0.2"/>
    <x v="0"/>
    <x v="1"/>
    <x v="3"/>
    <n v="0.2"/>
    <n v="3.5849999999999995"/>
    <x v="127"/>
    <n v="0.21509999999999996"/>
    <n v="0.64529999999999987"/>
    <x v="11"/>
  </r>
  <r>
    <s v="BLQ-03709-265"/>
    <x v="148"/>
    <x v="2"/>
    <x v="3"/>
    <x v="204"/>
    <x v="204"/>
    <s v="ccrosier63@xrea.com"/>
    <s v="+1 (816) 578-2743"/>
    <x v="150"/>
    <x v="0"/>
    <x v="1"/>
    <s v="R-M-0.2"/>
    <x v="0"/>
    <x v="0"/>
    <x v="1"/>
    <n v="0.2"/>
    <n v="2.9849999999999999"/>
    <x v="128"/>
    <n v="0.17909999999999998"/>
    <n v="0.89549999999999996"/>
    <x v="0"/>
  </r>
  <r>
    <s v="VFZ-91673-181"/>
    <x v="188"/>
    <x v="1"/>
    <x v="11"/>
    <x v="205"/>
    <x v="205"/>
    <s v="lrushmer65@europa.eu"/>
    <s v="+1 (949) 869-7598"/>
    <x v="151"/>
    <x v="0"/>
    <x v="0"/>
    <s v="A-L-1"/>
    <x v="2"/>
    <x v="1"/>
    <x v="5"/>
    <n v="1"/>
    <n v="12.95"/>
    <x v="17"/>
    <n v="1.1655"/>
    <n v="6.9930000000000003"/>
    <x v="9"/>
  </r>
  <r>
    <s v="WKD-81956-870"/>
    <x v="189"/>
    <x v="3"/>
    <x v="0"/>
    <x v="206"/>
    <x v="206"/>
    <s v="wedinborough66@github.io"/>
    <s v="+1 (516) 445-4950"/>
    <x v="152"/>
    <x v="0"/>
    <x v="1"/>
    <s v="L-D-0.5"/>
    <x v="3"/>
    <x v="2"/>
    <x v="3"/>
    <n v="0.5"/>
    <n v="7.77"/>
    <x v="102"/>
    <n v="1.0101"/>
    <n v="3.0303"/>
    <x v="4"/>
  </r>
  <r>
    <s v="TNI-91067-006"/>
    <x v="190"/>
    <x v="3"/>
    <x v="7"/>
    <x v="207"/>
    <x v="207"/>
    <s v="UNKNOWN"/>
    <s v="+1 (202) 650-1803"/>
    <x v="41"/>
    <x v="0"/>
    <x v="0"/>
    <s v="E-L-1"/>
    <x v="1"/>
    <x v="1"/>
    <x v="4"/>
    <n v="1"/>
    <n v="14.85"/>
    <x v="48"/>
    <n v="1.6335"/>
    <n v="6.5339999999999998"/>
    <x v="3"/>
  </r>
  <r>
    <s v="IZA-61469-812"/>
    <x v="191"/>
    <x v="3"/>
    <x v="4"/>
    <x v="208"/>
    <x v="208"/>
    <s v="kbromehead68@un.org"/>
    <s v="+1 (646) 586-9964"/>
    <x v="15"/>
    <x v="0"/>
    <x v="0"/>
    <s v="L-D-2.5"/>
    <x v="3"/>
    <x v="2"/>
    <x v="4"/>
    <n v="2.5"/>
    <n v="29.784999999999997"/>
    <x v="129"/>
    <n v="3.8720499999999998"/>
    <n v="15.488199999999999"/>
    <x v="4"/>
  </r>
  <r>
    <s v="PSS-22466-862"/>
    <x v="192"/>
    <x v="1"/>
    <x v="5"/>
    <x v="209"/>
    <x v="209"/>
    <s v="ewesterman69@si.edu"/>
    <s v="+353 (343) 455-4020"/>
    <x v="62"/>
    <x v="1"/>
    <x v="1"/>
    <s v="R-L-0.2"/>
    <x v="0"/>
    <x v="1"/>
    <x v="4"/>
    <n v="0.2"/>
    <n v="3.5849999999999995"/>
    <x v="79"/>
    <n v="0.21509999999999996"/>
    <n v="0.86039999999999983"/>
    <x v="7"/>
  </r>
  <r>
    <s v="REH-56504-397"/>
    <x v="193"/>
    <x v="3"/>
    <x v="10"/>
    <x v="210"/>
    <x v="210"/>
    <s v="ahutchens6a@amazonaws.com"/>
    <s v="+1 (913) 108-5997"/>
    <x v="153"/>
    <x v="0"/>
    <x v="1"/>
    <s v="A-M-2.5"/>
    <x v="2"/>
    <x v="0"/>
    <x v="1"/>
    <n v="2.5"/>
    <n v="25.874999999999996"/>
    <x v="130"/>
    <n v="2.3287499999999994"/>
    <n v="11.643749999999997"/>
    <x v="2"/>
  </r>
  <r>
    <s v="ALA-62598-016"/>
    <x v="194"/>
    <x v="3"/>
    <x v="10"/>
    <x v="211"/>
    <x v="211"/>
    <s v="nwyvill6b@naver.com"/>
    <s v="+44 (872) 383-2829"/>
    <x v="154"/>
    <x v="2"/>
    <x v="0"/>
    <s v="R-D-0.2"/>
    <x v="0"/>
    <x v="2"/>
    <x v="5"/>
    <n v="0.2"/>
    <n v="2.6849999999999996"/>
    <x v="103"/>
    <n v="0.16109999999999997"/>
    <n v="0.96659999999999979"/>
    <x v="11"/>
  </r>
  <r>
    <s v="EYE-70374-835"/>
    <x v="195"/>
    <x v="1"/>
    <x v="1"/>
    <x v="212"/>
    <x v="212"/>
    <s v="bmathon6c@barnesandnoble.com"/>
    <s v="+1 (916) 915-5069"/>
    <x v="155"/>
    <x v="0"/>
    <x v="1"/>
    <s v="R-L-0.2"/>
    <x v="0"/>
    <x v="1"/>
    <x v="1"/>
    <n v="0.2"/>
    <n v="3.5849999999999995"/>
    <x v="131"/>
    <n v="0.21509999999999996"/>
    <n v="1.0754999999999999"/>
    <x v="0"/>
  </r>
  <r>
    <s v="CCZ-19589-212"/>
    <x v="196"/>
    <x v="1"/>
    <x v="6"/>
    <x v="213"/>
    <x v="213"/>
    <s v="kstreight6d@about.com"/>
    <s v="+1 (570) 873-3891"/>
    <x v="156"/>
    <x v="0"/>
    <x v="1"/>
    <s v="L-M-0.2"/>
    <x v="3"/>
    <x v="0"/>
    <x v="0"/>
    <n v="0.2"/>
    <n v="4.3650000000000002"/>
    <x v="31"/>
    <n v="0.56745000000000001"/>
    <n v="1.1349"/>
    <x v="4"/>
  </r>
  <r>
    <s v="BPT-83989-157"/>
    <x v="197"/>
    <x v="1"/>
    <x v="7"/>
    <x v="214"/>
    <x v="214"/>
    <s v="pcutchie6e@globo.com"/>
    <s v="+1 (336) 679-7755"/>
    <x v="116"/>
    <x v="0"/>
    <x v="1"/>
    <s v="A-M-2.5"/>
    <x v="2"/>
    <x v="0"/>
    <x v="0"/>
    <n v="2.5"/>
    <n v="25.874999999999996"/>
    <x v="95"/>
    <n v="2.3287499999999994"/>
    <n v="4.6574999999999989"/>
    <x v="2"/>
  </r>
  <r>
    <s v="YFH-87456-208"/>
    <x v="198"/>
    <x v="0"/>
    <x v="1"/>
    <x v="215"/>
    <x v="215"/>
    <s v="UNKNOWN"/>
    <s v="+1 (302) 746-8950"/>
    <x v="55"/>
    <x v="0"/>
    <x v="0"/>
    <s v="L-M-0.2"/>
    <x v="3"/>
    <x v="0"/>
    <x v="0"/>
    <n v="0.2"/>
    <n v="4.3650000000000002"/>
    <x v="31"/>
    <n v="0.56745000000000001"/>
    <n v="1.1349"/>
    <x v="4"/>
  </r>
  <r>
    <s v="JLN-14700-924"/>
    <x v="199"/>
    <x v="3"/>
    <x v="1"/>
    <x v="216"/>
    <x v="216"/>
    <s v="cgheraldi6g@opera.com"/>
    <s v="+44 (494) 875-2364"/>
    <x v="44"/>
    <x v="2"/>
    <x v="1"/>
    <s v="L-L-0.2"/>
    <x v="3"/>
    <x v="1"/>
    <x v="1"/>
    <n v="0.2"/>
    <n v="4.7549999999999999"/>
    <x v="29"/>
    <n v="0.61814999999999998"/>
    <n v="3.0907499999999999"/>
    <x v="4"/>
  </r>
  <r>
    <s v="JVW-22582-137"/>
    <x v="200"/>
    <x v="1"/>
    <x v="6"/>
    <x v="217"/>
    <x v="217"/>
    <s v="bkenwell6h@over-blog.com"/>
    <s v="+1 (808) 836-6023"/>
    <x v="103"/>
    <x v="0"/>
    <x v="1"/>
    <s v="E-M-0.2"/>
    <x v="1"/>
    <x v="0"/>
    <x v="1"/>
    <n v="0.2"/>
    <n v="4.125"/>
    <x v="132"/>
    <n v="0.45374999999999999"/>
    <n v="2.2687499999999998"/>
    <x v="1"/>
  </r>
  <r>
    <s v="LAA-41879-001"/>
    <x v="201"/>
    <x v="2"/>
    <x v="10"/>
    <x v="218"/>
    <x v="218"/>
    <s v="tsutty6i@google.es"/>
    <s v="+1 (212) 586-1957"/>
    <x v="15"/>
    <x v="0"/>
    <x v="1"/>
    <s v="L-L-2.5"/>
    <x v="3"/>
    <x v="1"/>
    <x v="2"/>
    <n v="2.5"/>
    <n v="36.454999999999998"/>
    <x v="133"/>
    <n v="4.7391499999999995"/>
    <n v="4.7391499999999995"/>
    <x v="4"/>
  </r>
  <r>
    <s v="BRV-64870-915"/>
    <x v="202"/>
    <x v="0"/>
    <x v="8"/>
    <x v="219"/>
    <x v="219"/>
    <s v="UNKNOWN"/>
    <s v="UNKNOWN"/>
    <x v="157"/>
    <x v="1"/>
    <x v="1"/>
    <s v="L-L-2.5"/>
    <x v="3"/>
    <x v="1"/>
    <x v="1"/>
    <n v="2.5"/>
    <n v="36.454999999999998"/>
    <x v="134"/>
    <n v="4.7391499999999995"/>
    <n v="23.695749999999997"/>
    <x v="4"/>
  </r>
  <r>
    <s v="RGJ-12544-083"/>
    <x v="203"/>
    <x v="3"/>
    <x v="10"/>
    <x v="220"/>
    <x v="220"/>
    <s v="charce6k@cafepress.com"/>
    <s v="+353 (444) 423-0673"/>
    <x v="158"/>
    <x v="1"/>
    <x v="1"/>
    <s v="L-D-2.5"/>
    <x v="3"/>
    <x v="2"/>
    <x v="3"/>
    <n v="2.5"/>
    <n v="29.784999999999997"/>
    <x v="49"/>
    <n v="3.8720499999999998"/>
    <n v="11.616149999999999"/>
    <x v="4"/>
  </r>
  <r>
    <s v="JJX-83339-346"/>
    <x v="204"/>
    <x v="2"/>
    <x v="4"/>
    <x v="221"/>
    <x v="221"/>
    <s v="UNKNOWN"/>
    <s v="+1 (513) 461-0440"/>
    <x v="159"/>
    <x v="0"/>
    <x v="0"/>
    <s v="R-L-0.2"/>
    <x v="0"/>
    <x v="1"/>
    <x v="2"/>
    <n v="0.2"/>
    <n v="3.5849999999999995"/>
    <x v="60"/>
    <n v="0.21509999999999996"/>
    <n v="0.21509999999999996"/>
    <x v="7"/>
  </r>
  <r>
    <s v="BIU-21970-705"/>
    <x v="205"/>
    <x v="3"/>
    <x v="9"/>
    <x v="222"/>
    <x v="222"/>
    <s v="fdrysdale6m@symantec.com"/>
    <s v="+1 (989) 215-5282"/>
    <x v="67"/>
    <x v="0"/>
    <x v="0"/>
    <s v="R-M-2.5"/>
    <x v="0"/>
    <x v="0"/>
    <x v="0"/>
    <n v="2.5"/>
    <n v="22.884999999999998"/>
    <x v="135"/>
    <n v="1.3730999999999998"/>
    <n v="2.7461999999999995"/>
    <x v="7"/>
  </r>
  <r>
    <s v="ELJ-87741-745"/>
    <x v="206"/>
    <x v="3"/>
    <x v="10"/>
    <x v="223"/>
    <x v="223"/>
    <s v="dmagowan6n@fc2.com"/>
    <s v="+1 (307) 159-5237"/>
    <x v="160"/>
    <x v="0"/>
    <x v="1"/>
    <s v="E-L-1"/>
    <x v="1"/>
    <x v="1"/>
    <x v="4"/>
    <n v="1"/>
    <n v="14.85"/>
    <x v="48"/>
    <n v="1.6335"/>
    <n v="6.5339999999999998"/>
    <x v="3"/>
  </r>
  <r>
    <s v="SGI-48226-857"/>
    <x v="207"/>
    <x v="3"/>
    <x v="1"/>
    <x v="224"/>
    <x v="224"/>
    <s v="UNKNOWN"/>
    <s v="UNKNOWN"/>
    <x v="161"/>
    <x v="0"/>
    <x v="0"/>
    <s v="A-M-2.5"/>
    <x v="2"/>
    <x v="0"/>
    <x v="5"/>
    <n v="2.5"/>
    <n v="25.874999999999996"/>
    <x v="71"/>
    <n v="2.3287499999999994"/>
    <n v="13.972499999999997"/>
    <x v="2"/>
  </r>
  <r>
    <s v="AHV-66988-037"/>
    <x v="208"/>
    <x v="3"/>
    <x v="0"/>
    <x v="225"/>
    <x v="225"/>
    <s v="UNKNOWN"/>
    <s v="+1 (678) 222-0967"/>
    <x v="162"/>
    <x v="0"/>
    <x v="1"/>
    <s v="R-M-2.5"/>
    <x v="0"/>
    <x v="0"/>
    <x v="0"/>
    <n v="2.5"/>
    <n v="22.884999999999998"/>
    <x v="135"/>
    <n v="1.3730999999999998"/>
    <n v="2.7461999999999995"/>
    <x v="7"/>
  </r>
  <r>
    <s v="ISK-42066-094"/>
    <x v="209"/>
    <x v="3"/>
    <x v="6"/>
    <x v="226"/>
    <x v="226"/>
    <s v="srushbrooke6q@youku.com"/>
    <s v="+1 (916) 214-5665"/>
    <x v="155"/>
    <x v="0"/>
    <x v="0"/>
    <s v="E-D-1"/>
    <x v="1"/>
    <x v="2"/>
    <x v="3"/>
    <n v="1"/>
    <n v="12.15"/>
    <x v="114"/>
    <n v="1.3365"/>
    <n v="4.0095000000000001"/>
    <x v="1"/>
  </r>
  <r>
    <s v="FTC-35822-530"/>
    <x v="210"/>
    <x v="3"/>
    <x v="7"/>
    <x v="227"/>
    <x v="227"/>
    <s v="tdrynan6r@deviantart.com"/>
    <s v="+1 (813) 619-0579"/>
    <x v="47"/>
    <x v="0"/>
    <x v="0"/>
    <s v="E-D-0.5"/>
    <x v="1"/>
    <x v="2"/>
    <x v="4"/>
    <n v="0.5"/>
    <n v="7.29"/>
    <x v="104"/>
    <n v="0.80190000000000006"/>
    <n v="3.2076000000000002"/>
    <x v="3"/>
  </r>
  <r>
    <s v="VSS-56247-688"/>
    <x v="211"/>
    <x v="2"/>
    <x v="5"/>
    <x v="228"/>
    <x v="228"/>
    <s v="eyurkov6s@hud.gov"/>
    <s v="+1 (808) 320-5976"/>
    <x v="103"/>
    <x v="0"/>
    <x v="1"/>
    <s v="L-M-2.5"/>
    <x v="3"/>
    <x v="0"/>
    <x v="4"/>
    <n v="2.5"/>
    <n v="33.464999999999996"/>
    <x v="136"/>
    <n v="4.3504499999999995"/>
    <n v="17.401799999999998"/>
    <x v="4"/>
  </r>
  <r>
    <s v="HVW-25584-144"/>
    <x v="212"/>
    <x v="3"/>
    <x v="8"/>
    <x v="229"/>
    <x v="229"/>
    <s v="lmallan6t@state.gov"/>
    <s v="+1 (225) 484-4771"/>
    <x v="163"/>
    <x v="0"/>
    <x v="0"/>
    <s v="L-L-0.2"/>
    <x v="3"/>
    <x v="1"/>
    <x v="1"/>
    <n v="0.2"/>
    <n v="4.7549999999999999"/>
    <x v="29"/>
    <n v="0.61814999999999998"/>
    <n v="3.0907499999999999"/>
    <x v="4"/>
  </r>
  <r>
    <s v="MUY-15309-209"/>
    <x v="213"/>
    <x v="1"/>
    <x v="9"/>
    <x v="230"/>
    <x v="230"/>
    <s v="gbentjens6u@netlog.com"/>
    <s v="+44 (610) 153-1208"/>
    <x v="164"/>
    <x v="2"/>
    <x v="1"/>
    <s v="L-D-1"/>
    <x v="3"/>
    <x v="2"/>
    <x v="3"/>
    <n v="1"/>
    <n v="12.95"/>
    <x v="5"/>
    <n v="1.6835"/>
    <n v="5.0504999999999995"/>
    <x v="4"/>
  </r>
  <r>
    <s v="VAJ-44572-469"/>
    <x v="63"/>
    <x v="3"/>
    <x v="7"/>
    <x v="231"/>
    <x v="231"/>
    <s v="UNKNOWN"/>
    <s v="+353 (382) 208-0531"/>
    <x v="165"/>
    <x v="1"/>
    <x v="0"/>
    <s v="R-L-0.2"/>
    <x v="0"/>
    <x v="1"/>
    <x v="5"/>
    <n v="0.2"/>
    <n v="3.5849999999999995"/>
    <x v="137"/>
    <n v="0.21509999999999996"/>
    <n v="1.2905999999999997"/>
    <x v="11"/>
  </r>
  <r>
    <s v="YJU-84377-606"/>
    <x v="214"/>
    <x v="3"/>
    <x v="2"/>
    <x v="232"/>
    <x v="232"/>
    <s v="lentwistle6w@omniture.com"/>
    <s v="+1 (612) 972-1256"/>
    <x v="30"/>
    <x v="0"/>
    <x v="0"/>
    <s v="A-D-1"/>
    <x v="2"/>
    <x v="2"/>
    <x v="2"/>
    <n v="1"/>
    <n v="9.9499999999999993"/>
    <x v="138"/>
    <n v="0.89549999999999985"/>
    <n v="0.89549999999999985"/>
    <x v="2"/>
  </r>
  <r>
    <s v="VNC-93921-469"/>
    <x v="215"/>
    <x v="3"/>
    <x v="4"/>
    <x v="233"/>
    <x v="233"/>
    <s v="zkiffe74@cyberchimps.com"/>
    <s v="+1 (414) 703-7269"/>
    <x v="166"/>
    <x v="0"/>
    <x v="0"/>
    <s v="L-L-1"/>
    <x v="3"/>
    <x v="1"/>
    <x v="2"/>
    <n v="1"/>
    <n v="15.85"/>
    <x v="80"/>
    <n v="2.0605000000000002"/>
    <n v="2.0605000000000002"/>
    <x v="4"/>
  </r>
  <r>
    <s v="OGB-91614-810"/>
    <x v="216"/>
    <x v="3"/>
    <x v="10"/>
    <x v="234"/>
    <x v="234"/>
    <s v="macott6y@pagesperso-orange.fr"/>
    <s v="+1 (704) 892-0605"/>
    <x v="63"/>
    <x v="0"/>
    <x v="0"/>
    <s v="R-M-0.2"/>
    <x v="0"/>
    <x v="0"/>
    <x v="2"/>
    <n v="0.2"/>
    <n v="2.9849999999999999"/>
    <x v="55"/>
    <n v="0.17909999999999998"/>
    <n v="0.17909999999999998"/>
    <x v="7"/>
  </r>
  <r>
    <s v="BQI-61647-496"/>
    <x v="217"/>
    <x v="1"/>
    <x v="1"/>
    <x v="235"/>
    <x v="235"/>
    <s v="cheaviside6z@rediff.com"/>
    <s v="+1 (602) 260-2399"/>
    <x v="167"/>
    <x v="0"/>
    <x v="0"/>
    <s v="E-M-1"/>
    <x v="1"/>
    <x v="0"/>
    <x v="1"/>
    <n v="1"/>
    <n v="13.75"/>
    <x v="85"/>
    <n v="1.5125"/>
    <n v="7.5625"/>
    <x v="3"/>
  </r>
  <r>
    <s v="IOM-51636-823"/>
    <x v="218"/>
    <x v="2"/>
    <x v="3"/>
    <x v="236"/>
    <x v="236"/>
    <s v="UNKNOWN"/>
    <s v="+1 (212) 360-7479"/>
    <x v="168"/>
    <x v="0"/>
    <x v="1"/>
    <s v="A-D-1"/>
    <x v="2"/>
    <x v="2"/>
    <x v="3"/>
    <n v="1"/>
    <n v="9.9499999999999993"/>
    <x v="44"/>
    <n v="0.89549999999999985"/>
    <n v="2.6864999999999997"/>
    <x v="2"/>
  </r>
  <r>
    <s v="GGD-38107-641"/>
    <x v="219"/>
    <x v="1"/>
    <x v="11"/>
    <x v="237"/>
    <x v="237"/>
    <s v="lkernan71@wsj.com"/>
    <s v="+1 (217) 146-0949"/>
    <x v="169"/>
    <x v="0"/>
    <x v="1"/>
    <s v="L-M-1"/>
    <x v="3"/>
    <x v="0"/>
    <x v="4"/>
    <n v="1"/>
    <n v="14.55"/>
    <x v="125"/>
    <n v="1.8915000000000002"/>
    <n v="7.5660000000000007"/>
    <x v="4"/>
  </r>
  <r>
    <s v="LTO-95975-728"/>
    <x v="220"/>
    <x v="1"/>
    <x v="7"/>
    <x v="238"/>
    <x v="238"/>
    <s v="rmclae72@dailymotion.com"/>
    <s v="UNKNOWN"/>
    <x v="170"/>
    <x v="2"/>
    <x v="1"/>
    <s v="R-L-0.5"/>
    <x v="0"/>
    <x v="1"/>
    <x v="4"/>
    <n v="0.5"/>
    <n v="7.169999999999999"/>
    <x v="139"/>
    <n v="0.43019999999999992"/>
    <n v="1.7207999999999997"/>
    <x v="7"/>
  </r>
  <r>
    <s v="IGM-84664-265"/>
    <x v="114"/>
    <x v="1"/>
    <x v="3"/>
    <x v="239"/>
    <x v="239"/>
    <s v="cblowfelde73@ustream.tv"/>
    <s v="+1 (520) 951-0585"/>
    <x v="31"/>
    <x v="0"/>
    <x v="1"/>
    <s v="R-L-0.5"/>
    <x v="0"/>
    <x v="1"/>
    <x v="3"/>
    <n v="0.5"/>
    <n v="7.169999999999999"/>
    <x v="137"/>
    <n v="0.43019999999999992"/>
    <n v="1.2905999999999997"/>
    <x v="11"/>
  </r>
  <r>
    <s v="SKO-45740-621"/>
    <x v="221"/>
    <x v="3"/>
    <x v="4"/>
    <x v="233"/>
    <x v="233"/>
    <s v="zkiffe74@cyberchimps.com"/>
    <s v="+1 (414) 703-7269"/>
    <x v="166"/>
    <x v="0"/>
    <x v="0"/>
    <s v="L-M-0.5"/>
    <x v="3"/>
    <x v="0"/>
    <x v="0"/>
    <n v="0.5"/>
    <n v="8.73"/>
    <x v="92"/>
    <n v="1.1349"/>
    <n v="2.2698"/>
    <x v="4"/>
  </r>
  <r>
    <s v="FOJ-02234-063"/>
    <x v="222"/>
    <x v="2"/>
    <x v="8"/>
    <x v="240"/>
    <x v="240"/>
    <s v="docalleran75@ucla.edu"/>
    <s v="+1 (954) 368-3867"/>
    <x v="171"/>
    <x v="0"/>
    <x v="0"/>
    <s v="E-D-2.5"/>
    <x v="1"/>
    <x v="2"/>
    <x v="2"/>
    <n v="2.5"/>
    <n v="27.945"/>
    <x v="140"/>
    <n v="3.07395"/>
    <n v="3.07395"/>
    <x v="3"/>
  </r>
  <r>
    <s v="MSJ-11909-468"/>
    <x v="188"/>
    <x v="1"/>
    <x v="11"/>
    <x v="241"/>
    <x v="241"/>
    <s v="ccromwell76@desdev.cn"/>
    <s v="+1 (562) 516-6052"/>
    <x v="127"/>
    <x v="0"/>
    <x v="1"/>
    <s v="E-D-2.5"/>
    <x v="1"/>
    <x v="2"/>
    <x v="1"/>
    <n v="2.5"/>
    <n v="27.945"/>
    <x v="141"/>
    <n v="3.07395"/>
    <n v="15.36975"/>
    <x v="3"/>
  </r>
  <r>
    <s v="DKB-78053-329"/>
    <x v="223"/>
    <x v="1"/>
    <x v="1"/>
    <x v="242"/>
    <x v="242"/>
    <s v="ihay77@lulu.com"/>
    <s v="+44 (878) 199-6257"/>
    <x v="172"/>
    <x v="2"/>
    <x v="1"/>
    <s v="R-M-0.2"/>
    <x v="0"/>
    <x v="0"/>
    <x v="0"/>
    <n v="0.2"/>
    <n v="2.9849999999999999"/>
    <x v="9"/>
    <n v="0.17909999999999998"/>
    <n v="0.35819999999999996"/>
    <x v="7"/>
  </r>
  <r>
    <s v="DFZ-45083-941"/>
    <x v="224"/>
    <x v="3"/>
    <x v="11"/>
    <x v="243"/>
    <x v="243"/>
    <s v="ttaffarello78@sciencedaily.com"/>
    <s v="UNKNOWN"/>
    <x v="10"/>
    <x v="0"/>
    <x v="0"/>
    <s v="R-L-2.5"/>
    <x v="0"/>
    <x v="1"/>
    <x v="2"/>
    <n v="2.5"/>
    <n v="27.484999999999996"/>
    <x v="142"/>
    <n v="1.6490999999999998"/>
    <n v="1.6490999999999998"/>
    <x v="0"/>
  </r>
  <r>
    <s v="OTA-40969-710"/>
    <x v="83"/>
    <x v="0"/>
    <x v="6"/>
    <x v="244"/>
    <x v="244"/>
    <s v="mcanty79@jigsy.com"/>
    <s v="+1 (814) 215-3753"/>
    <x v="173"/>
    <x v="0"/>
    <x v="0"/>
    <s v="R-L-1"/>
    <x v="0"/>
    <x v="1"/>
    <x v="1"/>
    <n v="1"/>
    <n v="11.95"/>
    <x v="143"/>
    <n v="0.71699999999999997"/>
    <n v="3.585"/>
    <x v="7"/>
  </r>
  <r>
    <s v="GRH-45571-667"/>
    <x v="104"/>
    <x v="0"/>
    <x v="3"/>
    <x v="245"/>
    <x v="245"/>
    <s v="jkopke7a@auda.org.au"/>
    <s v="+1 (253) 638-4435"/>
    <x v="174"/>
    <x v="0"/>
    <x v="1"/>
    <s v="E-M-1"/>
    <x v="1"/>
    <x v="0"/>
    <x v="3"/>
    <n v="1"/>
    <n v="13.75"/>
    <x v="1"/>
    <n v="1.5125"/>
    <n v="4.5374999999999996"/>
    <x v="1"/>
  </r>
  <r>
    <s v="NXV-05302-067"/>
    <x v="225"/>
    <x v="0"/>
    <x v="8"/>
    <x v="246"/>
    <x v="246"/>
    <s v="UNKNOWN"/>
    <s v="+1 (571) 479-3812"/>
    <x v="8"/>
    <x v="0"/>
    <x v="1"/>
    <s v="L-M-2.5"/>
    <x v="3"/>
    <x v="0"/>
    <x v="4"/>
    <n v="2.5"/>
    <n v="33.464999999999996"/>
    <x v="136"/>
    <n v="4.3504499999999995"/>
    <n v="17.401799999999998"/>
    <x v="4"/>
  </r>
  <r>
    <s v="VZH-86274-142"/>
    <x v="226"/>
    <x v="2"/>
    <x v="5"/>
    <x v="247"/>
    <x v="247"/>
    <s v="UNKNOWN"/>
    <s v="+353 (336) 656-6944"/>
    <x v="175"/>
    <x v="1"/>
    <x v="0"/>
    <s v="R-L-1"/>
    <x v="0"/>
    <x v="1"/>
    <x v="1"/>
    <n v="1"/>
    <n v="11.95"/>
    <x v="143"/>
    <n v="0.71699999999999997"/>
    <n v="3.585"/>
    <x v="7"/>
  </r>
  <r>
    <s v="KIX-93248-135"/>
    <x v="227"/>
    <x v="3"/>
    <x v="10"/>
    <x v="248"/>
    <x v="248"/>
    <s v="vhellmore7d@bbc.co.uk"/>
    <s v="+1 (501) 899-4038"/>
    <x v="28"/>
    <x v="0"/>
    <x v="0"/>
    <s v="A-D-0.5"/>
    <x v="2"/>
    <x v="2"/>
    <x v="2"/>
    <n v="0.5"/>
    <n v="5.97"/>
    <x v="9"/>
    <n v="0.5373"/>
    <n v="0.5373"/>
    <x v="9"/>
  </r>
  <r>
    <s v="AXR-10962-010"/>
    <x v="180"/>
    <x v="1"/>
    <x v="6"/>
    <x v="249"/>
    <x v="249"/>
    <s v="mseawright7e@nbcnews.com"/>
    <s v="+44 (638) 528-2467"/>
    <x v="176"/>
    <x v="2"/>
    <x v="1"/>
    <s v="E-D-1"/>
    <x v="1"/>
    <x v="2"/>
    <x v="0"/>
    <n v="1"/>
    <n v="12.15"/>
    <x v="76"/>
    <n v="1.3365"/>
    <n v="2.673"/>
    <x v="3"/>
  </r>
  <r>
    <s v="IHS-71573-008"/>
    <x v="228"/>
    <x v="1"/>
    <x v="5"/>
    <x v="250"/>
    <x v="250"/>
    <s v="snortheast7f@mashable.com"/>
    <s v="+1 (775) 344-1930"/>
    <x v="125"/>
    <x v="0"/>
    <x v="0"/>
    <s v="E-D-0.2"/>
    <x v="1"/>
    <x v="2"/>
    <x v="5"/>
    <n v="0.2"/>
    <n v="3.645"/>
    <x v="6"/>
    <n v="0.40095000000000003"/>
    <n v="2.4057000000000004"/>
    <x v="5"/>
  </r>
  <r>
    <s v="QTR-19001-114"/>
    <x v="229"/>
    <x v="0"/>
    <x v="11"/>
    <x v="195"/>
    <x v="195"/>
    <s v="aattwater5u@wikia.com"/>
    <s v="+1 (434) 821-8618"/>
    <x v="131"/>
    <x v="0"/>
    <x v="0"/>
    <s v="A-D-1"/>
    <x v="2"/>
    <x v="2"/>
    <x v="0"/>
    <n v="1"/>
    <n v="9.9499999999999993"/>
    <x v="0"/>
    <n v="0.89549999999999985"/>
    <n v="1.7909999999999997"/>
    <x v="2"/>
  </r>
  <r>
    <s v="WBK-62297-910"/>
    <x v="230"/>
    <x v="1"/>
    <x v="5"/>
    <x v="251"/>
    <x v="251"/>
    <s v="mfearon7h@reverbnation.com"/>
    <s v="+1 (972) 686-6332"/>
    <x v="177"/>
    <x v="0"/>
    <x v="1"/>
    <s v="A-D-0.2"/>
    <x v="2"/>
    <x v="2"/>
    <x v="0"/>
    <n v="0.2"/>
    <n v="2.9849999999999999"/>
    <x v="9"/>
    <n v="0.26865"/>
    <n v="0.5373"/>
    <x v="9"/>
  </r>
  <r>
    <s v="OGY-19377-175"/>
    <x v="231"/>
    <x v="0"/>
    <x v="2"/>
    <x v="252"/>
    <x v="252"/>
    <s v="UNKNOWN"/>
    <s v="UNKNOWN"/>
    <x v="178"/>
    <x v="1"/>
    <x v="0"/>
    <s v="E-D-0.5"/>
    <x v="1"/>
    <x v="2"/>
    <x v="2"/>
    <n v="0.5"/>
    <n v="7.29"/>
    <x v="35"/>
    <n v="0.80190000000000006"/>
    <n v="0.80190000000000006"/>
    <x v="3"/>
  </r>
  <r>
    <s v="ESR-66651-814"/>
    <x v="80"/>
    <x v="3"/>
    <x v="5"/>
    <x v="253"/>
    <x v="253"/>
    <s v="jsisneros7j@a8.net"/>
    <s v="+1 (919) 448-8909"/>
    <x v="179"/>
    <x v="0"/>
    <x v="0"/>
    <s v="A-D-0.2"/>
    <x v="2"/>
    <x v="2"/>
    <x v="4"/>
    <n v="0.2"/>
    <n v="2.9849999999999999"/>
    <x v="22"/>
    <n v="0.26865"/>
    <n v="1.0746"/>
    <x v="9"/>
  </r>
  <r>
    <s v="CPX-46916-770"/>
    <x v="232"/>
    <x v="1"/>
    <x v="3"/>
    <x v="254"/>
    <x v="254"/>
    <s v="zcarlson7k@bigcartel.com"/>
    <s v="+353 (259) 651-4128"/>
    <x v="180"/>
    <x v="1"/>
    <x v="0"/>
    <s v="R-L-1"/>
    <x v="0"/>
    <x v="1"/>
    <x v="5"/>
    <n v="1"/>
    <n v="11.95"/>
    <x v="144"/>
    <n v="0.71699999999999997"/>
    <n v="4.3019999999999996"/>
    <x v="0"/>
  </r>
  <r>
    <s v="MDC-03318-645"/>
    <x v="233"/>
    <x v="2"/>
    <x v="8"/>
    <x v="255"/>
    <x v="255"/>
    <s v="wmaddox7l@timesonline.co.uk"/>
    <s v="+1 (917) 310-4684"/>
    <x v="15"/>
    <x v="0"/>
    <x v="1"/>
    <s v="A-L-0.2"/>
    <x v="2"/>
    <x v="1"/>
    <x v="0"/>
    <n v="0.2"/>
    <n v="3.8849999999999998"/>
    <x v="41"/>
    <n v="0.34964999999999996"/>
    <n v="0.69929999999999992"/>
    <x v="2"/>
  </r>
  <r>
    <s v="SFF-86059-407"/>
    <x v="234"/>
    <x v="3"/>
    <x v="1"/>
    <x v="256"/>
    <x v="256"/>
    <s v="dhedlestone7m@craigslist.org"/>
    <s v="+1 (203) 768-3169"/>
    <x v="94"/>
    <x v="0"/>
    <x v="1"/>
    <s v="A-M-2.5"/>
    <x v="2"/>
    <x v="0"/>
    <x v="2"/>
    <n v="2.5"/>
    <n v="25.874999999999996"/>
    <x v="145"/>
    <n v="2.3287499999999994"/>
    <n v="2.3287499999999994"/>
    <x v="2"/>
  </r>
  <r>
    <s v="SCL-94540-788"/>
    <x v="235"/>
    <x v="2"/>
    <x v="1"/>
    <x v="257"/>
    <x v="257"/>
    <s v="tcrowthe7n@europa.eu"/>
    <s v="+1 (419) 561-6809"/>
    <x v="45"/>
    <x v="0"/>
    <x v="1"/>
    <s v="E-L-2.5"/>
    <x v="1"/>
    <x v="1"/>
    <x v="5"/>
    <n v="2.5"/>
    <n v="34.154999999999994"/>
    <x v="106"/>
    <n v="3.7570499999999996"/>
    <n v="22.542299999999997"/>
    <x v="5"/>
  </r>
  <r>
    <s v="HVU-21634-076"/>
    <x v="236"/>
    <x v="3"/>
    <x v="1"/>
    <x v="258"/>
    <x v="258"/>
    <s v="dbury7o@tinyurl.com"/>
    <s v="+353 (262) 842-7103"/>
    <x v="181"/>
    <x v="1"/>
    <x v="0"/>
    <s v="R-L-2.5"/>
    <x v="0"/>
    <x v="1"/>
    <x v="4"/>
    <n v="2.5"/>
    <n v="27.484999999999996"/>
    <x v="108"/>
    <n v="1.6490999999999998"/>
    <n v="6.5963999999999992"/>
    <x v="0"/>
  </r>
  <r>
    <s v="XUS-73326-418"/>
    <x v="237"/>
    <x v="3"/>
    <x v="9"/>
    <x v="259"/>
    <x v="259"/>
    <s v="gbroadbear7p@omniture.com"/>
    <s v="+1 (573) 758-1104"/>
    <x v="182"/>
    <x v="0"/>
    <x v="1"/>
    <s v="E-L-1"/>
    <x v="1"/>
    <x v="1"/>
    <x v="5"/>
    <n v="1"/>
    <n v="14.85"/>
    <x v="146"/>
    <n v="1.6335"/>
    <n v="9.8010000000000002"/>
    <x v="5"/>
  </r>
  <r>
    <s v="XWD-18933-006"/>
    <x v="238"/>
    <x v="0"/>
    <x v="3"/>
    <x v="260"/>
    <x v="260"/>
    <s v="epalfrey7q@devhub.com"/>
    <s v="+1 (260) 500-7893"/>
    <x v="51"/>
    <x v="0"/>
    <x v="0"/>
    <s v="A-L-0.2"/>
    <x v="2"/>
    <x v="1"/>
    <x v="0"/>
    <n v="0.2"/>
    <n v="3.8849999999999998"/>
    <x v="41"/>
    <n v="0.34964999999999996"/>
    <n v="0.69929999999999992"/>
    <x v="2"/>
  </r>
  <r>
    <s v="HPD-65272-772"/>
    <x v="52"/>
    <x v="0"/>
    <x v="10"/>
    <x v="261"/>
    <x v="261"/>
    <s v="pmetrick7r@rakuten.co.jp"/>
    <s v="+1 (314) 572-2164"/>
    <x v="10"/>
    <x v="0"/>
    <x v="0"/>
    <s v="L-M-2.5"/>
    <x v="3"/>
    <x v="0"/>
    <x v="2"/>
    <n v="2.5"/>
    <n v="33.464999999999996"/>
    <x v="116"/>
    <n v="4.3504499999999995"/>
    <n v="4.3504499999999995"/>
    <x v="4"/>
  </r>
  <r>
    <s v="JEG-93140-224"/>
    <x v="146"/>
    <x v="1"/>
    <x v="10"/>
    <x v="262"/>
    <x v="262"/>
    <s v="UNKNOWN"/>
    <s v="+1 (208) 826-3825"/>
    <x v="12"/>
    <x v="0"/>
    <x v="0"/>
    <s v="E-M-0.5"/>
    <x v="1"/>
    <x v="0"/>
    <x v="1"/>
    <n v="0.5"/>
    <n v="8.25"/>
    <x v="1"/>
    <n v="0.90749999999999997"/>
    <n v="4.5374999999999996"/>
    <x v="1"/>
  </r>
  <r>
    <s v="NNH-62058-950"/>
    <x v="239"/>
    <x v="1"/>
    <x v="4"/>
    <x v="263"/>
    <x v="263"/>
    <s v="kkarby7t@sbwire.com"/>
    <s v="+1 (303) 516-4935"/>
    <x v="183"/>
    <x v="0"/>
    <x v="0"/>
    <s v="E-L-1"/>
    <x v="1"/>
    <x v="1"/>
    <x v="4"/>
    <n v="1"/>
    <n v="14.85"/>
    <x v="48"/>
    <n v="1.6335"/>
    <n v="6.5339999999999998"/>
    <x v="3"/>
  </r>
  <r>
    <s v="LTD-71429-845"/>
    <x v="240"/>
    <x v="0"/>
    <x v="10"/>
    <x v="264"/>
    <x v="264"/>
    <s v="fcrumpe7u@ftc.gov"/>
    <s v="+44 (564) 507-1056"/>
    <x v="184"/>
    <x v="2"/>
    <x v="1"/>
    <s v="A-L-0.5"/>
    <x v="2"/>
    <x v="1"/>
    <x v="2"/>
    <n v="0.5"/>
    <n v="7.77"/>
    <x v="41"/>
    <n v="0.69929999999999992"/>
    <n v="0.69929999999999992"/>
    <x v="2"/>
  </r>
  <r>
    <s v="MPV-26985-215"/>
    <x v="241"/>
    <x v="0"/>
    <x v="1"/>
    <x v="265"/>
    <x v="265"/>
    <s v="achatto7v@sakura.ne.jp"/>
    <s v="+44 (522) 740-3583"/>
    <x v="172"/>
    <x v="2"/>
    <x v="0"/>
    <s v="R-D-0.5"/>
    <x v="0"/>
    <x v="2"/>
    <x v="2"/>
    <n v="0.5"/>
    <n v="5.3699999999999992"/>
    <x v="147"/>
    <n v="0.32219999999999993"/>
    <n v="0.32219999999999993"/>
    <x v="7"/>
  </r>
  <r>
    <s v="IYO-10245-081"/>
    <x v="242"/>
    <x v="3"/>
    <x v="5"/>
    <x v="266"/>
    <x v="266"/>
    <s v="UNKNOWN"/>
    <s v="+1 (502) 913-2943"/>
    <x v="185"/>
    <x v="0"/>
    <x v="1"/>
    <s v="E-M-2.5"/>
    <x v="1"/>
    <x v="0"/>
    <x v="3"/>
    <n v="2.5"/>
    <n v="31.624999999999996"/>
    <x v="88"/>
    <n v="3.4787499999999998"/>
    <n v="10.436249999999999"/>
    <x v="5"/>
  </r>
  <r>
    <s v="BYZ-39669-954"/>
    <x v="243"/>
    <x v="3"/>
    <x v="2"/>
    <x v="267"/>
    <x v="267"/>
    <s v="UNKNOWN"/>
    <s v="+1 (716) 790-4379"/>
    <x v="73"/>
    <x v="0"/>
    <x v="1"/>
    <s v="L-L-2.5"/>
    <x v="3"/>
    <x v="1"/>
    <x v="2"/>
    <n v="2.5"/>
    <n v="36.454999999999998"/>
    <x v="133"/>
    <n v="4.7391499999999995"/>
    <n v="4.7391499999999995"/>
    <x v="4"/>
  </r>
  <r>
    <s v="EFB-72860-209"/>
    <x v="244"/>
    <x v="0"/>
    <x v="7"/>
    <x v="268"/>
    <x v="268"/>
    <s v="bmergue7y@umn.edu"/>
    <s v="UNKNOWN"/>
    <x v="186"/>
    <x v="0"/>
    <x v="0"/>
    <s v="A-M-0.2"/>
    <x v="2"/>
    <x v="0"/>
    <x v="4"/>
    <n v="0.2"/>
    <n v="3.375"/>
    <x v="72"/>
    <n v="0.30374999999999996"/>
    <n v="1.2149999999999999"/>
    <x v="8"/>
  </r>
  <r>
    <s v="GMM-72397-378"/>
    <x v="245"/>
    <x v="2"/>
    <x v="5"/>
    <x v="269"/>
    <x v="269"/>
    <s v="kpatise7z@jigsy.com"/>
    <s v="+1 (617) 552-8968"/>
    <x v="35"/>
    <x v="0"/>
    <x v="1"/>
    <s v="R-L-0.2"/>
    <x v="0"/>
    <x v="1"/>
    <x v="4"/>
    <n v="0.2"/>
    <n v="3.5849999999999995"/>
    <x v="79"/>
    <n v="0.21509999999999996"/>
    <n v="0.86039999999999983"/>
    <x v="7"/>
  </r>
  <r>
    <s v="LYP-52345-883"/>
    <x v="246"/>
    <x v="1"/>
    <x v="6"/>
    <x v="270"/>
    <x v="270"/>
    <s v="UNKNOWN"/>
    <s v="+353 (968) 887-1849"/>
    <x v="187"/>
    <x v="1"/>
    <x v="0"/>
    <s v="E-M-0.5"/>
    <x v="1"/>
    <x v="0"/>
    <x v="2"/>
    <n v="0.5"/>
    <n v="8.25"/>
    <x v="112"/>
    <n v="0.90749999999999997"/>
    <n v="0.90749999999999997"/>
    <x v="3"/>
  </r>
  <r>
    <s v="DFK-35846-692"/>
    <x v="247"/>
    <x v="0"/>
    <x v="11"/>
    <x v="271"/>
    <x v="271"/>
    <s v="UNKNOWN"/>
    <s v="UNKNOWN"/>
    <x v="188"/>
    <x v="0"/>
    <x v="0"/>
    <s v="R-D-0.2"/>
    <x v="0"/>
    <x v="2"/>
    <x v="1"/>
    <n v="0.2"/>
    <n v="2.6849999999999996"/>
    <x v="148"/>
    <n v="0.16109999999999997"/>
    <n v="0.80549999999999988"/>
    <x v="0"/>
  </r>
  <r>
    <s v="XAH-93337-609"/>
    <x v="248"/>
    <x v="1"/>
    <x v="7"/>
    <x v="272"/>
    <x v="272"/>
    <s v="dduke82@vkontakte.ru"/>
    <s v="+1 (626) 268-7265"/>
    <x v="6"/>
    <x v="0"/>
    <x v="1"/>
    <s v="A-D-1"/>
    <x v="2"/>
    <x v="2"/>
    <x v="1"/>
    <n v="1"/>
    <n v="9.9499999999999993"/>
    <x v="12"/>
    <n v="0.89549999999999985"/>
    <n v="4.4774999999999991"/>
    <x v="8"/>
  </r>
  <r>
    <s v="QKA-72582-644"/>
    <x v="249"/>
    <x v="3"/>
    <x v="9"/>
    <x v="273"/>
    <x v="273"/>
    <s v="UNKNOWN"/>
    <s v="UNKNOWN"/>
    <x v="96"/>
    <x v="1"/>
    <x v="1"/>
    <s v="E-M-0.5"/>
    <x v="1"/>
    <x v="0"/>
    <x v="0"/>
    <n v="0.5"/>
    <n v="8.25"/>
    <x v="38"/>
    <n v="0.90749999999999997"/>
    <n v="1.8149999999999999"/>
    <x v="3"/>
  </r>
  <r>
    <s v="ZDK-84567-102"/>
    <x v="250"/>
    <x v="1"/>
    <x v="11"/>
    <x v="274"/>
    <x v="274"/>
    <s v="ihussey84@mapy.cz"/>
    <s v="UNKNOWN"/>
    <x v="38"/>
    <x v="0"/>
    <x v="1"/>
    <s v="A-D-0.5"/>
    <x v="2"/>
    <x v="2"/>
    <x v="3"/>
    <n v="0.5"/>
    <n v="5.97"/>
    <x v="8"/>
    <n v="0.5373"/>
    <n v="1.6118999999999999"/>
    <x v="2"/>
  </r>
  <r>
    <s v="WAV-38301-984"/>
    <x v="251"/>
    <x v="1"/>
    <x v="6"/>
    <x v="275"/>
    <x v="275"/>
    <s v="cpinkerton85@upenn.edu"/>
    <s v="+1 (202) 727-7464"/>
    <x v="117"/>
    <x v="0"/>
    <x v="1"/>
    <s v="A-D-0.5"/>
    <x v="2"/>
    <x v="2"/>
    <x v="1"/>
    <n v="0.5"/>
    <n v="5.97"/>
    <x v="44"/>
    <n v="0.5373"/>
    <n v="2.6865000000000001"/>
    <x v="9"/>
  </r>
  <r>
    <s v="KZR-33023-209"/>
    <x v="177"/>
    <x v="2"/>
    <x v="8"/>
    <x v="276"/>
    <x v="276"/>
    <s v="UNKNOWN"/>
    <s v="+1 (203) 722-1559"/>
    <x v="189"/>
    <x v="0"/>
    <x v="1"/>
    <s v="E-L-1"/>
    <x v="1"/>
    <x v="1"/>
    <x v="3"/>
    <n v="1"/>
    <n v="14.85"/>
    <x v="69"/>
    <n v="1.6335"/>
    <n v="4.9005000000000001"/>
    <x v="5"/>
  </r>
  <r>
    <s v="ULM-49433-003"/>
    <x v="252"/>
    <x v="3"/>
    <x v="3"/>
    <x v="277"/>
    <x v="277"/>
    <s v="UNKNOWN"/>
    <s v="UNKNOWN"/>
    <x v="140"/>
    <x v="0"/>
    <x v="1"/>
    <s v="E-M-1"/>
    <x v="1"/>
    <x v="0"/>
    <x v="0"/>
    <n v="1"/>
    <n v="13.75"/>
    <x v="3"/>
    <n v="1.5125"/>
    <n v="3.0249999999999999"/>
    <x v="3"/>
  </r>
  <r>
    <s v="SIB-83254-136"/>
    <x v="253"/>
    <x v="0"/>
    <x v="5"/>
    <x v="278"/>
    <x v="278"/>
    <s v="dvizor88@furl.net"/>
    <s v="+1 (941) 130-0581"/>
    <x v="53"/>
    <x v="0"/>
    <x v="0"/>
    <s v="R-M-0.5"/>
    <x v="0"/>
    <x v="0"/>
    <x v="5"/>
    <n v="0.5"/>
    <n v="5.97"/>
    <x v="27"/>
    <n v="0.35819999999999996"/>
    <n v="2.1491999999999996"/>
    <x v="6"/>
  </r>
  <r>
    <s v="NOK-50349-551"/>
    <x v="254"/>
    <x v="1"/>
    <x v="6"/>
    <x v="279"/>
    <x v="279"/>
    <s v="esedgebeer89@oaic.gov.au"/>
    <s v="+1 (305) 898-4252"/>
    <x v="190"/>
    <x v="0"/>
    <x v="0"/>
    <s v="R-D-0.5"/>
    <x v="0"/>
    <x v="2"/>
    <x v="3"/>
    <n v="0.5"/>
    <n v="5.3699999999999992"/>
    <x v="103"/>
    <n v="0.32219999999999993"/>
    <n v="0.96659999999999979"/>
    <x v="11"/>
  </r>
  <r>
    <s v="YIS-96268-844"/>
    <x v="227"/>
    <x v="3"/>
    <x v="10"/>
    <x v="280"/>
    <x v="280"/>
    <s v="klestrange8a@lulu.com"/>
    <s v="+1 (404) 479-6402"/>
    <x v="161"/>
    <x v="0"/>
    <x v="0"/>
    <s v="E-L-0.2"/>
    <x v="1"/>
    <x v="1"/>
    <x v="5"/>
    <n v="0.2"/>
    <n v="4.4550000000000001"/>
    <x v="149"/>
    <n v="0.49004999999999999"/>
    <n v="2.9402999999999997"/>
    <x v="1"/>
  </r>
  <r>
    <s v="CXI-04933-855"/>
    <x v="110"/>
    <x v="0"/>
    <x v="8"/>
    <x v="281"/>
    <x v="281"/>
    <s v="ltanti8b@techcrunch.com"/>
    <s v="+1 (361) 383-8015"/>
    <x v="191"/>
    <x v="0"/>
    <x v="0"/>
    <s v="E-L-2.5"/>
    <x v="1"/>
    <x v="1"/>
    <x v="5"/>
    <n v="2.5"/>
    <n v="34.154999999999994"/>
    <x v="106"/>
    <n v="3.7570499999999996"/>
    <n v="22.542299999999997"/>
    <x v="5"/>
  </r>
  <r>
    <s v="IZU-90429-382"/>
    <x v="182"/>
    <x v="2"/>
    <x v="6"/>
    <x v="282"/>
    <x v="282"/>
    <s v="ade8c@1und1.de"/>
    <s v="+1 (808) 868-6669"/>
    <x v="103"/>
    <x v="0"/>
    <x v="0"/>
    <s v="A-L-1"/>
    <x v="2"/>
    <x v="1"/>
    <x v="3"/>
    <n v="1"/>
    <n v="12.95"/>
    <x v="5"/>
    <n v="1.1655"/>
    <n v="3.4965000000000002"/>
    <x v="9"/>
  </r>
  <r>
    <s v="WIT-40912-783"/>
    <x v="255"/>
    <x v="3"/>
    <x v="0"/>
    <x v="283"/>
    <x v="283"/>
    <s v="tjedrachowicz8d@acquirethisname.com"/>
    <s v="+1 (512) 635-4547"/>
    <x v="79"/>
    <x v="0"/>
    <x v="0"/>
    <s v="L-D-0.2"/>
    <x v="3"/>
    <x v="2"/>
    <x v="4"/>
    <n v="0.2"/>
    <n v="3.8849999999999998"/>
    <x v="42"/>
    <n v="0.50505"/>
    <n v="2.0202"/>
    <x v="4"/>
  </r>
  <r>
    <s v="PSD-57291-590"/>
    <x v="256"/>
    <x v="0"/>
    <x v="7"/>
    <x v="284"/>
    <x v="284"/>
    <s v="pstonner8e@moonfruit.com"/>
    <s v="+1 (410) 158-5285"/>
    <x v="192"/>
    <x v="0"/>
    <x v="1"/>
    <s v="A-M-0.5"/>
    <x v="2"/>
    <x v="0"/>
    <x v="2"/>
    <n v="0.5"/>
    <n v="6.75"/>
    <x v="52"/>
    <n v="0.60749999999999993"/>
    <n v="0.60749999999999993"/>
    <x v="8"/>
  </r>
  <r>
    <s v="GOI-41472-677"/>
    <x v="3"/>
    <x v="1"/>
    <x v="3"/>
    <x v="285"/>
    <x v="285"/>
    <s v="dtingly8f@goo.ne.jp"/>
    <s v="UNKNOWN"/>
    <x v="193"/>
    <x v="0"/>
    <x v="0"/>
    <s v="E-D-2.5"/>
    <x v="1"/>
    <x v="2"/>
    <x v="4"/>
    <n v="2.5"/>
    <n v="27.945"/>
    <x v="150"/>
    <n v="3.07395"/>
    <n v="12.2958"/>
    <x v="3"/>
  </r>
  <r>
    <s v="KTX-17944-494"/>
    <x v="257"/>
    <x v="0"/>
    <x v="9"/>
    <x v="286"/>
    <x v="286"/>
    <s v="crushe8n@about.me"/>
    <s v="+1 (704) 883-8274"/>
    <x v="63"/>
    <x v="0"/>
    <x v="0"/>
    <s v="A-L-0.2"/>
    <x v="2"/>
    <x v="1"/>
    <x v="2"/>
    <n v="0.2"/>
    <n v="3.8849999999999998"/>
    <x v="84"/>
    <n v="0.34964999999999996"/>
    <n v="0.34964999999999996"/>
    <x v="2"/>
  </r>
  <r>
    <s v="RDM-99811-230"/>
    <x v="258"/>
    <x v="0"/>
    <x v="11"/>
    <x v="287"/>
    <x v="287"/>
    <s v="bchecci8h@usa.gov"/>
    <s v="+44 (237) 377-1917"/>
    <x v="194"/>
    <x v="2"/>
    <x v="1"/>
    <s v="L-M-0.2"/>
    <x v="3"/>
    <x v="0"/>
    <x v="1"/>
    <n v="0.2"/>
    <n v="4.3650000000000002"/>
    <x v="26"/>
    <n v="0.56745000000000001"/>
    <n v="2.83725"/>
    <x v="10"/>
  </r>
  <r>
    <s v="JTU-55897-581"/>
    <x v="259"/>
    <x v="3"/>
    <x v="10"/>
    <x v="288"/>
    <x v="288"/>
    <s v="jbagot8i@mac.com"/>
    <s v="+1 (402) 659-3815"/>
    <x v="195"/>
    <x v="0"/>
    <x v="1"/>
    <s v="R-M-0.2"/>
    <x v="0"/>
    <x v="0"/>
    <x v="1"/>
    <n v="0.2"/>
    <n v="2.9849999999999999"/>
    <x v="128"/>
    <n v="0.17909999999999998"/>
    <n v="0.89549999999999996"/>
    <x v="0"/>
  </r>
  <r>
    <s v="CRK-07584-240"/>
    <x v="260"/>
    <x v="1"/>
    <x v="4"/>
    <x v="289"/>
    <x v="289"/>
    <s v="ebeeble8j@soundcloud.com"/>
    <s v="+1 (513) 141-9892"/>
    <x v="159"/>
    <x v="0"/>
    <x v="0"/>
    <s v="A-M-1"/>
    <x v="2"/>
    <x v="0"/>
    <x v="3"/>
    <n v="1"/>
    <n v="11.25"/>
    <x v="65"/>
    <n v="1.0125"/>
    <n v="3.0374999999999996"/>
    <x v="8"/>
  </r>
  <r>
    <s v="MKE-75518-399"/>
    <x v="261"/>
    <x v="2"/>
    <x v="1"/>
    <x v="290"/>
    <x v="290"/>
    <s v="cfluin8k@flickr.com"/>
    <s v="UNKNOWN"/>
    <x v="172"/>
    <x v="2"/>
    <x v="1"/>
    <s v="A-M-1"/>
    <x v="2"/>
    <x v="0"/>
    <x v="3"/>
    <n v="1"/>
    <n v="11.25"/>
    <x v="65"/>
    <n v="1.0125"/>
    <n v="3.0374999999999996"/>
    <x v="8"/>
  </r>
  <r>
    <s v="AEL-51169-725"/>
    <x v="262"/>
    <x v="3"/>
    <x v="10"/>
    <x v="291"/>
    <x v="291"/>
    <s v="ebletsor8l@vinaora.com"/>
    <s v="+1 (860) 182-4246"/>
    <x v="196"/>
    <x v="0"/>
    <x v="0"/>
    <s v="L-M-0.2"/>
    <x v="3"/>
    <x v="0"/>
    <x v="5"/>
    <n v="0.2"/>
    <n v="4.3650000000000002"/>
    <x v="50"/>
    <n v="0.56745000000000001"/>
    <n v="3.4047000000000001"/>
    <x v="4"/>
  </r>
  <r>
    <s v="ZGM-83108-823"/>
    <x v="263"/>
    <x v="2"/>
    <x v="4"/>
    <x v="292"/>
    <x v="292"/>
    <s v="pbrydell8m@bloglovin.com"/>
    <s v="+353 (522) 527-0155"/>
    <x v="65"/>
    <x v="1"/>
    <x v="1"/>
    <s v="E-L-1"/>
    <x v="1"/>
    <x v="1"/>
    <x v="2"/>
    <n v="1"/>
    <n v="14.85"/>
    <x v="151"/>
    <n v="1.6335"/>
    <n v="1.6335"/>
    <x v="3"/>
  </r>
  <r>
    <s v="JBP-78754-392"/>
    <x v="212"/>
    <x v="3"/>
    <x v="8"/>
    <x v="286"/>
    <x v="286"/>
    <s v="crushe8n@about.me"/>
    <s v="+1 (704) 883-8274"/>
    <x v="63"/>
    <x v="0"/>
    <x v="0"/>
    <s v="E-M-2.5"/>
    <x v="1"/>
    <x v="0"/>
    <x v="5"/>
    <n v="2.5"/>
    <n v="31.624999999999996"/>
    <x v="152"/>
    <n v="3.4787499999999998"/>
    <n v="20.872499999999999"/>
    <x v="5"/>
  </r>
  <r>
    <s v="RNH-54912-747"/>
    <x v="187"/>
    <x v="1"/>
    <x v="5"/>
    <x v="293"/>
    <x v="293"/>
    <s v="nleethem8o@mac.com"/>
    <s v="+1 (318) 839-1492"/>
    <x v="117"/>
    <x v="0"/>
    <x v="0"/>
    <s v="R-M-0.5"/>
    <x v="0"/>
    <x v="0"/>
    <x v="2"/>
    <n v="0.5"/>
    <n v="5.97"/>
    <x v="9"/>
    <n v="0.35819999999999996"/>
    <n v="0.35819999999999996"/>
    <x v="7"/>
  </r>
  <r>
    <s v="JDS-33440-914"/>
    <x v="248"/>
    <x v="1"/>
    <x v="7"/>
    <x v="294"/>
    <x v="294"/>
    <s v="anesfield8p@people.com.cn"/>
    <s v="+44 (418) 372-8139"/>
    <x v="197"/>
    <x v="2"/>
    <x v="0"/>
    <s v="R-M-1"/>
    <x v="0"/>
    <x v="0"/>
    <x v="3"/>
    <n v="1"/>
    <n v="9.9499999999999993"/>
    <x v="44"/>
    <n v="0.59699999999999998"/>
    <n v="1.7909999999999999"/>
    <x v="0"/>
  </r>
  <r>
    <s v="SYX-48878-182"/>
    <x v="264"/>
    <x v="1"/>
    <x v="3"/>
    <x v="295"/>
    <x v="295"/>
    <s v="UNKNOWN"/>
    <s v="+1 (702) 723-3139"/>
    <x v="198"/>
    <x v="0"/>
    <x v="1"/>
    <s v="R-D-1"/>
    <x v="0"/>
    <x v="2"/>
    <x v="1"/>
    <n v="1"/>
    <n v="8.9499999999999993"/>
    <x v="153"/>
    <n v="0.53699999999999992"/>
    <n v="2.6849999999999996"/>
    <x v="11"/>
  </r>
  <r>
    <s v="ZGD-94763-868"/>
    <x v="265"/>
    <x v="0"/>
    <x v="9"/>
    <x v="296"/>
    <x v="296"/>
    <s v="mbrockway8r@ibm.com"/>
    <s v="+1 (515) 216-0617"/>
    <x v="111"/>
    <x v="0"/>
    <x v="0"/>
    <s v="E-L-2.5"/>
    <x v="1"/>
    <x v="1"/>
    <x v="2"/>
    <n v="2.5"/>
    <n v="34.154999999999994"/>
    <x v="107"/>
    <n v="3.7570499999999996"/>
    <n v="3.7570499999999996"/>
    <x v="3"/>
  </r>
  <r>
    <s v="CZY-70361-485"/>
    <x v="266"/>
    <x v="0"/>
    <x v="1"/>
    <x v="297"/>
    <x v="297"/>
    <s v="nlush8s@dedecms.com"/>
    <s v="+353 (360) 805-4030"/>
    <x v="104"/>
    <x v="1"/>
    <x v="1"/>
    <s v="E-L-2.5"/>
    <x v="1"/>
    <x v="1"/>
    <x v="5"/>
    <n v="2.5"/>
    <n v="34.154999999999994"/>
    <x v="106"/>
    <n v="3.7570499999999996"/>
    <n v="22.542299999999997"/>
    <x v="5"/>
  </r>
  <r>
    <s v="RJR-12175-899"/>
    <x v="267"/>
    <x v="0"/>
    <x v="6"/>
    <x v="298"/>
    <x v="298"/>
    <s v="smcmillian8t@csmonitor.com"/>
    <s v="+1 (330) 407-0631"/>
    <x v="199"/>
    <x v="0"/>
    <x v="1"/>
    <s v="E-D-0.5"/>
    <x v="1"/>
    <x v="2"/>
    <x v="3"/>
    <n v="0.5"/>
    <n v="7.29"/>
    <x v="6"/>
    <n v="0.80190000000000006"/>
    <n v="2.4057000000000004"/>
    <x v="5"/>
  </r>
  <r>
    <s v="ELB-07929-407"/>
    <x v="204"/>
    <x v="2"/>
    <x v="4"/>
    <x v="299"/>
    <x v="299"/>
    <s v="tbennison8u@google.cn"/>
    <s v="+1 (561) 413-7904"/>
    <x v="200"/>
    <x v="0"/>
    <x v="0"/>
    <s v="A-M-2.5"/>
    <x v="2"/>
    <x v="0"/>
    <x v="0"/>
    <n v="2.5"/>
    <n v="25.874999999999996"/>
    <x v="95"/>
    <n v="2.3287499999999994"/>
    <n v="4.6574999999999989"/>
    <x v="2"/>
  </r>
  <r>
    <s v="UJQ-54441-340"/>
    <x v="268"/>
    <x v="0"/>
    <x v="2"/>
    <x v="300"/>
    <x v="300"/>
    <s v="gtweed8v@yolasite.com"/>
    <s v="UNKNOWN"/>
    <x v="74"/>
    <x v="0"/>
    <x v="0"/>
    <s v="E-M-0.2"/>
    <x v="1"/>
    <x v="0"/>
    <x v="0"/>
    <n v="0.2"/>
    <n v="4.125"/>
    <x v="112"/>
    <n v="0.45374999999999999"/>
    <n v="0.90749999999999997"/>
    <x v="3"/>
  </r>
  <r>
    <s v="UJQ-54441-340"/>
    <x v="268"/>
    <x v="0"/>
    <x v="2"/>
    <x v="300"/>
    <x v="300"/>
    <s v="gtweed8v@yolasite.com"/>
    <s v="UNKNOWN"/>
    <x v="74"/>
    <x v="0"/>
    <x v="0"/>
    <s v="A-L-0.2"/>
    <x v="2"/>
    <x v="1"/>
    <x v="1"/>
    <n v="0.2"/>
    <n v="3.8849999999999998"/>
    <x v="117"/>
    <n v="0.34964999999999996"/>
    <n v="1.7482499999999999"/>
    <x v="9"/>
  </r>
  <r>
    <s v="OWY-43108-475"/>
    <x v="269"/>
    <x v="3"/>
    <x v="9"/>
    <x v="301"/>
    <x v="301"/>
    <s v="ggoggin8x@wix.com"/>
    <s v="+353 (484) 159-9549"/>
    <x v="201"/>
    <x v="1"/>
    <x v="0"/>
    <s v="A-M-0.2"/>
    <x v="2"/>
    <x v="0"/>
    <x v="5"/>
    <n v="0.2"/>
    <n v="3.375"/>
    <x v="16"/>
    <n v="0.30374999999999996"/>
    <n v="1.8224999999999998"/>
    <x v="8"/>
  </r>
  <r>
    <s v="GNO-91911-159"/>
    <x v="145"/>
    <x v="3"/>
    <x v="9"/>
    <x v="302"/>
    <x v="302"/>
    <s v="sjeyness8y@biglobe.ne.jp"/>
    <s v="+353 (460) 272-4069"/>
    <x v="202"/>
    <x v="1"/>
    <x v="1"/>
    <s v="L-D-0.5"/>
    <x v="3"/>
    <x v="2"/>
    <x v="3"/>
    <n v="0.5"/>
    <n v="7.77"/>
    <x v="102"/>
    <n v="1.0101"/>
    <n v="3.0303"/>
    <x v="4"/>
  </r>
  <r>
    <s v="CNY-06284-066"/>
    <x v="270"/>
    <x v="1"/>
    <x v="1"/>
    <x v="303"/>
    <x v="303"/>
    <s v="dbonhome8z@shinystat.com"/>
    <s v="+1 (865) 238-4985"/>
    <x v="203"/>
    <x v="0"/>
    <x v="0"/>
    <s v="E-D-0.2"/>
    <x v="1"/>
    <x v="2"/>
    <x v="1"/>
    <n v="0.2"/>
    <n v="3.645"/>
    <x v="94"/>
    <n v="0.40095000000000003"/>
    <n v="2.00475"/>
    <x v="1"/>
  </r>
  <r>
    <s v="OQS-46321-904"/>
    <x v="271"/>
    <x v="0"/>
    <x v="2"/>
    <x v="304"/>
    <x v="304"/>
    <s v="UNKNOWN"/>
    <s v="+1 (913) 671-7118"/>
    <x v="153"/>
    <x v="0"/>
    <x v="1"/>
    <s v="E-M-1"/>
    <x v="1"/>
    <x v="0"/>
    <x v="2"/>
    <n v="1"/>
    <n v="13.75"/>
    <x v="154"/>
    <n v="1.5125"/>
    <n v="1.5125"/>
    <x v="3"/>
  </r>
  <r>
    <s v="IBW-87442-480"/>
    <x v="272"/>
    <x v="2"/>
    <x v="2"/>
    <x v="305"/>
    <x v="305"/>
    <s v="tle91@epa.gov"/>
    <s v="+1 (415) 176-8216"/>
    <x v="204"/>
    <x v="0"/>
    <x v="0"/>
    <s v="A-L-2.5"/>
    <x v="2"/>
    <x v="1"/>
    <x v="2"/>
    <n v="2.5"/>
    <n v="29.784999999999997"/>
    <x v="91"/>
    <n v="2.6806499999999995"/>
    <n v="2.6806499999999995"/>
    <x v="2"/>
  </r>
  <r>
    <s v="DGZ-82537-477"/>
    <x v="252"/>
    <x v="3"/>
    <x v="3"/>
    <x v="306"/>
    <x v="306"/>
    <s v="UNKNOWN"/>
    <s v="+1 (205) 680-5859"/>
    <x v="38"/>
    <x v="0"/>
    <x v="1"/>
    <s v="R-D-1"/>
    <x v="0"/>
    <x v="2"/>
    <x v="1"/>
    <n v="1"/>
    <n v="8.9499999999999993"/>
    <x v="153"/>
    <n v="0.53699999999999992"/>
    <n v="2.6849999999999996"/>
    <x v="11"/>
  </r>
  <r>
    <s v="LPS-39089-432"/>
    <x v="273"/>
    <x v="0"/>
    <x v="8"/>
    <x v="307"/>
    <x v="307"/>
    <s v="balldridge93@yandex.ru"/>
    <s v="+1 (646) 561-0082"/>
    <x v="130"/>
    <x v="0"/>
    <x v="0"/>
    <s v="R-D-1"/>
    <x v="0"/>
    <x v="2"/>
    <x v="1"/>
    <n v="1"/>
    <n v="8.9499999999999993"/>
    <x v="153"/>
    <n v="0.53699999999999992"/>
    <n v="2.6849999999999996"/>
    <x v="11"/>
  </r>
  <r>
    <s v="MQU-86100-929"/>
    <x v="274"/>
    <x v="0"/>
    <x v="1"/>
    <x v="308"/>
    <x v="308"/>
    <s v="UNKNOWN"/>
    <s v="+1 (915) 761-6081"/>
    <x v="87"/>
    <x v="0"/>
    <x v="0"/>
    <s v="L-L-0.5"/>
    <x v="3"/>
    <x v="1"/>
    <x v="4"/>
    <n v="0.5"/>
    <n v="9.51"/>
    <x v="82"/>
    <n v="1.2363"/>
    <n v="4.9451999999999998"/>
    <x v="4"/>
  </r>
  <r>
    <s v="XUR-14132-391"/>
    <x v="275"/>
    <x v="2"/>
    <x v="3"/>
    <x v="309"/>
    <x v="309"/>
    <s v="lgoodger95@guardian.co.uk"/>
    <s v="UNKNOWN"/>
    <x v="155"/>
    <x v="0"/>
    <x v="0"/>
    <s v="R-D-0.5"/>
    <x v="0"/>
    <x v="2"/>
    <x v="4"/>
    <n v="0.5"/>
    <n v="5.3699999999999992"/>
    <x v="155"/>
    <n v="0.32219999999999993"/>
    <n v="1.2887999999999997"/>
    <x v="7"/>
  </r>
  <r>
    <s v="OVI-27064-381"/>
    <x v="276"/>
    <x v="0"/>
    <x v="11"/>
    <x v="298"/>
    <x v="298"/>
    <s v="smcmillian8t@csmonitor.com"/>
    <s v="+1 (330) 407-0631"/>
    <x v="199"/>
    <x v="0"/>
    <x v="1"/>
    <s v="R-D-0.5"/>
    <x v="0"/>
    <x v="2"/>
    <x v="3"/>
    <n v="0.5"/>
    <n v="5.3699999999999992"/>
    <x v="103"/>
    <n v="0.32219999999999993"/>
    <n v="0.96659999999999979"/>
    <x v="11"/>
  </r>
  <r>
    <s v="SHP-17012-870"/>
    <x v="277"/>
    <x v="3"/>
    <x v="1"/>
    <x v="310"/>
    <x v="310"/>
    <s v="cdrewett97@wikipedia.org"/>
    <s v="+1 (561) 651-3098"/>
    <x v="205"/>
    <x v="0"/>
    <x v="0"/>
    <s v="R-M-2.5"/>
    <x v="0"/>
    <x v="0"/>
    <x v="2"/>
    <n v="2.5"/>
    <n v="22.884999999999998"/>
    <x v="156"/>
    <n v="1.3730999999999998"/>
    <n v="1.3730999999999998"/>
    <x v="7"/>
  </r>
  <r>
    <s v="FDY-03414-903"/>
    <x v="278"/>
    <x v="0"/>
    <x v="3"/>
    <x v="311"/>
    <x v="311"/>
    <s v="qparsons98@blogtalkradio.com"/>
    <s v="+1 (323) 848-5169"/>
    <x v="6"/>
    <x v="0"/>
    <x v="0"/>
    <s v="A-D-0.5"/>
    <x v="2"/>
    <x v="2"/>
    <x v="3"/>
    <n v="0.5"/>
    <n v="5.97"/>
    <x v="8"/>
    <n v="0.5373"/>
    <n v="1.6118999999999999"/>
    <x v="2"/>
  </r>
  <r>
    <s v="WXT-85291-143"/>
    <x v="279"/>
    <x v="0"/>
    <x v="0"/>
    <x v="312"/>
    <x v="312"/>
    <s v="vceely99@auda.org.au"/>
    <s v="+1 (410) 876-8486"/>
    <x v="192"/>
    <x v="0"/>
    <x v="0"/>
    <s v="R-M-0.5"/>
    <x v="0"/>
    <x v="0"/>
    <x v="4"/>
    <n v="0.5"/>
    <n v="5.97"/>
    <x v="86"/>
    <n v="0.35819999999999996"/>
    <n v="1.4327999999999999"/>
    <x v="7"/>
  </r>
  <r>
    <s v="QNP-18893-547"/>
    <x v="280"/>
    <x v="0"/>
    <x v="7"/>
    <x v="313"/>
    <x v="313"/>
    <s v="UNKNOWN"/>
    <s v="UNKNOWN"/>
    <x v="147"/>
    <x v="0"/>
    <x v="1"/>
    <s v="R-L-1"/>
    <x v="0"/>
    <x v="1"/>
    <x v="1"/>
    <n v="1"/>
    <n v="11.95"/>
    <x v="143"/>
    <n v="0.71699999999999997"/>
    <n v="3.585"/>
    <x v="7"/>
  </r>
  <r>
    <s v="DOH-92927-530"/>
    <x v="281"/>
    <x v="3"/>
    <x v="10"/>
    <x v="314"/>
    <x v="314"/>
    <s v="cvasiliev9b@discuz.net"/>
    <s v="+1 (214) 507-8264"/>
    <x v="132"/>
    <x v="0"/>
    <x v="0"/>
    <s v="L-L-0.2"/>
    <x v="3"/>
    <x v="1"/>
    <x v="5"/>
    <n v="0.2"/>
    <n v="4.7549999999999999"/>
    <x v="32"/>
    <n v="0.61814999999999998"/>
    <n v="3.7088999999999999"/>
    <x v="10"/>
  </r>
  <r>
    <s v="HGJ-82768-173"/>
    <x v="282"/>
    <x v="1"/>
    <x v="3"/>
    <x v="315"/>
    <x v="315"/>
    <s v="tomoylan9c@liveinternet.ru"/>
    <s v="+44 (911) 807-7254"/>
    <x v="206"/>
    <x v="2"/>
    <x v="1"/>
    <s v="A-M-1"/>
    <x v="2"/>
    <x v="0"/>
    <x v="4"/>
    <n v="1"/>
    <n v="11.25"/>
    <x v="157"/>
    <n v="1.0125"/>
    <n v="4.05"/>
    <x v="2"/>
  </r>
  <r>
    <s v="YPT-95383-088"/>
    <x v="283"/>
    <x v="1"/>
    <x v="7"/>
    <x v="306"/>
    <x v="306"/>
    <s v="UNKNOWN"/>
    <s v="+1 (205) 680-5859"/>
    <x v="38"/>
    <x v="0"/>
    <x v="1"/>
    <s v="E-D-2.5"/>
    <x v="1"/>
    <x v="2"/>
    <x v="0"/>
    <n v="2.5"/>
    <n v="27.945"/>
    <x v="158"/>
    <n v="3.07395"/>
    <n v="6.1478999999999999"/>
    <x v="3"/>
  </r>
  <r>
    <s v="OYH-16533-767"/>
    <x v="284"/>
    <x v="3"/>
    <x v="1"/>
    <x v="316"/>
    <x v="316"/>
    <s v="wfetherston9e@constantcontact.com"/>
    <s v="+1 (212) 724-3420"/>
    <x v="15"/>
    <x v="0"/>
    <x v="1"/>
    <s v="E-L-1"/>
    <x v="1"/>
    <x v="1"/>
    <x v="4"/>
    <n v="1"/>
    <n v="14.85"/>
    <x v="48"/>
    <n v="1.6335"/>
    <n v="6.5339999999999998"/>
    <x v="3"/>
  </r>
  <r>
    <s v="DWW-28642-549"/>
    <x v="285"/>
    <x v="1"/>
    <x v="6"/>
    <x v="317"/>
    <x v="317"/>
    <s v="erasmus9f@techcrunch.com"/>
    <s v="+1 (617) 830-9474"/>
    <x v="35"/>
    <x v="0"/>
    <x v="0"/>
    <s v="E-D-0.2"/>
    <x v="1"/>
    <x v="2"/>
    <x v="0"/>
    <n v="0.2"/>
    <n v="3.645"/>
    <x v="35"/>
    <n v="0.40095000000000003"/>
    <n v="0.80190000000000006"/>
    <x v="3"/>
  </r>
  <r>
    <s v="CGO-79583-871"/>
    <x v="286"/>
    <x v="0"/>
    <x v="6"/>
    <x v="318"/>
    <x v="318"/>
    <s v="wgiorgioni9g@wikipedia.org"/>
    <s v="+1 (415) 960-7198"/>
    <x v="204"/>
    <x v="0"/>
    <x v="0"/>
    <s v="E-D-0.5"/>
    <x v="1"/>
    <x v="2"/>
    <x v="2"/>
    <n v="0.5"/>
    <n v="7.29"/>
    <x v="35"/>
    <n v="0.80190000000000006"/>
    <n v="0.80190000000000006"/>
    <x v="3"/>
  </r>
  <r>
    <s v="TFY-52090-386"/>
    <x v="287"/>
    <x v="0"/>
    <x v="7"/>
    <x v="319"/>
    <x v="319"/>
    <s v="lscargle9h@myspace.com"/>
    <s v="+1 (317) 136-7045"/>
    <x v="207"/>
    <x v="0"/>
    <x v="1"/>
    <s v="E-L-0.5"/>
    <x v="1"/>
    <x v="1"/>
    <x v="0"/>
    <n v="0.5"/>
    <n v="8.91"/>
    <x v="58"/>
    <n v="0.98009999999999997"/>
    <n v="1.9601999999999999"/>
    <x v="3"/>
  </r>
  <r>
    <s v="TFY-52090-386"/>
    <x v="287"/>
    <x v="0"/>
    <x v="7"/>
    <x v="319"/>
    <x v="319"/>
    <s v="lscargle9h@myspace.com"/>
    <s v="+1 (317) 136-7045"/>
    <x v="207"/>
    <x v="0"/>
    <x v="1"/>
    <s v="L-D-0.5"/>
    <x v="3"/>
    <x v="2"/>
    <x v="1"/>
    <n v="0.5"/>
    <n v="7.77"/>
    <x v="5"/>
    <n v="1.0101"/>
    <n v="5.0504999999999995"/>
    <x v="4"/>
  </r>
  <r>
    <s v="NYY-73968-094"/>
    <x v="288"/>
    <x v="0"/>
    <x v="3"/>
    <x v="320"/>
    <x v="320"/>
    <s v="nclimance9j@europa.eu"/>
    <s v="UNKNOWN"/>
    <x v="208"/>
    <x v="0"/>
    <x v="1"/>
    <s v="R-D-0.5"/>
    <x v="0"/>
    <x v="2"/>
    <x v="5"/>
    <n v="0.5"/>
    <n v="5.3699999999999992"/>
    <x v="111"/>
    <n v="0.32219999999999993"/>
    <n v="1.9331999999999996"/>
    <x v="11"/>
  </r>
  <r>
    <s v="QEY-71761-460"/>
    <x v="250"/>
    <x v="1"/>
    <x v="11"/>
    <x v="321"/>
    <x v="321"/>
    <s v="UNKNOWN"/>
    <s v="+353 (950) 306-4776"/>
    <x v="209"/>
    <x v="1"/>
    <x v="0"/>
    <s v="R-M-1"/>
    <x v="0"/>
    <x v="0"/>
    <x v="0"/>
    <n v="1"/>
    <n v="9.9499999999999993"/>
    <x v="0"/>
    <n v="0.59699999999999998"/>
    <n v="1.194"/>
    <x v="0"/>
  </r>
  <r>
    <s v="GKQ-82603-910"/>
    <x v="289"/>
    <x v="3"/>
    <x v="4"/>
    <x v="322"/>
    <x v="322"/>
    <s v="asnazle9l@oracle.com"/>
    <s v="+1 (334) 193-6359"/>
    <x v="124"/>
    <x v="0"/>
    <x v="1"/>
    <s v="R-L-1"/>
    <x v="0"/>
    <x v="1"/>
    <x v="1"/>
    <n v="1"/>
    <n v="11.95"/>
    <x v="143"/>
    <n v="0.71699999999999997"/>
    <n v="3.585"/>
    <x v="7"/>
  </r>
  <r>
    <s v="IOB-32673-745"/>
    <x v="290"/>
    <x v="1"/>
    <x v="5"/>
    <x v="323"/>
    <x v="323"/>
    <s v="rworg9m@arstechnica.com"/>
    <s v="+1 (214) 985-2470"/>
    <x v="68"/>
    <x v="0"/>
    <x v="0"/>
    <s v="A-L-0.5"/>
    <x v="2"/>
    <x v="1"/>
    <x v="3"/>
    <n v="0.5"/>
    <n v="7.77"/>
    <x v="102"/>
    <n v="0.69929999999999992"/>
    <n v="2.0978999999999997"/>
    <x v="2"/>
  </r>
  <r>
    <s v="YAU-98893-150"/>
    <x v="291"/>
    <x v="2"/>
    <x v="4"/>
    <x v="324"/>
    <x v="324"/>
    <s v="ldanes9n@umn.edu"/>
    <s v="+1 (785) 398-5129"/>
    <x v="210"/>
    <x v="0"/>
    <x v="1"/>
    <s v="L-M-1"/>
    <x v="3"/>
    <x v="0"/>
    <x v="3"/>
    <n v="1"/>
    <n v="14.55"/>
    <x v="34"/>
    <n v="1.8915000000000002"/>
    <n v="5.6745000000000001"/>
    <x v="10"/>
  </r>
  <r>
    <s v="XNM-14163-951"/>
    <x v="292"/>
    <x v="0"/>
    <x v="9"/>
    <x v="325"/>
    <x v="325"/>
    <s v="skeynd9o@narod.ru"/>
    <s v="+1 (903) 299-3053"/>
    <x v="211"/>
    <x v="0"/>
    <x v="1"/>
    <s v="E-L-2.5"/>
    <x v="1"/>
    <x v="1"/>
    <x v="5"/>
    <n v="2.5"/>
    <n v="34.154999999999994"/>
    <x v="106"/>
    <n v="3.7570499999999996"/>
    <n v="22.542299999999997"/>
    <x v="5"/>
  </r>
  <r>
    <s v="JPB-45297-000"/>
    <x v="293"/>
    <x v="2"/>
    <x v="2"/>
    <x v="326"/>
    <x v="326"/>
    <s v="ddaveridge9p@arstechnica.com"/>
    <s v="+1 (213) 474-2139"/>
    <x v="6"/>
    <x v="0"/>
    <x v="1"/>
    <s v="R-L-0.2"/>
    <x v="0"/>
    <x v="1"/>
    <x v="4"/>
    <n v="0.2"/>
    <n v="3.5849999999999995"/>
    <x v="79"/>
    <n v="0.21509999999999996"/>
    <n v="0.86039999999999983"/>
    <x v="7"/>
  </r>
  <r>
    <s v="MOU-74341-266"/>
    <x v="294"/>
    <x v="0"/>
    <x v="5"/>
    <x v="327"/>
    <x v="327"/>
    <s v="jawdry9q@utexas.edu"/>
    <s v="+1 (318) 747-7610"/>
    <x v="212"/>
    <x v="0"/>
    <x v="1"/>
    <s v="A-D-0.5"/>
    <x v="2"/>
    <x v="2"/>
    <x v="4"/>
    <n v="0.5"/>
    <n v="5.97"/>
    <x v="86"/>
    <n v="0.5373"/>
    <n v="2.1492"/>
    <x v="9"/>
  </r>
  <r>
    <s v="DHJ-87461-571"/>
    <x v="295"/>
    <x v="3"/>
    <x v="3"/>
    <x v="328"/>
    <x v="328"/>
    <s v="eryles9r@fastcompany.com"/>
    <s v="+1 (208) 760-1705"/>
    <x v="213"/>
    <x v="0"/>
    <x v="1"/>
    <s v="A-M-1"/>
    <x v="2"/>
    <x v="0"/>
    <x v="0"/>
    <n v="1"/>
    <n v="11.25"/>
    <x v="122"/>
    <n v="1.0125"/>
    <n v="2.0249999999999999"/>
    <x v="2"/>
  </r>
  <r>
    <s v="DKM-97676-850"/>
    <x v="296"/>
    <x v="3"/>
    <x v="1"/>
    <x v="306"/>
    <x v="306"/>
    <s v="UNKNOWN"/>
    <s v="+1 (205) 680-5859"/>
    <x v="38"/>
    <x v="0"/>
    <x v="1"/>
    <s v="E-D-0.5"/>
    <x v="1"/>
    <x v="2"/>
    <x v="1"/>
    <n v="0.5"/>
    <n v="7.29"/>
    <x v="114"/>
    <n v="0.80190000000000006"/>
    <n v="4.0095000000000001"/>
    <x v="1"/>
  </r>
  <r>
    <s v="UEB-09112-118"/>
    <x v="297"/>
    <x v="3"/>
    <x v="4"/>
    <x v="329"/>
    <x v="329"/>
    <s v="UNKNOWN"/>
    <s v="+1 (334) 191-0127"/>
    <x v="124"/>
    <x v="0"/>
    <x v="0"/>
    <s v="A-M-0.5"/>
    <x v="2"/>
    <x v="0"/>
    <x v="4"/>
    <n v="0.5"/>
    <n v="6.75"/>
    <x v="25"/>
    <n v="0.60749999999999993"/>
    <n v="2.4299999999999997"/>
    <x v="8"/>
  </r>
  <r>
    <s v="ORZ-67699-748"/>
    <x v="298"/>
    <x v="3"/>
    <x v="10"/>
    <x v="330"/>
    <x v="330"/>
    <s v="jcaldicott9u@usda.gov"/>
    <s v="UNKNOWN"/>
    <x v="214"/>
    <x v="0"/>
    <x v="1"/>
    <s v="A-M-2.5"/>
    <x v="2"/>
    <x v="0"/>
    <x v="5"/>
    <n v="2.5"/>
    <n v="25.874999999999996"/>
    <x v="71"/>
    <n v="2.3287499999999994"/>
    <n v="13.972499999999997"/>
    <x v="2"/>
  </r>
  <r>
    <s v="JXP-28398-485"/>
    <x v="299"/>
    <x v="1"/>
    <x v="1"/>
    <x v="331"/>
    <x v="331"/>
    <s v="mvedmore9v@a8.net"/>
    <s v="+1 (336) 366-8873"/>
    <x v="116"/>
    <x v="0"/>
    <x v="0"/>
    <s v="A-D-2.5"/>
    <x v="2"/>
    <x v="2"/>
    <x v="1"/>
    <n v="2.5"/>
    <n v="22.884999999999998"/>
    <x v="15"/>
    <n v="2.0596499999999995"/>
    <n v="10.298249999999998"/>
    <x v="2"/>
  </r>
  <r>
    <s v="WWH-92259-198"/>
    <x v="300"/>
    <x v="2"/>
    <x v="6"/>
    <x v="332"/>
    <x v="332"/>
    <s v="wromao9w@chronoengine.com"/>
    <s v="+1 (916) 623-2394"/>
    <x v="155"/>
    <x v="0"/>
    <x v="0"/>
    <s v="L-D-1"/>
    <x v="3"/>
    <x v="2"/>
    <x v="4"/>
    <n v="1"/>
    <n v="12.95"/>
    <x v="67"/>
    <n v="1.6835"/>
    <n v="6.734"/>
    <x v="4"/>
  </r>
  <r>
    <s v="FLR-82914-153"/>
    <x v="301"/>
    <x v="1"/>
    <x v="0"/>
    <x v="333"/>
    <x v="333"/>
    <s v="UNKNOWN"/>
    <s v="+1 (512) 200-9234"/>
    <x v="215"/>
    <x v="0"/>
    <x v="1"/>
    <s v="A-M-2.5"/>
    <x v="2"/>
    <x v="0"/>
    <x v="5"/>
    <n v="2.5"/>
    <n v="25.874999999999996"/>
    <x v="71"/>
    <n v="2.3287499999999994"/>
    <n v="13.972499999999997"/>
    <x v="2"/>
  </r>
  <r>
    <s v="AMB-93600-000"/>
    <x v="302"/>
    <x v="0"/>
    <x v="5"/>
    <x v="334"/>
    <x v="334"/>
    <s v="tcotmore9y@amazonaws.com"/>
    <s v="+1 (571) 250-3012"/>
    <x v="216"/>
    <x v="0"/>
    <x v="1"/>
    <s v="A-L-2.5"/>
    <x v="2"/>
    <x v="1"/>
    <x v="2"/>
    <n v="2.5"/>
    <n v="29.784999999999997"/>
    <x v="91"/>
    <n v="2.6806499999999995"/>
    <n v="2.6806499999999995"/>
    <x v="2"/>
  </r>
  <r>
    <s v="FEP-36895-658"/>
    <x v="303"/>
    <x v="0"/>
    <x v="8"/>
    <x v="335"/>
    <x v="335"/>
    <s v="yskipsey9z@spotify.com"/>
    <s v="+44 (257) 759-9950"/>
    <x v="217"/>
    <x v="2"/>
    <x v="1"/>
    <s v="R-L-0.2"/>
    <x v="0"/>
    <x v="1"/>
    <x v="5"/>
    <n v="0.2"/>
    <n v="3.5849999999999995"/>
    <x v="137"/>
    <n v="0.21509999999999996"/>
    <n v="1.2905999999999997"/>
    <x v="11"/>
  </r>
  <r>
    <s v="RXW-91413-276"/>
    <x v="304"/>
    <x v="3"/>
    <x v="3"/>
    <x v="336"/>
    <x v="336"/>
    <s v="ncorpsa0@gmpg.org"/>
    <s v="+1 (803) 730-8217"/>
    <x v="182"/>
    <x v="0"/>
    <x v="1"/>
    <s v="R-D-2.5"/>
    <x v="0"/>
    <x v="2"/>
    <x v="0"/>
    <n v="2.5"/>
    <n v="20.584999999999997"/>
    <x v="13"/>
    <n v="1.2350999999999999"/>
    <n v="2.4701999999999997"/>
    <x v="0"/>
  </r>
  <r>
    <s v="RXW-91413-276"/>
    <x v="304"/>
    <x v="3"/>
    <x v="3"/>
    <x v="336"/>
    <x v="336"/>
    <s v="ncorpsa0@gmpg.org"/>
    <s v="+1 (803) 730-8217"/>
    <x v="182"/>
    <x v="0"/>
    <x v="1"/>
    <s v="R-M-0.5"/>
    <x v="0"/>
    <x v="0"/>
    <x v="2"/>
    <n v="0.5"/>
    <n v="5.97"/>
    <x v="9"/>
    <n v="0.35819999999999996"/>
    <n v="0.35819999999999996"/>
    <x v="7"/>
  </r>
  <r>
    <s v="SDB-77492-188"/>
    <x v="305"/>
    <x v="2"/>
    <x v="5"/>
    <x v="337"/>
    <x v="337"/>
    <s v="fbabbera2@stanford.edu"/>
    <s v="+1 (623) 550-6050"/>
    <x v="167"/>
    <x v="0"/>
    <x v="0"/>
    <s v="E-L-1"/>
    <x v="1"/>
    <x v="1"/>
    <x v="1"/>
    <n v="1"/>
    <n v="14.85"/>
    <x v="159"/>
    <n v="1.6335"/>
    <n v="8.1675000000000004"/>
    <x v="3"/>
  </r>
  <r>
    <s v="RZN-65182-395"/>
    <x v="196"/>
    <x v="1"/>
    <x v="6"/>
    <x v="338"/>
    <x v="338"/>
    <s v="kloxtona3@opensource.org"/>
    <s v="UNKNOWN"/>
    <x v="218"/>
    <x v="0"/>
    <x v="1"/>
    <s v="L-M-1"/>
    <x v="3"/>
    <x v="0"/>
    <x v="5"/>
    <n v="1"/>
    <n v="14.55"/>
    <x v="75"/>
    <n v="1.8915000000000002"/>
    <n v="11.349"/>
    <x v="10"/>
  </r>
  <r>
    <s v="HDQ-86094-507"/>
    <x v="110"/>
    <x v="0"/>
    <x v="8"/>
    <x v="339"/>
    <x v="339"/>
    <s v="ptoffula4@posterous.com"/>
    <s v="+1 (310) 210-6841"/>
    <x v="74"/>
    <x v="0"/>
    <x v="0"/>
    <s v="E-D-1"/>
    <x v="1"/>
    <x v="2"/>
    <x v="5"/>
    <n v="1"/>
    <n v="12.15"/>
    <x v="118"/>
    <n v="1.3365"/>
    <n v="8.0190000000000001"/>
    <x v="1"/>
  </r>
  <r>
    <s v="YXO-79631-417"/>
    <x v="24"/>
    <x v="1"/>
    <x v="0"/>
    <x v="340"/>
    <x v="340"/>
    <s v="cgwinnetta5@behance.net"/>
    <s v="UNKNOWN"/>
    <x v="219"/>
    <x v="0"/>
    <x v="1"/>
    <s v="L-D-0.5"/>
    <x v="3"/>
    <x v="2"/>
    <x v="2"/>
    <n v="0.5"/>
    <n v="7.77"/>
    <x v="41"/>
    <n v="1.0101"/>
    <n v="1.0101"/>
    <x v="4"/>
  </r>
  <r>
    <s v="SNF-57032-096"/>
    <x v="306"/>
    <x v="3"/>
    <x v="10"/>
    <x v="341"/>
    <x v="341"/>
    <s v="UNKNOWN"/>
    <s v="+1 (757) 211-0153"/>
    <x v="95"/>
    <x v="0"/>
    <x v="1"/>
    <s v="E-D-0.5"/>
    <x v="1"/>
    <x v="2"/>
    <x v="5"/>
    <n v="0.5"/>
    <n v="7.29"/>
    <x v="160"/>
    <n v="0.80190000000000006"/>
    <n v="4.8114000000000008"/>
    <x v="5"/>
  </r>
  <r>
    <s v="DGL-29648-995"/>
    <x v="307"/>
    <x v="1"/>
    <x v="2"/>
    <x v="342"/>
    <x v="342"/>
    <s v="UNKNOWN"/>
    <s v="UNKNOWN"/>
    <x v="141"/>
    <x v="0"/>
    <x v="0"/>
    <s v="L-M-0.2"/>
    <x v="3"/>
    <x v="0"/>
    <x v="0"/>
    <n v="0.2"/>
    <n v="4.3650000000000002"/>
    <x v="31"/>
    <n v="0.56745000000000001"/>
    <n v="1.1349"/>
    <x v="4"/>
  </r>
  <r>
    <s v="GPU-65651-504"/>
    <x v="308"/>
    <x v="2"/>
    <x v="5"/>
    <x v="343"/>
    <x v="343"/>
    <s v="lflaoniera8@wordpress.org"/>
    <s v="+1 (718) 586-2839"/>
    <x v="142"/>
    <x v="0"/>
    <x v="1"/>
    <s v="E-M-2.5"/>
    <x v="1"/>
    <x v="0"/>
    <x v="0"/>
    <n v="2.5"/>
    <n v="31.624999999999996"/>
    <x v="40"/>
    <n v="3.4787499999999998"/>
    <n v="6.9574999999999996"/>
    <x v="3"/>
  </r>
  <r>
    <s v="OJU-34452-896"/>
    <x v="309"/>
    <x v="0"/>
    <x v="10"/>
    <x v="344"/>
    <x v="344"/>
    <s v="UNKNOWN"/>
    <s v="UNKNOWN"/>
    <x v="198"/>
    <x v="0"/>
    <x v="0"/>
    <s v="E-L-0.5"/>
    <x v="1"/>
    <x v="1"/>
    <x v="2"/>
    <n v="0.5"/>
    <n v="8.91"/>
    <x v="161"/>
    <n v="0.98009999999999997"/>
    <n v="0.98009999999999997"/>
    <x v="3"/>
  </r>
  <r>
    <s v="GZS-50547-887"/>
    <x v="310"/>
    <x v="0"/>
    <x v="10"/>
    <x v="345"/>
    <x v="345"/>
    <s v="ccatchesideaa@macromedia.com"/>
    <s v="+1 (801) 121-6042"/>
    <x v="147"/>
    <x v="0"/>
    <x v="0"/>
    <s v="E-D-1"/>
    <x v="1"/>
    <x v="2"/>
    <x v="0"/>
    <n v="1"/>
    <n v="12.15"/>
    <x v="76"/>
    <n v="1.3365"/>
    <n v="2.673"/>
    <x v="3"/>
  </r>
  <r>
    <s v="ESR-54041-053"/>
    <x v="311"/>
    <x v="2"/>
    <x v="5"/>
    <x v="346"/>
    <x v="346"/>
    <s v="cgibbonsonab@accuweather.com"/>
    <s v="+1 (206) 848-3585"/>
    <x v="208"/>
    <x v="0"/>
    <x v="0"/>
    <s v="A-L-0.5"/>
    <x v="2"/>
    <x v="1"/>
    <x v="5"/>
    <n v="0.5"/>
    <n v="7.77"/>
    <x v="162"/>
    <n v="0.69929999999999992"/>
    <n v="4.1957999999999993"/>
    <x v="2"/>
  </r>
  <r>
    <s v="OGD-10781-526"/>
    <x v="132"/>
    <x v="3"/>
    <x v="7"/>
    <x v="347"/>
    <x v="347"/>
    <s v="tfarraac@behance.net"/>
    <s v="+1 (432) 648-9589"/>
    <x v="220"/>
    <x v="0"/>
    <x v="1"/>
    <s v="R-L-0.5"/>
    <x v="0"/>
    <x v="1"/>
    <x v="5"/>
    <n v="0.5"/>
    <n v="7.169999999999999"/>
    <x v="163"/>
    <n v="0.43019999999999992"/>
    <n v="2.5811999999999995"/>
    <x v="11"/>
  </r>
  <r>
    <s v="FVH-29271-315"/>
    <x v="312"/>
    <x v="2"/>
    <x v="1"/>
    <x v="348"/>
    <x v="348"/>
    <s v="UNKNOWN"/>
    <s v="+353 (772) 127-7148"/>
    <x v="221"/>
    <x v="1"/>
    <x v="0"/>
    <s v="A-D-0.5"/>
    <x v="2"/>
    <x v="2"/>
    <x v="3"/>
    <n v="0.5"/>
    <n v="5.97"/>
    <x v="8"/>
    <n v="0.5373"/>
    <n v="1.6118999999999999"/>
    <x v="2"/>
  </r>
  <r>
    <s v="BNZ-20544-633"/>
    <x v="313"/>
    <x v="3"/>
    <x v="7"/>
    <x v="349"/>
    <x v="349"/>
    <s v="gbamfieldae@yellowpages.com"/>
    <s v="+1 (214) 200-7886"/>
    <x v="222"/>
    <x v="0"/>
    <x v="0"/>
    <s v="L-L-0.5"/>
    <x v="3"/>
    <x v="1"/>
    <x v="4"/>
    <n v="0.5"/>
    <n v="9.51"/>
    <x v="82"/>
    <n v="1.2363"/>
    <n v="4.9451999999999998"/>
    <x v="4"/>
  </r>
  <r>
    <s v="FUX-85791-078"/>
    <x v="156"/>
    <x v="3"/>
    <x v="7"/>
    <x v="350"/>
    <x v="350"/>
    <s v="whollingdaleaf@about.me"/>
    <s v="+1 (937) 354-2653"/>
    <x v="4"/>
    <x v="0"/>
    <x v="0"/>
    <s v="A-M-0.2"/>
    <x v="2"/>
    <x v="0"/>
    <x v="0"/>
    <n v="0.2"/>
    <n v="3.375"/>
    <x v="52"/>
    <n v="0.30374999999999996"/>
    <n v="0.60749999999999993"/>
    <x v="8"/>
  </r>
  <r>
    <s v="YXP-20078-116"/>
    <x v="314"/>
    <x v="3"/>
    <x v="0"/>
    <x v="351"/>
    <x v="351"/>
    <s v="jdeag@xrea.com"/>
    <s v="+1 (616) 966-1581"/>
    <x v="16"/>
    <x v="0"/>
    <x v="0"/>
    <s v="R-M-0.5"/>
    <x v="0"/>
    <x v="0"/>
    <x v="2"/>
    <n v="0.5"/>
    <n v="5.97"/>
    <x v="9"/>
    <n v="0.35819999999999996"/>
    <n v="0.35819999999999996"/>
    <x v="7"/>
  </r>
  <r>
    <s v="VQV-59984-866"/>
    <x v="315"/>
    <x v="0"/>
    <x v="6"/>
    <x v="352"/>
    <x v="352"/>
    <s v="vskulletah@tinyurl.com"/>
    <s v="+353 (215) 420-1467"/>
    <x v="146"/>
    <x v="1"/>
    <x v="1"/>
    <s v="R-D-0.2"/>
    <x v="0"/>
    <x v="2"/>
    <x v="3"/>
    <n v="0.2"/>
    <n v="2.6849999999999996"/>
    <x v="36"/>
    <n v="0.16109999999999997"/>
    <n v="0.4832999999999999"/>
    <x v="11"/>
  </r>
  <r>
    <s v="JEH-37276-048"/>
    <x v="316"/>
    <x v="1"/>
    <x v="1"/>
    <x v="353"/>
    <x v="353"/>
    <s v="jrudeforthai@wunderground.com"/>
    <s v="+353 (232) 377-5407"/>
    <x v="223"/>
    <x v="1"/>
    <x v="0"/>
    <s v="A-L-0.5"/>
    <x v="2"/>
    <x v="1"/>
    <x v="3"/>
    <n v="0.5"/>
    <n v="7.77"/>
    <x v="102"/>
    <n v="0.69929999999999992"/>
    <n v="2.0978999999999997"/>
    <x v="2"/>
  </r>
  <r>
    <s v="VYD-28555-589"/>
    <x v="317"/>
    <x v="0"/>
    <x v="3"/>
    <x v="354"/>
    <x v="354"/>
    <s v="atomaszewskiaj@answers.com"/>
    <s v="UNKNOWN"/>
    <x v="224"/>
    <x v="2"/>
    <x v="0"/>
    <s v="R-L-0.5"/>
    <x v="0"/>
    <x v="1"/>
    <x v="5"/>
    <n v="0.5"/>
    <n v="7.169999999999999"/>
    <x v="163"/>
    <n v="0.43019999999999992"/>
    <n v="2.5811999999999995"/>
    <x v="11"/>
  </r>
  <r>
    <s v="WUG-76466-650"/>
    <x v="318"/>
    <x v="1"/>
    <x v="10"/>
    <x v="306"/>
    <x v="306"/>
    <s v="UNKNOWN"/>
    <s v="+1 (205) 680-5859"/>
    <x v="38"/>
    <x v="0"/>
    <x v="1"/>
    <s v="L-D-0.5"/>
    <x v="3"/>
    <x v="2"/>
    <x v="3"/>
    <n v="0.5"/>
    <n v="7.77"/>
    <x v="102"/>
    <n v="1.0101"/>
    <n v="3.0303"/>
    <x v="4"/>
  </r>
  <r>
    <s v="RJV-08261-583"/>
    <x v="182"/>
    <x v="2"/>
    <x v="6"/>
    <x v="355"/>
    <x v="355"/>
    <s v="pbessal@qq.com"/>
    <s v="+1 (949) 121-4600"/>
    <x v="6"/>
    <x v="0"/>
    <x v="0"/>
    <s v="A-D-0.2"/>
    <x v="2"/>
    <x v="2"/>
    <x v="1"/>
    <n v="0.2"/>
    <n v="2.9849999999999999"/>
    <x v="128"/>
    <n v="0.26865"/>
    <n v="1.3432500000000001"/>
    <x v="9"/>
  </r>
  <r>
    <s v="PMR-56062-609"/>
    <x v="319"/>
    <x v="3"/>
    <x v="4"/>
    <x v="356"/>
    <x v="356"/>
    <s v="ewindressam@marketwatch.com"/>
    <s v="+1 (443) 619-7953"/>
    <x v="192"/>
    <x v="0"/>
    <x v="1"/>
    <s v="E-D-0.5"/>
    <x v="1"/>
    <x v="2"/>
    <x v="3"/>
    <n v="0.5"/>
    <n v="7.29"/>
    <x v="6"/>
    <n v="0.80190000000000006"/>
    <n v="2.4057000000000004"/>
    <x v="5"/>
  </r>
  <r>
    <s v="XLD-12920-505"/>
    <x v="320"/>
    <x v="0"/>
    <x v="5"/>
    <x v="357"/>
    <x v="357"/>
    <s v="UNKNOWN"/>
    <s v="+1 (717) 990-3931"/>
    <x v="225"/>
    <x v="0"/>
    <x v="0"/>
    <s v="E-L-0.5"/>
    <x v="1"/>
    <x v="1"/>
    <x v="5"/>
    <n v="0.5"/>
    <n v="8.91"/>
    <x v="119"/>
    <n v="0.98009999999999997"/>
    <n v="5.8805999999999994"/>
    <x v="1"/>
  </r>
  <r>
    <s v="UBW-50312-037"/>
    <x v="321"/>
    <x v="3"/>
    <x v="10"/>
    <x v="358"/>
    <x v="358"/>
    <s v="UNKNOWN"/>
    <s v="+1 (469) 579-2051"/>
    <x v="68"/>
    <x v="0"/>
    <x v="1"/>
    <s v="A-L-2.5"/>
    <x v="2"/>
    <x v="1"/>
    <x v="4"/>
    <n v="2.5"/>
    <n v="29.784999999999997"/>
    <x v="129"/>
    <n v="2.6806499999999995"/>
    <n v="10.722599999999998"/>
    <x v="2"/>
  </r>
  <r>
    <s v="QAW-05889-019"/>
    <x v="322"/>
    <x v="1"/>
    <x v="9"/>
    <x v="359"/>
    <x v="359"/>
    <s v="vbaumadierap@google.cn"/>
    <s v="+1 (816) 987-4857"/>
    <x v="77"/>
    <x v="0"/>
    <x v="0"/>
    <s v="L-M-0.5"/>
    <x v="3"/>
    <x v="0"/>
    <x v="1"/>
    <n v="0.5"/>
    <n v="8.73"/>
    <x v="34"/>
    <n v="1.1349"/>
    <n v="5.6745000000000001"/>
    <x v="10"/>
  </r>
  <r>
    <s v="EPT-12715-397"/>
    <x v="128"/>
    <x v="3"/>
    <x v="0"/>
    <x v="360"/>
    <x v="360"/>
    <s v="UNKNOWN"/>
    <s v="+1 (217) 713-5108"/>
    <x v="64"/>
    <x v="0"/>
    <x v="0"/>
    <s v="A-D-0.2"/>
    <x v="2"/>
    <x v="2"/>
    <x v="5"/>
    <n v="0.2"/>
    <n v="2.9849999999999999"/>
    <x v="8"/>
    <n v="0.26865"/>
    <n v="1.6118999999999999"/>
    <x v="2"/>
  </r>
  <r>
    <s v="DHT-93810-053"/>
    <x v="323"/>
    <x v="1"/>
    <x v="0"/>
    <x v="361"/>
    <x v="361"/>
    <s v="sweldsar@wired.com"/>
    <s v="+1 (203) 568-7058"/>
    <x v="226"/>
    <x v="0"/>
    <x v="0"/>
    <s v="E-L-1"/>
    <x v="1"/>
    <x v="1"/>
    <x v="1"/>
    <n v="1"/>
    <n v="14.85"/>
    <x v="159"/>
    <n v="1.6335"/>
    <n v="8.1675000000000004"/>
    <x v="3"/>
  </r>
  <r>
    <s v="DMY-96037-963"/>
    <x v="324"/>
    <x v="3"/>
    <x v="7"/>
    <x v="362"/>
    <x v="362"/>
    <s v="msarvaras@artisteer.com"/>
    <s v="+1 (404) 401-6865"/>
    <x v="227"/>
    <x v="0"/>
    <x v="0"/>
    <s v="L-D-0.2"/>
    <x v="3"/>
    <x v="2"/>
    <x v="3"/>
    <n v="0.2"/>
    <n v="3.8849999999999998"/>
    <x v="14"/>
    <n v="0.50505"/>
    <n v="1.51515"/>
    <x v="4"/>
  </r>
  <r>
    <s v="MBM-55936-917"/>
    <x v="325"/>
    <x v="0"/>
    <x v="6"/>
    <x v="363"/>
    <x v="363"/>
    <s v="ahavickat@nsw.gov.au"/>
    <s v="+1 (828) 769-0743"/>
    <x v="228"/>
    <x v="0"/>
    <x v="0"/>
    <s v="L-D-0.5"/>
    <x v="3"/>
    <x v="2"/>
    <x v="3"/>
    <n v="0.5"/>
    <n v="7.77"/>
    <x v="102"/>
    <n v="1.0101"/>
    <n v="3.0303"/>
    <x v="4"/>
  </r>
  <r>
    <s v="TPA-93614-840"/>
    <x v="326"/>
    <x v="1"/>
    <x v="10"/>
    <x v="364"/>
    <x v="364"/>
    <s v="sdivinyau@ask.com"/>
    <s v="UNKNOWN"/>
    <x v="50"/>
    <x v="0"/>
    <x v="0"/>
    <s v="E-D-0.5"/>
    <x v="1"/>
    <x v="2"/>
    <x v="0"/>
    <n v="0.5"/>
    <n v="7.29"/>
    <x v="20"/>
    <n v="0.80190000000000006"/>
    <n v="1.6038000000000001"/>
    <x v="3"/>
  </r>
  <r>
    <s v="WDM-77521-710"/>
    <x v="327"/>
    <x v="3"/>
    <x v="7"/>
    <x v="365"/>
    <x v="365"/>
    <s v="inorquoyav@businessweek.com"/>
    <s v="UNKNOWN"/>
    <x v="30"/>
    <x v="0"/>
    <x v="1"/>
    <s v="A-M-0.5"/>
    <x v="2"/>
    <x v="0"/>
    <x v="0"/>
    <n v="0.5"/>
    <n v="6.75"/>
    <x v="72"/>
    <n v="0.60749999999999993"/>
    <n v="1.2149999999999999"/>
    <x v="8"/>
  </r>
  <r>
    <s v="EIP-19142-462"/>
    <x v="328"/>
    <x v="1"/>
    <x v="0"/>
    <x v="366"/>
    <x v="366"/>
    <s v="aiddisonaw@usa.gov"/>
    <s v="+1 (714) 658-0310"/>
    <x v="100"/>
    <x v="0"/>
    <x v="1"/>
    <s v="E-L-1"/>
    <x v="1"/>
    <x v="1"/>
    <x v="5"/>
    <n v="1"/>
    <n v="14.85"/>
    <x v="146"/>
    <n v="1.6335"/>
    <n v="9.8010000000000002"/>
    <x v="5"/>
  </r>
  <r>
    <s v="EIP-19142-462"/>
    <x v="328"/>
    <x v="1"/>
    <x v="0"/>
    <x v="366"/>
    <x v="366"/>
    <s v="aiddisonaw@usa.gov"/>
    <s v="+1 (714) 658-0310"/>
    <x v="100"/>
    <x v="0"/>
    <x v="1"/>
    <s v="A-L-0.2"/>
    <x v="2"/>
    <x v="1"/>
    <x v="2"/>
    <n v="0.2"/>
    <n v="3.8849999999999998"/>
    <x v="84"/>
    <n v="0.34964999999999996"/>
    <n v="0.34964999999999996"/>
    <x v="2"/>
  </r>
  <r>
    <s v="ZZL-76364-387"/>
    <x v="128"/>
    <x v="3"/>
    <x v="0"/>
    <x v="367"/>
    <x v="367"/>
    <s v="rlongfielday@bluehost.com"/>
    <s v="+1 (612) 210-6966"/>
    <x v="30"/>
    <x v="0"/>
    <x v="1"/>
    <s v="R-L-2.5"/>
    <x v="0"/>
    <x v="1"/>
    <x v="4"/>
    <n v="2.5"/>
    <n v="27.484999999999996"/>
    <x v="108"/>
    <n v="1.6490999999999998"/>
    <n v="6.5963999999999992"/>
    <x v="0"/>
  </r>
  <r>
    <s v="GMF-18638-786"/>
    <x v="329"/>
    <x v="1"/>
    <x v="0"/>
    <x v="368"/>
    <x v="368"/>
    <s v="gkislingburyaz@samsung.com"/>
    <s v="UNKNOWN"/>
    <x v="41"/>
    <x v="0"/>
    <x v="0"/>
    <s v="L-D-0.5"/>
    <x v="3"/>
    <x v="2"/>
    <x v="5"/>
    <n v="0.5"/>
    <n v="7.77"/>
    <x v="162"/>
    <n v="1.0101"/>
    <n v="6.0606"/>
    <x v="4"/>
  </r>
  <r>
    <s v="TDJ-20844-787"/>
    <x v="330"/>
    <x v="3"/>
    <x v="11"/>
    <x v="369"/>
    <x v="369"/>
    <s v="xgibbonsb0@artisteer.com"/>
    <s v="+1 (909) 614-0008"/>
    <x v="39"/>
    <x v="0"/>
    <x v="1"/>
    <s v="A-L-0.5"/>
    <x v="2"/>
    <x v="1"/>
    <x v="1"/>
    <n v="0.5"/>
    <n v="7.77"/>
    <x v="5"/>
    <n v="0.69929999999999992"/>
    <n v="3.4964999999999997"/>
    <x v="9"/>
  </r>
  <r>
    <s v="BWK-39400-446"/>
    <x v="331"/>
    <x v="0"/>
    <x v="0"/>
    <x v="370"/>
    <x v="370"/>
    <s v="fparresb1@imageshack.us"/>
    <s v="+1 (585) 672-4256"/>
    <x v="36"/>
    <x v="0"/>
    <x v="0"/>
    <s v="L-D-0.5"/>
    <x v="3"/>
    <x v="2"/>
    <x v="4"/>
    <n v="0.5"/>
    <n v="7.77"/>
    <x v="113"/>
    <n v="1.0101"/>
    <n v="4.0404"/>
    <x v="4"/>
  </r>
  <r>
    <s v="LCB-02099-995"/>
    <x v="332"/>
    <x v="0"/>
    <x v="2"/>
    <x v="371"/>
    <x v="371"/>
    <s v="gsibrayb2@wsj.com"/>
    <s v="+1 (360) 389-5295"/>
    <x v="18"/>
    <x v="0"/>
    <x v="0"/>
    <s v="A-D-0.2"/>
    <x v="2"/>
    <x v="2"/>
    <x v="5"/>
    <n v="0.2"/>
    <n v="2.9849999999999999"/>
    <x v="8"/>
    <n v="0.26865"/>
    <n v="1.6118999999999999"/>
    <x v="2"/>
  </r>
  <r>
    <s v="UBA-43678-174"/>
    <x v="333"/>
    <x v="0"/>
    <x v="6"/>
    <x v="372"/>
    <x v="372"/>
    <s v="ihotchkinb3@mit.edu"/>
    <s v="+44 (387) 464-9544"/>
    <x v="229"/>
    <x v="2"/>
    <x v="1"/>
    <s v="E-D-2.5"/>
    <x v="1"/>
    <x v="2"/>
    <x v="5"/>
    <n v="2.5"/>
    <n v="27.945"/>
    <x v="164"/>
    <n v="3.07395"/>
    <n v="18.4437"/>
    <x v="1"/>
  </r>
  <r>
    <s v="UDH-24280-432"/>
    <x v="334"/>
    <x v="1"/>
    <x v="5"/>
    <x v="373"/>
    <x v="373"/>
    <s v="nbroadberrieb4@gnu.org"/>
    <s v="+1 (202) 327-2217"/>
    <x v="41"/>
    <x v="0"/>
    <x v="1"/>
    <s v="L-L-1"/>
    <x v="3"/>
    <x v="1"/>
    <x v="4"/>
    <n v="1"/>
    <n v="15.85"/>
    <x v="165"/>
    <n v="2.0605000000000002"/>
    <n v="8.2420000000000009"/>
    <x v="4"/>
  </r>
  <r>
    <s v="IDQ-20193-502"/>
    <x v="335"/>
    <x v="0"/>
    <x v="5"/>
    <x v="374"/>
    <x v="374"/>
    <s v="rpithcockb5@yellowbook.com"/>
    <s v="+1 (865) 655-9540"/>
    <x v="203"/>
    <x v="0"/>
    <x v="0"/>
    <s v="L-M-0.2"/>
    <x v="3"/>
    <x v="0"/>
    <x v="0"/>
    <n v="0.2"/>
    <n v="4.3650000000000002"/>
    <x v="31"/>
    <n v="0.56745000000000001"/>
    <n v="1.1349"/>
    <x v="4"/>
  </r>
  <r>
    <s v="DJG-14442-608"/>
    <x v="336"/>
    <x v="0"/>
    <x v="10"/>
    <x v="375"/>
    <x v="375"/>
    <s v="gcroysdaleb6@nih.gov"/>
    <s v="+1 (304) 384-2939"/>
    <x v="27"/>
    <x v="0"/>
    <x v="0"/>
    <s v="R-D-1"/>
    <x v="0"/>
    <x v="2"/>
    <x v="3"/>
    <n v="1"/>
    <n v="8.9499999999999993"/>
    <x v="166"/>
    <n v="0.53699999999999992"/>
    <n v="1.6109999999999998"/>
    <x v="7"/>
  </r>
  <r>
    <s v="DWB-61381-370"/>
    <x v="337"/>
    <x v="1"/>
    <x v="8"/>
    <x v="376"/>
    <x v="376"/>
    <s v="bgozzettb7@github.com"/>
    <s v="+1 (214) 700-0229"/>
    <x v="68"/>
    <x v="0"/>
    <x v="1"/>
    <s v="L-L-0.2"/>
    <x v="3"/>
    <x v="1"/>
    <x v="0"/>
    <n v="0.2"/>
    <n v="4.7549999999999999"/>
    <x v="54"/>
    <n v="0.61814999999999998"/>
    <n v="1.2363"/>
    <x v="4"/>
  </r>
  <r>
    <s v="FRD-17347-990"/>
    <x v="80"/>
    <x v="3"/>
    <x v="5"/>
    <x v="377"/>
    <x v="377"/>
    <s v="tcraggsb8@house.gov"/>
    <s v="+353 (239) 197-6142"/>
    <x v="230"/>
    <x v="1"/>
    <x v="1"/>
    <s v="A-D-1"/>
    <x v="2"/>
    <x v="2"/>
    <x v="4"/>
    <n v="1"/>
    <n v="9.9499999999999993"/>
    <x v="10"/>
    <n v="0.89549999999999985"/>
    <n v="3.5819999999999994"/>
    <x v="2"/>
  </r>
  <r>
    <s v="YPP-27450-525"/>
    <x v="338"/>
    <x v="3"/>
    <x v="9"/>
    <x v="378"/>
    <x v="378"/>
    <s v="lcullrfordb9@xing.com"/>
    <s v="+1 (530) 998-9789"/>
    <x v="231"/>
    <x v="0"/>
    <x v="0"/>
    <s v="E-M-0.5"/>
    <x v="1"/>
    <x v="0"/>
    <x v="3"/>
    <n v="0.5"/>
    <n v="8.25"/>
    <x v="167"/>
    <n v="0.90749999999999997"/>
    <n v="2.7225000000000001"/>
    <x v="3"/>
  </r>
  <r>
    <s v="EFC-39577-424"/>
    <x v="339"/>
    <x v="1"/>
    <x v="3"/>
    <x v="379"/>
    <x v="379"/>
    <s v="arizonba@xing.com"/>
    <s v="+1 (501) 732-3644"/>
    <x v="28"/>
    <x v="0"/>
    <x v="0"/>
    <s v="E-M-1"/>
    <x v="1"/>
    <x v="0"/>
    <x v="1"/>
    <n v="1"/>
    <n v="13.75"/>
    <x v="85"/>
    <n v="1.5125"/>
    <n v="7.5625"/>
    <x v="3"/>
  </r>
  <r>
    <s v="LAW-80062-016"/>
    <x v="340"/>
    <x v="2"/>
    <x v="10"/>
    <x v="380"/>
    <x v="380"/>
    <s v="UNKNOWN"/>
    <s v="+353 (764) 294-5957"/>
    <x v="232"/>
    <x v="1"/>
    <x v="1"/>
    <s v="E-M-0.5"/>
    <x v="1"/>
    <x v="0"/>
    <x v="5"/>
    <n v="0.5"/>
    <n v="8.25"/>
    <x v="168"/>
    <n v="0.90749999999999997"/>
    <n v="5.4450000000000003"/>
    <x v="3"/>
  </r>
  <r>
    <s v="WKL-27981-758"/>
    <x v="177"/>
    <x v="2"/>
    <x v="8"/>
    <x v="381"/>
    <x v="381"/>
    <s v="fmiellbc@spiegel.de"/>
    <s v="+1 (732) 770-5368"/>
    <x v="233"/>
    <x v="0"/>
    <x v="0"/>
    <s v="A-M-2.5"/>
    <x v="2"/>
    <x v="0"/>
    <x v="0"/>
    <n v="2.5"/>
    <n v="25.874999999999996"/>
    <x v="95"/>
    <n v="2.3287499999999994"/>
    <n v="4.6574999999999989"/>
    <x v="2"/>
  </r>
  <r>
    <s v="VRT-39834-265"/>
    <x v="341"/>
    <x v="1"/>
    <x v="4"/>
    <x v="382"/>
    <x v="382"/>
    <s v="UNKNOWN"/>
    <s v="+353 (677) 415-3920"/>
    <x v="234"/>
    <x v="1"/>
    <x v="0"/>
    <s v="L-L-1"/>
    <x v="3"/>
    <x v="1"/>
    <x v="3"/>
    <n v="1"/>
    <n v="15.85"/>
    <x v="46"/>
    <n v="2.0605000000000002"/>
    <n v="6.1815000000000007"/>
    <x v="12"/>
  </r>
  <r>
    <s v="QTC-71005-730"/>
    <x v="342"/>
    <x v="1"/>
    <x v="0"/>
    <x v="383"/>
    <x v="383"/>
    <s v="UNKNOWN"/>
    <s v="+1 (415) 414-0382"/>
    <x v="204"/>
    <x v="0"/>
    <x v="1"/>
    <s v="A-L-0.2"/>
    <x v="2"/>
    <x v="1"/>
    <x v="4"/>
    <n v="0.2"/>
    <n v="3.8849999999999998"/>
    <x v="42"/>
    <n v="0.34964999999999996"/>
    <n v="1.3985999999999998"/>
    <x v="2"/>
  </r>
  <r>
    <s v="TNX-09857-717"/>
    <x v="343"/>
    <x v="1"/>
    <x v="11"/>
    <x v="384"/>
    <x v="384"/>
    <s v="UNKNOWN"/>
    <s v="+1 (337) 322-9762"/>
    <x v="235"/>
    <x v="0"/>
    <x v="0"/>
    <s v="L-M-1"/>
    <x v="3"/>
    <x v="0"/>
    <x v="5"/>
    <n v="1"/>
    <n v="14.55"/>
    <x v="75"/>
    <n v="1.8915000000000002"/>
    <n v="11.349"/>
    <x v="10"/>
  </r>
  <r>
    <s v="JZV-43874-185"/>
    <x v="344"/>
    <x v="1"/>
    <x v="3"/>
    <x v="385"/>
    <x v="385"/>
    <s v="UNKNOWN"/>
    <s v="+1 (619) 481-1493"/>
    <x v="236"/>
    <x v="0"/>
    <x v="0"/>
    <s v="A-M-1"/>
    <x v="2"/>
    <x v="0"/>
    <x v="1"/>
    <n v="1"/>
    <n v="11.25"/>
    <x v="126"/>
    <n v="1.0125"/>
    <n v="5.0625"/>
    <x v="2"/>
  </r>
  <r>
    <s v="ICF-17486-106"/>
    <x v="47"/>
    <x v="3"/>
    <x v="4"/>
    <x v="386"/>
    <x v="386"/>
    <s v="wspringallbh@jugem.jp"/>
    <s v="+1 (626) 495-9253"/>
    <x v="237"/>
    <x v="0"/>
    <x v="0"/>
    <s v="L-L-2.5"/>
    <x v="3"/>
    <x v="1"/>
    <x v="2"/>
    <n v="2.5"/>
    <n v="36.454999999999998"/>
    <x v="133"/>
    <n v="4.7391499999999995"/>
    <n v="4.7391499999999995"/>
    <x v="4"/>
  </r>
  <r>
    <s v="BMK-49520-383"/>
    <x v="345"/>
    <x v="0"/>
    <x v="9"/>
    <x v="387"/>
    <x v="387"/>
    <s v="UNKNOWN"/>
    <s v="+1 (903) 801-9492"/>
    <x v="211"/>
    <x v="0"/>
    <x v="0"/>
    <s v="R-L-0.2"/>
    <x v="0"/>
    <x v="1"/>
    <x v="3"/>
    <n v="0.2"/>
    <n v="3.5849999999999995"/>
    <x v="127"/>
    <n v="0.21509999999999996"/>
    <n v="0.64529999999999987"/>
    <x v="11"/>
  </r>
  <r>
    <s v="HTS-15020-632"/>
    <x v="169"/>
    <x v="0"/>
    <x v="3"/>
    <x v="388"/>
    <x v="388"/>
    <s v="ghawkyensbj@census.gov"/>
    <s v="UNKNOWN"/>
    <x v="235"/>
    <x v="0"/>
    <x v="1"/>
    <s v="R-M-0.2"/>
    <x v="0"/>
    <x v="0"/>
    <x v="3"/>
    <n v="0.2"/>
    <n v="2.9849999999999999"/>
    <x v="169"/>
    <n v="0.17909999999999998"/>
    <n v="0.53729999999999989"/>
    <x v="6"/>
  </r>
  <r>
    <s v="YLE-18247-749"/>
    <x v="346"/>
    <x v="3"/>
    <x v="6"/>
    <x v="389"/>
    <x v="389"/>
    <s v="UNKNOWN"/>
    <s v="+1 (937) 683-0925"/>
    <x v="4"/>
    <x v="0"/>
    <x v="0"/>
    <s v="A-L-0.5"/>
    <x v="2"/>
    <x v="1"/>
    <x v="3"/>
    <n v="0.5"/>
    <n v="7.77"/>
    <x v="102"/>
    <n v="0.69929999999999992"/>
    <n v="2.0978999999999997"/>
    <x v="2"/>
  </r>
  <r>
    <s v="KJJ-12573-591"/>
    <x v="347"/>
    <x v="1"/>
    <x v="0"/>
    <x v="390"/>
    <x v="390"/>
    <s v="UNKNOWN"/>
    <s v="+1 (602) 598-9823"/>
    <x v="167"/>
    <x v="0"/>
    <x v="0"/>
    <s v="A-L-2.5"/>
    <x v="2"/>
    <x v="1"/>
    <x v="2"/>
    <n v="2.5"/>
    <n v="29.784999999999997"/>
    <x v="91"/>
    <n v="2.6806499999999995"/>
    <n v="2.6806499999999995"/>
    <x v="2"/>
  </r>
  <r>
    <s v="RGU-43561-950"/>
    <x v="348"/>
    <x v="3"/>
    <x v="11"/>
    <x v="391"/>
    <x v="391"/>
    <s v="bmcgilvrabm@so-net.ne.jp"/>
    <s v="UNKNOWN"/>
    <x v="155"/>
    <x v="0"/>
    <x v="0"/>
    <s v="A-L-2.5"/>
    <x v="2"/>
    <x v="1"/>
    <x v="1"/>
    <n v="2.5"/>
    <n v="29.784999999999997"/>
    <x v="74"/>
    <n v="2.6806499999999995"/>
    <n v="13.403249999999998"/>
    <x v="2"/>
  </r>
  <r>
    <s v="JSN-73975-443"/>
    <x v="349"/>
    <x v="2"/>
    <x v="1"/>
    <x v="392"/>
    <x v="392"/>
    <s v="adanzeybn@github.com"/>
    <s v="+1 (402) 633-9913"/>
    <x v="195"/>
    <x v="0"/>
    <x v="0"/>
    <s v="L-M-0.5"/>
    <x v="3"/>
    <x v="0"/>
    <x v="2"/>
    <n v="0.5"/>
    <n v="8.73"/>
    <x v="31"/>
    <n v="1.1349"/>
    <n v="1.1349"/>
    <x v="4"/>
  </r>
  <r>
    <s v="WNR-71736-993"/>
    <x v="350"/>
    <x v="3"/>
    <x v="10"/>
    <x v="347"/>
    <x v="347"/>
    <s v="tfarraac@behance.net"/>
    <s v="+1 (432) 648-9589"/>
    <x v="220"/>
    <x v="0"/>
    <x v="1"/>
    <s v="L-D-0.5"/>
    <x v="3"/>
    <x v="2"/>
    <x v="4"/>
    <n v="0.5"/>
    <n v="7.77"/>
    <x v="113"/>
    <n v="1.0101"/>
    <n v="4.0404"/>
    <x v="4"/>
  </r>
  <r>
    <s v="WNR-71736-993"/>
    <x v="350"/>
    <x v="3"/>
    <x v="10"/>
    <x v="347"/>
    <x v="347"/>
    <s v="tfarraac@behance.net"/>
    <s v="+1 (432) 648-9589"/>
    <x v="220"/>
    <x v="0"/>
    <x v="1"/>
    <s v="A-D-2.5"/>
    <x v="2"/>
    <x v="2"/>
    <x v="5"/>
    <n v="2.5"/>
    <n v="22.884999999999998"/>
    <x v="170"/>
    <n v="2.0596499999999995"/>
    <n v="12.357899999999997"/>
    <x v="8"/>
  </r>
  <r>
    <s v="HNI-91338-546"/>
    <x v="54"/>
    <x v="3"/>
    <x v="10"/>
    <x v="393"/>
    <x v="393"/>
    <s v="UNKNOWN"/>
    <s v="+1 (608) 617-1365"/>
    <x v="238"/>
    <x v="0"/>
    <x v="1"/>
    <s v="A-D-0.5"/>
    <x v="2"/>
    <x v="2"/>
    <x v="1"/>
    <n v="0.5"/>
    <n v="5.97"/>
    <x v="44"/>
    <n v="0.5373"/>
    <n v="2.6865000000000001"/>
    <x v="9"/>
  </r>
  <r>
    <s v="CYH-53243-218"/>
    <x v="237"/>
    <x v="3"/>
    <x v="9"/>
    <x v="394"/>
    <x v="394"/>
    <s v="UNKNOWN"/>
    <s v="+1 (304) 604-2131"/>
    <x v="27"/>
    <x v="0"/>
    <x v="1"/>
    <s v="R-M-0.5"/>
    <x v="0"/>
    <x v="0"/>
    <x v="3"/>
    <n v="0.5"/>
    <n v="5.97"/>
    <x v="8"/>
    <n v="0.35819999999999996"/>
    <n v="1.0745999999999998"/>
    <x v="6"/>
  </r>
  <r>
    <s v="SVD-75407-177"/>
    <x v="351"/>
    <x v="1"/>
    <x v="3"/>
    <x v="395"/>
    <x v="395"/>
    <s v="ydombrellbs@dedecms.com"/>
    <s v="+1 (501) 136-0040"/>
    <x v="28"/>
    <x v="0"/>
    <x v="0"/>
    <s v="E-L-0.5"/>
    <x v="1"/>
    <x v="1"/>
    <x v="3"/>
    <n v="0.5"/>
    <n v="8.91"/>
    <x v="149"/>
    <n v="0.98009999999999997"/>
    <n v="2.9402999999999997"/>
    <x v="1"/>
  </r>
  <r>
    <s v="NVN-66443-451"/>
    <x v="352"/>
    <x v="1"/>
    <x v="3"/>
    <x v="396"/>
    <x v="396"/>
    <s v="adarthbt@t.co"/>
    <s v="+1 (907) 557-6903"/>
    <x v="92"/>
    <x v="0"/>
    <x v="1"/>
    <s v="R-D-1"/>
    <x v="0"/>
    <x v="2"/>
    <x v="0"/>
    <n v="1"/>
    <n v="8.9499999999999993"/>
    <x v="105"/>
    <n v="0.53699999999999992"/>
    <n v="1.0739999999999998"/>
    <x v="7"/>
  </r>
  <r>
    <s v="JUA-13580-095"/>
    <x v="102"/>
    <x v="0"/>
    <x v="8"/>
    <x v="397"/>
    <x v="397"/>
    <s v="mdarrigoebu@hud.gov"/>
    <s v="+353 (973) 320-9537"/>
    <x v="239"/>
    <x v="1"/>
    <x v="0"/>
    <s v="R-L-0.2"/>
    <x v="0"/>
    <x v="1"/>
    <x v="4"/>
    <n v="0.2"/>
    <n v="3.5849999999999995"/>
    <x v="79"/>
    <n v="0.21509999999999996"/>
    <n v="0.86039999999999983"/>
    <x v="7"/>
  </r>
  <r>
    <s v="ACY-56225-839"/>
    <x v="353"/>
    <x v="1"/>
    <x v="4"/>
    <x v="398"/>
    <x v="398"/>
    <s v="UNKNOWN"/>
    <s v="+1 (562) 331-4713"/>
    <x v="204"/>
    <x v="0"/>
    <x v="0"/>
    <s v="A-M-2.5"/>
    <x v="2"/>
    <x v="0"/>
    <x v="3"/>
    <n v="2.5"/>
    <n v="25.874999999999996"/>
    <x v="57"/>
    <n v="2.3287499999999994"/>
    <n v="6.9862499999999983"/>
    <x v="2"/>
  </r>
  <r>
    <s v="QBB-07903-622"/>
    <x v="354"/>
    <x v="0"/>
    <x v="7"/>
    <x v="399"/>
    <x v="399"/>
    <s v="mackrillbw@bandcamp.com"/>
    <s v="+1 (330) 603-2373"/>
    <x v="138"/>
    <x v="0"/>
    <x v="1"/>
    <s v="R-L-1"/>
    <x v="0"/>
    <x v="1"/>
    <x v="1"/>
    <n v="1"/>
    <n v="11.95"/>
    <x v="143"/>
    <n v="0.71699999999999997"/>
    <n v="3.585"/>
    <x v="7"/>
  </r>
  <r>
    <s v="JLJ-81802-619"/>
    <x v="135"/>
    <x v="1"/>
    <x v="1"/>
    <x v="347"/>
    <x v="347"/>
    <s v="tfarraac@behance.net"/>
    <s v="+1 (432) 648-9589"/>
    <x v="220"/>
    <x v="0"/>
    <x v="1"/>
    <s v="A-L-1"/>
    <x v="2"/>
    <x v="1"/>
    <x v="5"/>
    <n v="1"/>
    <n v="12.95"/>
    <x v="17"/>
    <n v="1.1655"/>
    <n v="6.9930000000000003"/>
    <x v="9"/>
  </r>
  <r>
    <s v="HFT-77191-168"/>
    <x v="343"/>
    <x v="1"/>
    <x v="11"/>
    <x v="400"/>
    <x v="400"/>
    <s v="mkippenby@dion.ne.jp"/>
    <s v="+1 (601) 262-2557"/>
    <x v="240"/>
    <x v="0"/>
    <x v="0"/>
    <s v="R-D-0.2"/>
    <x v="0"/>
    <x v="2"/>
    <x v="0"/>
    <n v="0.2"/>
    <n v="2.6849999999999996"/>
    <x v="147"/>
    <n v="0.16109999999999997"/>
    <n v="0.32219999999999993"/>
    <x v="7"/>
  </r>
  <r>
    <s v="SZR-35951-530"/>
    <x v="89"/>
    <x v="1"/>
    <x v="8"/>
    <x v="401"/>
    <x v="401"/>
    <s v="wransonbz@ted.com"/>
    <s v="+353 (376) 165-2897"/>
    <x v="241"/>
    <x v="1"/>
    <x v="0"/>
    <s v="E-D-2.5"/>
    <x v="1"/>
    <x v="2"/>
    <x v="3"/>
    <n v="2.5"/>
    <n v="27.945"/>
    <x v="171"/>
    <n v="3.07395"/>
    <n v="9.2218499999999999"/>
    <x v="1"/>
  </r>
  <r>
    <s v="IKL-95976-565"/>
    <x v="355"/>
    <x v="0"/>
    <x v="9"/>
    <x v="402"/>
    <x v="402"/>
    <s v="UNKNOWN"/>
    <s v="+1 (360) 347-6756"/>
    <x v="166"/>
    <x v="0"/>
    <x v="1"/>
    <s v="A-M-1"/>
    <x v="2"/>
    <x v="0"/>
    <x v="0"/>
    <n v="1"/>
    <n v="11.25"/>
    <x v="122"/>
    <n v="1.0125"/>
    <n v="2.0249999999999999"/>
    <x v="2"/>
  </r>
  <r>
    <s v="XEY-48929-474"/>
    <x v="204"/>
    <x v="2"/>
    <x v="4"/>
    <x v="403"/>
    <x v="403"/>
    <s v="lrignoldc1@miibeian.gov.cn"/>
    <s v="+1 (916) 472-7804"/>
    <x v="155"/>
    <x v="0"/>
    <x v="0"/>
    <s v="L-M-2.5"/>
    <x v="3"/>
    <x v="0"/>
    <x v="5"/>
    <n v="2.5"/>
    <n v="33.464999999999996"/>
    <x v="172"/>
    <n v="4.3504499999999995"/>
    <n v="26.102699999999999"/>
    <x v="4"/>
  </r>
  <r>
    <s v="SQT-07286-736"/>
    <x v="356"/>
    <x v="0"/>
    <x v="9"/>
    <x v="404"/>
    <x v="404"/>
    <s v="UNKNOWN"/>
    <s v="+1 (617) 535-7583"/>
    <x v="35"/>
    <x v="0"/>
    <x v="1"/>
    <s v="A-M-1"/>
    <x v="2"/>
    <x v="0"/>
    <x v="5"/>
    <n v="1"/>
    <n v="11.25"/>
    <x v="173"/>
    <n v="1.0125"/>
    <n v="6.0749999999999993"/>
    <x v="8"/>
  </r>
  <r>
    <s v="QDU-45390-361"/>
    <x v="357"/>
    <x v="1"/>
    <x v="11"/>
    <x v="405"/>
    <x v="405"/>
    <s v="crowthornc3@msn.com"/>
    <s v="+1 (785) 380-3311"/>
    <x v="210"/>
    <x v="0"/>
    <x v="1"/>
    <s v="E-M-0.5"/>
    <x v="1"/>
    <x v="0"/>
    <x v="2"/>
    <n v="0.5"/>
    <n v="8.25"/>
    <x v="112"/>
    <n v="0.90749999999999997"/>
    <n v="0.90749999999999997"/>
    <x v="3"/>
  </r>
  <r>
    <s v="RUJ-30649-712"/>
    <x v="300"/>
    <x v="2"/>
    <x v="6"/>
    <x v="406"/>
    <x v="406"/>
    <s v="orylandc4@deviantart.com"/>
    <s v="+1 (701) 417-3513"/>
    <x v="97"/>
    <x v="0"/>
    <x v="0"/>
    <s v="L-L-0.2"/>
    <x v="3"/>
    <x v="1"/>
    <x v="0"/>
    <n v="0.2"/>
    <n v="4.7549999999999999"/>
    <x v="54"/>
    <n v="0.61814999999999998"/>
    <n v="1.2363"/>
    <x v="4"/>
  </r>
  <r>
    <s v="WSV-49732-075"/>
    <x v="358"/>
    <x v="1"/>
    <x v="4"/>
    <x v="407"/>
    <x v="407"/>
    <s v="UNKNOWN"/>
    <s v="+1 (832) 263-0050"/>
    <x v="13"/>
    <x v="0"/>
    <x v="1"/>
    <s v="L-D-2.5"/>
    <x v="3"/>
    <x v="2"/>
    <x v="2"/>
    <n v="2.5"/>
    <n v="29.784999999999997"/>
    <x v="91"/>
    <n v="3.8720499999999998"/>
    <n v="3.8720499999999998"/>
    <x v="4"/>
  </r>
  <r>
    <s v="VJF-46305-323"/>
    <x v="161"/>
    <x v="0"/>
    <x v="4"/>
    <x v="408"/>
    <x v="408"/>
    <s v="msesonck@census.gov"/>
    <s v="+1 (206) 642-0902"/>
    <x v="208"/>
    <x v="0"/>
    <x v="1"/>
    <s v="L-D-0.5"/>
    <x v="3"/>
    <x v="2"/>
    <x v="0"/>
    <n v="0.5"/>
    <n v="7.77"/>
    <x v="42"/>
    <n v="1.0101"/>
    <n v="2.0202"/>
    <x v="4"/>
  </r>
  <r>
    <s v="CXD-74176-600"/>
    <x v="129"/>
    <x v="0"/>
    <x v="8"/>
    <x v="409"/>
    <x v="409"/>
    <s v="craglessc7@webmd.com"/>
    <s v="+353 (736) 602-8469"/>
    <x v="14"/>
    <x v="1"/>
    <x v="1"/>
    <s v="E-L-0.5"/>
    <x v="1"/>
    <x v="1"/>
    <x v="4"/>
    <n v="0.5"/>
    <n v="8.91"/>
    <x v="70"/>
    <n v="0.98009999999999997"/>
    <n v="3.9203999999999999"/>
    <x v="3"/>
  </r>
  <r>
    <s v="ADX-50674-975"/>
    <x v="359"/>
    <x v="1"/>
    <x v="10"/>
    <x v="410"/>
    <x v="410"/>
    <s v="fhollowsc8@blogtalkradio.com"/>
    <s v="+1 (716) 632-6865"/>
    <x v="73"/>
    <x v="0"/>
    <x v="0"/>
    <s v="A-M-2.5"/>
    <x v="2"/>
    <x v="0"/>
    <x v="4"/>
    <n v="2.5"/>
    <n v="25.874999999999996"/>
    <x v="68"/>
    <n v="2.3287499999999994"/>
    <n v="9.3149999999999977"/>
    <x v="2"/>
  </r>
  <r>
    <s v="RRP-51647-420"/>
    <x v="360"/>
    <x v="0"/>
    <x v="8"/>
    <x v="411"/>
    <x v="411"/>
    <s v="llathleiffc9@nationalgeographic.com"/>
    <s v="+353 (895) 566-0110"/>
    <x v="180"/>
    <x v="1"/>
    <x v="0"/>
    <s v="E-D-1"/>
    <x v="1"/>
    <x v="2"/>
    <x v="3"/>
    <n v="1"/>
    <n v="12.15"/>
    <x v="114"/>
    <n v="1.3365"/>
    <n v="4.0095000000000001"/>
    <x v="1"/>
  </r>
  <r>
    <s v="PKJ-99134-523"/>
    <x v="361"/>
    <x v="1"/>
    <x v="2"/>
    <x v="412"/>
    <x v="412"/>
    <s v="kheadsca@jalbum.net"/>
    <s v="+1 (484) 131-2636"/>
    <x v="242"/>
    <x v="0"/>
    <x v="1"/>
    <s v="R-L-0.5"/>
    <x v="0"/>
    <x v="1"/>
    <x v="1"/>
    <n v="0.5"/>
    <n v="7.169999999999999"/>
    <x v="66"/>
    <n v="0.43019999999999992"/>
    <n v="2.1509999999999998"/>
    <x v="0"/>
  </r>
  <r>
    <s v="FZQ-29439-457"/>
    <x v="362"/>
    <x v="1"/>
    <x v="10"/>
    <x v="413"/>
    <x v="413"/>
    <s v="tbownecb@unicef.org"/>
    <s v="+353 (540) 432-8009"/>
    <x v="243"/>
    <x v="1"/>
    <x v="0"/>
    <s v="E-L-0.2"/>
    <x v="1"/>
    <x v="1"/>
    <x v="1"/>
    <n v="0.2"/>
    <n v="4.4550000000000001"/>
    <x v="110"/>
    <n v="0.49004999999999999"/>
    <n v="2.45025"/>
    <x v="5"/>
  </r>
  <r>
    <s v="USN-68115-161"/>
    <x v="363"/>
    <x v="1"/>
    <x v="3"/>
    <x v="414"/>
    <x v="414"/>
    <s v="rjacquemardcc@acquirethisname.com"/>
    <s v="+353 (959) 389-1521"/>
    <x v="244"/>
    <x v="1"/>
    <x v="1"/>
    <s v="E-M-0.2"/>
    <x v="1"/>
    <x v="0"/>
    <x v="5"/>
    <n v="0.2"/>
    <n v="4.125"/>
    <x v="167"/>
    <n v="0.45374999999999999"/>
    <n v="2.7225000000000001"/>
    <x v="3"/>
  </r>
  <r>
    <s v="IXU-20263-532"/>
    <x v="364"/>
    <x v="0"/>
    <x v="11"/>
    <x v="415"/>
    <x v="415"/>
    <s v="kwarmancd@printfriendly.com"/>
    <s v="UNKNOWN"/>
    <x v="201"/>
    <x v="1"/>
    <x v="0"/>
    <s v="L-M-2.5"/>
    <x v="3"/>
    <x v="0"/>
    <x v="0"/>
    <n v="2.5"/>
    <n v="33.464999999999996"/>
    <x v="174"/>
    <n v="4.3504499999999995"/>
    <n v="8.700899999999999"/>
    <x v="4"/>
  </r>
  <r>
    <s v="CBT-15092-420"/>
    <x v="85"/>
    <x v="0"/>
    <x v="9"/>
    <x v="416"/>
    <x v="416"/>
    <s v="wcholomince@about.com"/>
    <s v="+44 (512) 340-9049"/>
    <x v="38"/>
    <x v="2"/>
    <x v="0"/>
    <s v="L-M-0.5"/>
    <x v="3"/>
    <x v="0"/>
    <x v="2"/>
    <n v="0.5"/>
    <n v="8.73"/>
    <x v="31"/>
    <n v="1.1349"/>
    <n v="1.1349"/>
    <x v="4"/>
  </r>
  <r>
    <s v="PKQ-46841-696"/>
    <x v="365"/>
    <x v="3"/>
    <x v="6"/>
    <x v="417"/>
    <x v="417"/>
    <s v="abraidmancf@census.gov"/>
    <s v="UNKNOWN"/>
    <x v="167"/>
    <x v="0"/>
    <x v="1"/>
    <s v="R-M-0.5"/>
    <x v="0"/>
    <x v="0"/>
    <x v="3"/>
    <n v="0.5"/>
    <n v="5.97"/>
    <x v="8"/>
    <n v="0.35819999999999996"/>
    <n v="1.0745999999999998"/>
    <x v="6"/>
  </r>
  <r>
    <s v="XDU-05471-219"/>
    <x v="366"/>
    <x v="2"/>
    <x v="1"/>
    <x v="418"/>
    <x v="418"/>
    <s v="pdurbancg@symantec.com"/>
    <s v="+353 (709) 884-1892"/>
    <x v="245"/>
    <x v="1"/>
    <x v="1"/>
    <s v="R-L-0.5"/>
    <x v="0"/>
    <x v="1"/>
    <x v="2"/>
    <n v="0.5"/>
    <n v="7.169999999999999"/>
    <x v="53"/>
    <n v="0.43019999999999992"/>
    <n v="0.43019999999999992"/>
    <x v="7"/>
  </r>
  <r>
    <s v="NID-20149-329"/>
    <x v="367"/>
    <x v="1"/>
    <x v="5"/>
    <x v="419"/>
    <x v="419"/>
    <s v="aharroldch@miibeian.gov.cn"/>
    <s v="+1 (419) 153-2104"/>
    <x v="45"/>
    <x v="0"/>
    <x v="1"/>
    <s v="R-D-0.2"/>
    <x v="0"/>
    <x v="2"/>
    <x v="0"/>
    <n v="0.2"/>
    <n v="2.6849999999999996"/>
    <x v="147"/>
    <n v="0.16109999999999997"/>
    <n v="0.32219999999999993"/>
    <x v="7"/>
  </r>
  <r>
    <s v="SVU-27222-213"/>
    <x v="142"/>
    <x v="1"/>
    <x v="4"/>
    <x v="420"/>
    <x v="420"/>
    <s v="spamphilonci@mlb.com"/>
    <s v="+353 (456) 630-8490"/>
    <x v="246"/>
    <x v="1"/>
    <x v="1"/>
    <s v="L-L-0.2"/>
    <x v="3"/>
    <x v="1"/>
    <x v="1"/>
    <n v="0.2"/>
    <n v="4.7549999999999999"/>
    <x v="29"/>
    <n v="0.61814999999999998"/>
    <n v="3.0907499999999999"/>
    <x v="4"/>
  </r>
  <r>
    <s v="RWI-84131-848"/>
    <x v="368"/>
    <x v="0"/>
    <x v="10"/>
    <x v="421"/>
    <x v="421"/>
    <s v="mspurdencj@exblog.jp"/>
    <s v="+1 (704) 256-1371"/>
    <x v="63"/>
    <x v="0"/>
    <x v="0"/>
    <s v="R-D-2.5"/>
    <x v="0"/>
    <x v="2"/>
    <x v="0"/>
    <n v="2.5"/>
    <n v="20.584999999999997"/>
    <x v="13"/>
    <n v="1.2350999999999999"/>
    <n v="2.4701999999999997"/>
    <x v="0"/>
  </r>
  <r>
    <s v="GUU-40666-525"/>
    <x v="31"/>
    <x v="1"/>
    <x v="11"/>
    <x v="408"/>
    <x v="408"/>
    <s v="msesonck@census.gov"/>
    <s v="+1 (206) 642-0902"/>
    <x v="208"/>
    <x v="0"/>
    <x v="1"/>
    <s v="A-L-0.2"/>
    <x v="2"/>
    <x v="1"/>
    <x v="3"/>
    <n v="0.2"/>
    <n v="3.8849999999999998"/>
    <x v="14"/>
    <n v="0.34964999999999996"/>
    <n v="1.0489499999999998"/>
    <x v="2"/>
  </r>
  <r>
    <s v="SCN-51395-066"/>
    <x v="369"/>
    <x v="2"/>
    <x v="4"/>
    <x v="422"/>
    <x v="422"/>
    <s v="npirronecl@weibo.com"/>
    <s v="+1 (570) 223-3194"/>
    <x v="156"/>
    <x v="0"/>
    <x v="1"/>
    <s v="L-L-0.5"/>
    <x v="3"/>
    <x v="1"/>
    <x v="4"/>
    <n v="0.5"/>
    <n v="9.51"/>
    <x v="82"/>
    <n v="1.2363"/>
    <n v="4.9451999999999998"/>
    <x v="4"/>
  </r>
  <r>
    <s v="ULA-24644-321"/>
    <x v="370"/>
    <x v="1"/>
    <x v="3"/>
    <x v="423"/>
    <x v="423"/>
    <s v="rcawleycm@yellowbook.com"/>
    <s v="UNKNOWN"/>
    <x v="247"/>
    <x v="1"/>
    <x v="0"/>
    <s v="R-D-2.5"/>
    <x v="0"/>
    <x v="2"/>
    <x v="4"/>
    <n v="2.5"/>
    <n v="20.584999999999997"/>
    <x v="18"/>
    <n v="1.2350999999999999"/>
    <n v="4.9403999999999995"/>
    <x v="0"/>
  </r>
  <r>
    <s v="EOL-92666-762"/>
    <x v="371"/>
    <x v="3"/>
    <x v="4"/>
    <x v="424"/>
    <x v="424"/>
    <s v="sbarribalcn@microsoft.com"/>
    <s v="+353 (310) 256-3698"/>
    <x v="248"/>
    <x v="1"/>
    <x v="0"/>
    <s v="L-L-0.2"/>
    <x v="3"/>
    <x v="1"/>
    <x v="0"/>
    <n v="0.2"/>
    <n v="4.7549999999999999"/>
    <x v="54"/>
    <n v="0.61814999999999998"/>
    <n v="1.2363"/>
    <x v="4"/>
  </r>
  <r>
    <s v="AJV-18231-334"/>
    <x v="372"/>
    <x v="3"/>
    <x v="2"/>
    <x v="425"/>
    <x v="425"/>
    <s v="aadamidesco@bizjournals.com"/>
    <s v="+44 (131) 485-2183"/>
    <x v="60"/>
    <x v="2"/>
    <x v="1"/>
    <s v="R-D-2.5"/>
    <x v="0"/>
    <x v="2"/>
    <x v="0"/>
    <n v="2.5"/>
    <n v="20.584999999999997"/>
    <x v="13"/>
    <n v="1.2350999999999999"/>
    <n v="2.4701999999999997"/>
    <x v="0"/>
  </r>
  <r>
    <s v="ZQI-47236-301"/>
    <x v="373"/>
    <x v="0"/>
    <x v="2"/>
    <x v="426"/>
    <x v="426"/>
    <s v="cthowescp@craigslist.org"/>
    <s v="+1 (585) 785-2424"/>
    <x v="36"/>
    <x v="0"/>
    <x v="1"/>
    <s v="L-L-0.5"/>
    <x v="3"/>
    <x v="1"/>
    <x v="1"/>
    <n v="0.5"/>
    <n v="9.51"/>
    <x v="46"/>
    <n v="1.2363"/>
    <n v="6.1814999999999998"/>
    <x v="4"/>
  </r>
  <r>
    <s v="ZCR-15721-658"/>
    <x v="374"/>
    <x v="2"/>
    <x v="5"/>
    <x v="427"/>
    <x v="427"/>
    <s v="rwillowaycq@admin.ch"/>
    <s v="+1 (520) 126-8439"/>
    <x v="31"/>
    <x v="0"/>
    <x v="1"/>
    <s v="A-M-1"/>
    <x v="2"/>
    <x v="0"/>
    <x v="4"/>
    <n v="1"/>
    <n v="11.25"/>
    <x v="157"/>
    <n v="1.0125"/>
    <n v="4.05"/>
    <x v="2"/>
  </r>
  <r>
    <s v="QEW-47945-682"/>
    <x v="319"/>
    <x v="3"/>
    <x v="4"/>
    <x v="428"/>
    <x v="428"/>
    <s v="aelwincr@privacy.gov.au"/>
    <s v="+1 (612) 244-0885"/>
    <x v="30"/>
    <x v="0"/>
    <x v="1"/>
    <s v="L-L-0.2"/>
    <x v="3"/>
    <x v="1"/>
    <x v="1"/>
    <n v="0.2"/>
    <n v="4.7549999999999999"/>
    <x v="29"/>
    <n v="0.61814999999999998"/>
    <n v="3.0907499999999999"/>
    <x v="4"/>
  </r>
  <r>
    <s v="PSY-45485-542"/>
    <x v="375"/>
    <x v="0"/>
    <x v="5"/>
    <x v="429"/>
    <x v="429"/>
    <s v="abilbrookcs@booking.com"/>
    <s v="+353 (138) 323-3320"/>
    <x v="249"/>
    <x v="1"/>
    <x v="0"/>
    <s v="R-D-0.5"/>
    <x v="0"/>
    <x v="2"/>
    <x v="3"/>
    <n v="0.5"/>
    <n v="5.3699999999999992"/>
    <x v="103"/>
    <n v="0.32219999999999993"/>
    <n v="0.96659999999999979"/>
    <x v="11"/>
  </r>
  <r>
    <s v="BAQ-74241-156"/>
    <x v="376"/>
    <x v="3"/>
    <x v="2"/>
    <x v="430"/>
    <x v="430"/>
    <s v="rmckallct@sakura.ne.jp"/>
    <s v="+44 (841) 988-2775"/>
    <x v="250"/>
    <x v="2"/>
    <x v="0"/>
    <s v="R-D-0.2"/>
    <x v="0"/>
    <x v="2"/>
    <x v="4"/>
    <n v="0.2"/>
    <n v="2.6849999999999996"/>
    <x v="175"/>
    <n v="0.16109999999999997"/>
    <n v="0.64439999999999986"/>
    <x v="7"/>
  </r>
  <r>
    <s v="BVU-77367-451"/>
    <x v="377"/>
    <x v="3"/>
    <x v="7"/>
    <x v="431"/>
    <x v="431"/>
    <s v="bdailecu@vistaprint.com"/>
    <s v="+1 (770) 330-7785"/>
    <x v="161"/>
    <x v="0"/>
    <x v="0"/>
    <s v="A-D-1"/>
    <x v="2"/>
    <x v="2"/>
    <x v="1"/>
    <n v="1"/>
    <n v="9.9499999999999993"/>
    <x v="12"/>
    <n v="0.89549999999999985"/>
    <n v="4.4774999999999991"/>
    <x v="8"/>
  </r>
  <r>
    <s v="TJE-91516-344"/>
    <x v="378"/>
    <x v="0"/>
    <x v="0"/>
    <x v="432"/>
    <x v="432"/>
    <s v="atrehernecv@state.tx.us"/>
    <s v="+353 (860) 359-7907"/>
    <x v="251"/>
    <x v="1"/>
    <x v="1"/>
    <s v="E-M-1"/>
    <x v="1"/>
    <x v="0"/>
    <x v="0"/>
    <n v="1"/>
    <n v="13.75"/>
    <x v="3"/>
    <n v="1.5125"/>
    <n v="3.0249999999999999"/>
    <x v="3"/>
  </r>
  <r>
    <s v="LIS-96202-702"/>
    <x v="277"/>
    <x v="3"/>
    <x v="1"/>
    <x v="433"/>
    <x v="433"/>
    <s v="abrentnallcw@biglobe.ne.jp"/>
    <s v="+44 (373) 897-1797"/>
    <x v="252"/>
    <x v="2"/>
    <x v="1"/>
    <s v="L-D-2.5"/>
    <x v="3"/>
    <x v="2"/>
    <x v="4"/>
    <n v="2.5"/>
    <n v="29.784999999999997"/>
    <x v="129"/>
    <n v="3.8720499999999998"/>
    <n v="15.488199999999999"/>
    <x v="4"/>
  </r>
  <r>
    <s v="VIO-27668-766"/>
    <x v="379"/>
    <x v="0"/>
    <x v="9"/>
    <x v="434"/>
    <x v="434"/>
    <s v="ddrinkallcx@psu.edu"/>
    <s v="+1 (865) 407-3871"/>
    <x v="203"/>
    <x v="0"/>
    <x v="0"/>
    <s v="R-D-2.5"/>
    <x v="0"/>
    <x v="2"/>
    <x v="2"/>
    <n v="2.5"/>
    <n v="20.584999999999997"/>
    <x v="123"/>
    <n v="1.2350999999999999"/>
    <n v="1.2350999999999999"/>
    <x v="0"/>
  </r>
  <r>
    <s v="ZVG-20473-043"/>
    <x v="86"/>
    <x v="3"/>
    <x v="9"/>
    <x v="435"/>
    <x v="435"/>
    <s v="dkornelcy@cyberchimps.com"/>
    <s v="+1 (989) 565-9120"/>
    <x v="253"/>
    <x v="0"/>
    <x v="0"/>
    <s v="A-D-0.2"/>
    <x v="2"/>
    <x v="2"/>
    <x v="3"/>
    <n v="0.2"/>
    <n v="2.9849999999999999"/>
    <x v="169"/>
    <n v="0.26865"/>
    <n v="0.80594999999999994"/>
    <x v="2"/>
  </r>
  <r>
    <s v="KGZ-56395-231"/>
    <x v="380"/>
    <x v="1"/>
    <x v="9"/>
    <x v="436"/>
    <x v="436"/>
    <s v="rlequeuxcz@newyorker.com"/>
    <s v="+1 (904) 161-6088"/>
    <x v="254"/>
    <x v="0"/>
    <x v="1"/>
    <s v="A-D-0.5"/>
    <x v="2"/>
    <x v="2"/>
    <x v="2"/>
    <n v="0.5"/>
    <n v="5.97"/>
    <x v="9"/>
    <n v="0.5373"/>
    <n v="0.5373"/>
    <x v="9"/>
  </r>
  <r>
    <s v="CUU-92244-729"/>
    <x v="381"/>
    <x v="3"/>
    <x v="2"/>
    <x v="437"/>
    <x v="437"/>
    <s v="jmccaulld0@parallels.com"/>
    <s v="UNKNOWN"/>
    <x v="255"/>
    <x v="0"/>
    <x v="0"/>
    <s v="E-M-1"/>
    <x v="1"/>
    <x v="0"/>
    <x v="3"/>
    <n v="1"/>
    <n v="13.75"/>
    <x v="1"/>
    <n v="1.5125"/>
    <n v="4.5374999999999996"/>
    <x v="1"/>
  </r>
  <r>
    <s v="EHE-94714-312"/>
    <x v="382"/>
    <x v="1"/>
    <x v="1"/>
    <x v="438"/>
    <x v="438"/>
    <s v="abrashda@plala.or.jp"/>
    <s v="+1 (917) 544-7136"/>
    <x v="256"/>
    <x v="0"/>
    <x v="0"/>
    <s v="E-L-0.2"/>
    <x v="1"/>
    <x v="1"/>
    <x v="1"/>
    <n v="0.2"/>
    <n v="4.4550000000000001"/>
    <x v="110"/>
    <n v="0.49004999999999999"/>
    <n v="2.45025"/>
    <x v="5"/>
  </r>
  <r>
    <s v="RTL-16205-161"/>
    <x v="11"/>
    <x v="2"/>
    <x v="8"/>
    <x v="439"/>
    <x v="439"/>
    <s v="ahutchinsond2@imgur.com"/>
    <s v="+1 (404) 775-3251"/>
    <x v="227"/>
    <x v="0"/>
    <x v="0"/>
    <s v="A-M-0.5"/>
    <x v="2"/>
    <x v="0"/>
    <x v="2"/>
    <n v="0.5"/>
    <n v="6.75"/>
    <x v="52"/>
    <n v="0.60749999999999993"/>
    <n v="0.60749999999999993"/>
    <x v="8"/>
  </r>
  <r>
    <s v="GTS-22482-014"/>
    <x v="167"/>
    <x v="2"/>
    <x v="6"/>
    <x v="440"/>
    <x v="440"/>
    <s v="UNKNOWN"/>
    <s v="+1 (785) 654-9564"/>
    <x v="210"/>
    <x v="0"/>
    <x v="0"/>
    <s v="L-M-2.5"/>
    <x v="3"/>
    <x v="0"/>
    <x v="4"/>
    <n v="2.5"/>
    <n v="33.464999999999996"/>
    <x v="136"/>
    <n v="4.3504499999999995"/>
    <n v="17.401799999999998"/>
    <x v="4"/>
  </r>
  <r>
    <s v="DYG-25473-881"/>
    <x v="383"/>
    <x v="3"/>
    <x v="10"/>
    <x v="441"/>
    <x v="441"/>
    <s v="rdriversd4@hexun.com"/>
    <s v="+1 (913) 127-4257"/>
    <x v="153"/>
    <x v="0"/>
    <x v="1"/>
    <s v="A-D-0.2"/>
    <x v="2"/>
    <x v="2"/>
    <x v="0"/>
    <n v="0.2"/>
    <n v="2.9849999999999999"/>
    <x v="9"/>
    <n v="0.26865"/>
    <n v="0.5373"/>
    <x v="9"/>
  </r>
  <r>
    <s v="HTR-21838-286"/>
    <x v="18"/>
    <x v="2"/>
    <x v="10"/>
    <x v="442"/>
    <x v="442"/>
    <s v="hzeald5@google.de"/>
    <s v="+1 (206) 775-4468"/>
    <x v="208"/>
    <x v="0"/>
    <x v="1"/>
    <s v="A-L-1"/>
    <x v="2"/>
    <x v="1"/>
    <x v="0"/>
    <n v="1"/>
    <n v="12.95"/>
    <x v="109"/>
    <n v="1.1655"/>
    <n v="2.331"/>
    <x v="2"/>
  </r>
  <r>
    <s v="KYG-28296-920"/>
    <x v="84"/>
    <x v="3"/>
    <x v="2"/>
    <x v="443"/>
    <x v="443"/>
    <s v="gsmallcombed6@ucla.edu"/>
    <s v="+353 (374) 810-4528"/>
    <x v="165"/>
    <x v="1"/>
    <x v="0"/>
    <s v="E-M-2.5"/>
    <x v="1"/>
    <x v="0"/>
    <x v="2"/>
    <n v="2.5"/>
    <n v="31.624999999999996"/>
    <x v="176"/>
    <n v="3.4787499999999998"/>
    <n v="3.4787499999999998"/>
    <x v="3"/>
  </r>
  <r>
    <s v="NNB-20459-430"/>
    <x v="384"/>
    <x v="2"/>
    <x v="2"/>
    <x v="444"/>
    <x v="444"/>
    <s v="ddibleyd7@feedburner.com"/>
    <s v="UNKNOWN"/>
    <x v="257"/>
    <x v="0"/>
    <x v="1"/>
    <s v="L-M-0.2"/>
    <x v="3"/>
    <x v="0"/>
    <x v="0"/>
    <n v="0.2"/>
    <n v="4.3650000000000002"/>
    <x v="31"/>
    <n v="0.56745000000000001"/>
    <n v="1.1349"/>
    <x v="4"/>
  </r>
  <r>
    <s v="FEK-14025-351"/>
    <x v="385"/>
    <x v="1"/>
    <x v="6"/>
    <x v="445"/>
    <x v="445"/>
    <s v="gdimitrioud8@chronoengine.com"/>
    <s v="+1 (585) 303-7337"/>
    <x v="36"/>
    <x v="0"/>
    <x v="0"/>
    <s v="E-L-0.2"/>
    <x v="1"/>
    <x v="1"/>
    <x v="5"/>
    <n v="0.2"/>
    <n v="4.4550000000000001"/>
    <x v="149"/>
    <n v="0.49004999999999999"/>
    <n v="2.9402999999999997"/>
    <x v="1"/>
  </r>
  <r>
    <s v="AWH-16980-469"/>
    <x v="386"/>
    <x v="3"/>
    <x v="5"/>
    <x v="446"/>
    <x v="446"/>
    <s v="fflanagand9@woothemes.com"/>
    <s v="+1 (903) 455-7155"/>
    <x v="211"/>
    <x v="0"/>
    <x v="1"/>
    <s v="L-M-0.2"/>
    <x v="3"/>
    <x v="0"/>
    <x v="5"/>
    <n v="0.2"/>
    <n v="4.3650000000000002"/>
    <x v="50"/>
    <n v="0.56745000000000001"/>
    <n v="3.4047000000000001"/>
    <x v="4"/>
  </r>
  <r>
    <s v="ZPW-31329-741"/>
    <x v="387"/>
    <x v="0"/>
    <x v="1"/>
    <x v="438"/>
    <x v="438"/>
    <s v="abrashda@plala.or.jp"/>
    <s v="+1 (917) 544-7136"/>
    <x v="256"/>
    <x v="0"/>
    <x v="0"/>
    <s v="R-D-1"/>
    <x v="0"/>
    <x v="2"/>
    <x v="5"/>
    <n v="1"/>
    <n v="8.9499999999999993"/>
    <x v="59"/>
    <n v="0.53699999999999992"/>
    <n v="3.2219999999999995"/>
    <x v="7"/>
  </r>
  <r>
    <s v="ZPW-31329-741"/>
    <x v="387"/>
    <x v="0"/>
    <x v="1"/>
    <x v="438"/>
    <x v="438"/>
    <s v="abrashda@plala.or.jp"/>
    <s v="+1 (917) 544-7136"/>
    <x v="256"/>
    <x v="0"/>
    <x v="0"/>
    <s v="E-M-2.5"/>
    <x v="1"/>
    <x v="0"/>
    <x v="4"/>
    <n v="2.5"/>
    <n v="31.624999999999996"/>
    <x v="177"/>
    <n v="3.4787499999999998"/>
    <n v="13.914999999999999"/>
    <x v="3"/>
  </r>
  <r>
    <s v="ZPW-31329-741"/>
    <x v="387"/>
    <x v="0"/>
    <x v="1"/>
    <x v="438"/>
    <x v="438"/>
    <s v="abrashda@plala.or.jp"/>
    <s v="+1 (917) 544-7136"/>
    <x v="256"/>
    <x v="0"/>
    <x v="0"/>
    <s v="E-M-0.2"/>
    <x v="1"/>
    <x v="0"/>
    <x v="2"/>
    <n v="0.2"/>
    <n v="4.125"/>
    <x v="83"/>
    <n v="0.45374999999999999"/>
    <n v="0.45374999999999999"/>
    <x v="3"/>
  </r>
  <r>
    <s v="UBI-83843-396"/>
    <x v="388"/>
    <x v="0"/>
    <x v="7"/>
    <x v="447"/>
    <x v="447"/>
    <s v="nizhakovdd@aol.com"/>
    <s v="+44 (570) 683-9517"/>
    <x v="258"/>
    <x v="2"/>
    <x v="1"/>
    <s v="R-L-1"/>
    <x v="0"/>
    <x v="1"/>
    <x v="0"/>
    <n v="1"/>
    <n v="11.95"/>
    <x v="178"/>
    <n v="0.71699999999999997"/>
    <n v="1.4339999999999999"/>
    <x v="7"/>
  </r>
  <r>
    <s v="VID-40587-569"/>
    <x v="389"/>
    <x v="1"/>
    <x v="10"/>
    <x v="448"/>
    <x v="448"/>
    <s v="skeetsde@answers.com"/>
    <s v="+1 (703) 230-2979"/>
    <x v="117"/>
    <x v="0"/>
    <x v="0"/>
    <s v="E-D-2.5"/>
    <x v="1"/>
    <x v="2"/>
    <x v="1"/>
    <n v="2.5"/>
    <n v="27.945"/>
    <x v="141"/>
    <n v="3.07395"/>
    <n v="15.36975"/>
    <x v="3"/>
  </r>
  <r>
    <s v="KBB-52530-416"/>
    <x v="229"/>
    <x v="0"/>
    <x v="11"/>
    <x v="449"/>
    <x v="449"/>
    <s v="UNKNOWN"/>
    <s v="+1 (801) 322-2923"/>
    <x v="147"/>
    <x v="0"/>
    <x v="0"/>
    <s v="L-D-2.5"/>
    <x v="3"/>
    <x v="2"/>
    <x v="0"/>
    <n v="2.5"/>
    <n v="29.784999999999997"/>
    <x v="120"/>
    <n v="3.8720499999999998"/>
    <n v="7.7440999999999995"/>
    <x v="4"/>
  </r>
  <r>
    <s v="ISJ-48676-420"/>
    <x v="390"/>
    <x v="1"/>
    <x v="7"/>
    <x v="450"/>
    <x v="450"/>
    <s v="kcakedg@huffingtonpost.com"/>
    <s v="UNKNOWN"/>
    <x v="7"/>
    <x v="0"/>
    <x v="1"/>
    <s v="L-L-0.5"/>
    <x v="3"/>
    <x v="1"/>
    <x v="5"/>
    <n v="0.5"/>
    <n v="9.51"/>
    <x v="30"/>
    <n v="1.2363"/>
    <n v="7.4177999999999997"/>
    <x v="10"/>
  </r>
  <r>
    <s v="MIF-17920-768"/>
    <x v="391"/>
    <x v="1"/>
    <x v="3"/>
    <x v="451"/>
    <x v="451"/>
    <s v="mhanseddh@instagram.com"/>
    <s v="+353 (997) 520-7802"/>
    <x v="259"/>
    <x v="1"/>
    <x v="0"/>
    <s v="R-L-0.2"/>
    <x v="0"/>
    <x v="1"/>
    <x v="5"/>
    <n v="0.2"/>
    <n v="3.5849999999999995"/>
    <x v="137"/>
    <n v="0.21509999999999996"/>
    <n v="1.2905999999999997"/>
    <x v="11"/>
  </r>
  <r>
    <s v="CPX-19312-088"/>
    <x v="117"/>
    <x v="3"/>
    <x v="2"/>
    <x v="452"/>
    <x v="452"/>
    <s v="fkienleindi@trellian.com"/>
    <s v="+353 (972) 241-3434"/>
    <x v="260"/>
    <x v="1"/>
    <x v="0"/>
    <s v="L-M-0.5"/>
    <x v="3"/>
    <x v="0"/>
    <x v="5"/>
    <n v="0.5"/>
    <n v="8.73"/>
    <x v="28"/>
    <n v="1.1349"/>
    <n v="6.8094000000000001"/>
    <x v="4"/>
  </r>
  <r>
    <s v="RXI-67978-260"/>
    <x v="392"/>
    <x v="3"/>
    <x v="0"/>
    <x v="453"/>
    <x v="453"/>
    <s v="kegglestonedj@sphinn.com"/>
    <s v="+353 (452) 975-6438"/>
    <x v="260"/>
    <x v="1"/>
    <x v="1"/>
    <s v="E-D-1"/>
    <x v="1"/>
    <x v="2"/>
    <x v="5"/>
    <n v="1"/>
    <n v="12.15"/>
    <x v="118"/>
    <n v="1.3365"/>
    <n v="8.0190000000000001"/>
    <x v="1"/>
  </r>
  <r>
    <s v="LKE-14821-285"/>
    <x v="393"/>
    <x v="3"/>
    <x v="5"/>
    <x v="454"/>
    <x v="454"/>
    <s v="bsemkinsdk@unc.edu"/>
    <s v="+353 (209) 764-2690"/>
    <x v="261"/>
    <x v="1"/>
    <x v="0"/>
    <s v="R-M-0.2"/>
    <x v="0"/>
    <x v="0"/>
    <x v="1"/>
    <n v="0.2"/>
    <n v="2.9849999999999999"/>
    <x v="128"/>
    <n v="0.17909999999999998"/>
    <n v="0.89549999999999996"/>
    <x v="0"/>
  </r>
  <r>
    <s v="LRK-97117-150"/>
    <x v="394"/>
    <x v="0"/>
    <x v="2"/>
    <x v="455"/>
    <x v="455"/>
    <s v="slorenzettidl@is.gd"/>
    <s v="+1 (915) 581-0694"/>
    <x v="87"/>
    <x v="0"/>
    <x v="1"/>
    <s v="L-L-1"/>
    <x v="3"/>
    <x v="1"/>
    <x v="5"/>
    <n v="1"/>
    <n v="15.85"/>
    <x v="179"/>
    <n v="2.0605000000000002"/>
    <n v="12.363000000000001"/>
    <x v="12"/>
  </r>
  <r>
    <s v="IGK-51227-573"/>
    <x v="137"/>
    <x v="0"/>
    <x v="7"/>
    <x v="456"/>
    <x v="456"/>
    <s v="bgiannazzidm@apple.com"/>
    <s v="+1 (754) 827-8970"/>
    <x v="42"/>
    <x v="0"/>
    <x v="1"/>
    <s v="L-D-0.5"/>
    <x v="3"/>
    <x v="2"/>
    <x v="0"/>
    <n v="0.5"/>
    <n v="7.77"/>
    <x v="42"/>
    <n v="1.0101"/>
    <n v="2.0202"/>
    <x v="4"/>
  </r>
  <r>
    <s v="ZAY-43009-775"/>
    <x v="395"/>
    <x v="3"/>
    <x v="0"/>
    <x v="457"/>
    <x v="457"/>
    <s v="UNKNOWN"/>
    <s v="+1 (317) 595-9406"/>
    <x v="207"/>
    <x v="0"/>
    <x v="1"/>
    <s v="L-D-0.2"/>
    <x v="3"/>
    <x v="2"/>
    <x v="5"/>
    <n v="0.2"/>
    <n v="3.8849999999999998"/>
    <x v="102"/>
    <n v="0.50505"/>
    <n v="3.0303"/>
    <x v="4"/>
  </r>
  <r>
    <s v="EMA-63190-618"/>
    <x v="396"/>
    <x v="2"/>
    <x v="10"/>
    <x v="458"/>
    <x v="458"/>
    <s v="ulethbrigdo@hc360.com"/>
    <s v="+1 (414) 580-9714"/>
    <x v="166"/>
    <x v="0"/>
    <x v="0"/>
    <s v="E-M-0.2"/>
    <x v="1"/>
    <x v="0"/>
    <x v="2"/>
    <n v="0.2"/>
    <n v="4.125"/>
    <x v="83"/>
    <n v="0.45374999999999999"/>
    <n v="0.45374999999999999"/>
    <x v="3"/>
  </r>
  <r>
    <s v="FBI-35855-418"/>
    <x v="189"/>
    <x v="3"/>
    <x v="0"/>
    <x v="459"/>
    <x v="459"/>
    <s v="sfarnishdp@dmoz.org"/>
    <s v="+44 (847) 377-8172"/>
    <x v="194"/>
    <x v="2"/>
    <x v="1"/>
    <s v="R-M-0.5"/>
    <x v="0"/>
    <x v="0"/>
    <x v="5"/>
    <n v="0.5"/>
    <n v="5.97"/>
    <x v="27"/>
    <n v="0.35819999999999996"/>
    <n v="2.1491999999999996"/>
    <x v="6"/>
  </r>
  <r>
    <s v="TXB-80533-417"/>
    <x v="8"/>
    <x v="3"/>
    <x v="7"/>
    <x v="460"/>
    <x v="460"/>
    <s v="fjecockdq@unicef.org"/>
    <s v="+1 (225) 116-2959"/>
    <x v="163"/>
    <x v="0"/>
    <x v="1"/>
    <s v="L-L-1"/>
    <x v="3"/>
    <x v="1"/>
    <x v="0"/>
    <n v="1"/>
    <n v="15.85"/>
    <x v="124"/>
    <n v="2.0605000000000002"/>
    <n v="4.1210000000000004"/>
    <x v="4"/>
  </r>
  <r>
    <s v="MBM-00112-248"/>
    <x v="397"/>
    <x v="0"/>
    <x v="0"/>
    <x v="461"/>
    <x v="461"/>
    <s v="UNKNOWN"/>
    <s v="+1 (203) 490-3839"/>
    <x v="189"/>
    <x v="0"/>
    <x v="0"/>
    <s v="L-L-1"/>
    <x v="3"/>
    <x v="1"/>
    <x v="1"/>
    <n v="1"/>
    <n v="15.85"/>
    <x v="180"/>
    <n v="2.0605000000000002"/>
    <n v="10.302500000000002"/>
    <x v="12"/>
  </r>
  <r>
    <s v="EUO-69145-988"/>
    <x v="398"/>
    <x v="1"/>
    <x v="3"/>
    <x v="462"/>
    <x v="462"/>
    <s v="hpallisterds@ning.com"/>
    <s v="+1 (850) 517-1353"/>
    <x v="48"/>
    <x v="0"/>
    <x v="1"/>
    <s v="E-D-0.2"/>
    <x v="1"/>
    <x v="2"/>
    <x v="3"/>
    <n v="0.2"/>
    <n v="3.645"/>
    <x v="47"/>
    <n v="0.40095000000000003"/>
    <n v="1.2028500000000002"/>
    <x v="5"/>
  </r>
  <r>
    <s v="GYA-80327-368"/>
    <x v="399"/>
    <x v="1"/>
    <x v="1"/>
    <x v="463"/>
    <x v="463"/>
    <s v="cmershdt@drupal.org"/>
    <s v="+353 (343) 889-4565"/>
    <x v="262"/>
    <x v="1"/>
    <x v="1"/>
    <s v="A-D-1"/>
    <x v="2"/>
    <x v="2"/>
    <x v="4"/>
    <n v="1"/>
    <n v="9.9499999999999993"/>
    <x v="10"/>
    <n v="0.89549999999999985"/>
    <n v="3.5819999999999994"/>
    <x v="2"/>
  </r>
  <r>
    <s v="TNW-41601-420"/>
    <x v="400"/>
    <x v="3"/>
    <x v="11"/>
    <x v="464"/>
    <x v="464"/>
    <s v="murione5@alexa.com"/>
    <s v="+353 (715) 989-0283"/>
    <x v="263"/>
    <x v="1"/>
    <x v="0"/>
    <s v="R-M-1"/>
    <x v="0"/>
    <x v="0"/>
    <x v="1"/>
    <n v="1"/>
    <n v="9.9499999999999993"/>
    <x v="12"/>
    <n v="0.59699999999999998"/>
    <n v="2.9849999999999999"/>
    <x v="7"/>
  </r>
  <r>
    <s v="ALR-62963-723"/>
    <x v="401"/>
    <x v="3"/>
    <x v="1"/>
    <x v="465"/>
    <x v="465"/>
    <s v="UNKNOWN"/>
    <s v="+353 (160) 183-4278"/>
    <x v="146"/>
    <x v="1"/>
    <x v="0"/>
    <s v="R-D-0.2"/>
    <x v="0"/>
    <x v="2"/>
    <x v="3"/>
    <n v="0.2"/>
    <n v="2.6849999999999996"/>
    <x v="36"/>
    <n v="0.16109999999999997"/>
    <n v="0.4832999999999999"/>
    <x v="11"/>
  </r>
  <r>
    <s v="JIG-27636-870"/>
    <x v="402"/>
    <x v="3"/>
    <x v="2"/>
    <x v="466"/>
    <x v="466"/>
    <s v="UNKNOWN"/>
    <s v="+1 (616) 511-3898"/>
    <x v="16"/>
    <x v="0"/>
    <x v="1"/>
    <s v="R-L-1"/>
    <x v="0"/>
    <x v="1"/>
    <x v="4"/>
    <n v="1"/>
    <n v="11.95"/>
    <x v="62"/>
    <n v="0.71699999999999997"/>
    <n v="2.8679999999999999"/>
    <x v="7"/>
  </r>
  <r>
    <s v="CTE-31437-326"/>
    <x v="6"/>
    <x v="0"/>
    <x v="4"/>
    <x v="467"/>
    <x v="467"/>
    <s v="gduckerdx@patch.com"/>
    <s v="+44 (749) 987-9016"/>
    <x v="197"/>
    <x v="2"/>
    <x v="1"/>
    <s v="R-M-0.2"/>
    <x v="0"/>
    <x v="0"/>
    <x v="4"/>
    <n v="0.2"/>
    <n v="2.9849999999999999"/>
    <x v="22"/>
    <n v="0.17909999999999998"/>
    <n v="0.71639999999999993"/>
    <x v="7"/>
  </r>
  <r>
    <s v="CTE-31437-326"/>
    <x v="6"/>
    <x v="0"/>
    <x v="4"/>
    <x v="467"/>
    <x v="467"/>
    <s v="gduckerdx@patch.com"/>
    <s v="+44 (749) 987-9016"/>
    <x v="197"/>
    <x v="2"/>
    <x v="1"/>
    <s v="E-M-0.2"/>
    <x v="1"/>
    <x v="0"/>
    <x v="4"/>
    <n v="0.2"/>
    <n v="4.125"/>
    <x v="38"/>
    <n v="0.45374999999999999"/>
    <n v="1.8149999999999999"/>
    <x v="3"/>
  </r>
  <r>
    <s v="CTE-31437-326"/>
    <x v="6"/>
    <x v="0"/>
    <x v="4"/>
    <x v="467"/>
    <x v="467"/>
    <s v="gduckerdx@patch.com"/>
    <s v="+44 (749) 987-9016"/>
    <x v="197"/>
    <x v="2"/>
    <x v="1"/>
    <s v="L-D-1"/>
    <x v="3"/>
    <x v="2"/>
    <x v="4"/>
    <n v="1"/>
    <n v="12.95"/>
    <x v="67"/>
    <n v="1.6835"/>
    <n v="6.734"/>
    <x v="4"/>
  </r>
  <r>
    <s v="CTE-31437-326"/>
    <x v="6"/>
    <x v="0"/>
    <x v="4"/>
    <x v="467"/>
    <x v="467"/>
    <s v="gduckerdx@patch.com"/>
    <s v="+44 (749) 987-9016"/>
    <x v="197"/>
    <x v="2"/>
    <x v="1"/>
    <s v="L-L-0.2"/>
    <x v="3"/>
    <x v="1"/>
    <x v="3"/>
    <n v="0.2"/>
    <n v="4.7549999999999999"/>
    <x v="181"/>
    <n v="0.61814999999999998"/>
    <n v="1.8544499999999999"/>
    <x v="10"/>
  </r>
  <r>
    <s v="SLD-63003-334"/>
    <x v="403"/>
    <x v="2"/>
    <x v="10"/>
    <x v="468"/>
    <x v="468"/>
    <s v="wstearleye1@census.gov"/>
    <s v="+1 (336) 213-3687"/>
    <x v="264"/>
    <x v="0"/>
    <x v="1"/>
    <s v="L-M-0.2"/>
    <x v="3"/>
    <x v="0"/>
    <x v="5"/>
    <n v="0.2"/>
    <n v="4.3650000000000002"/>
    <x v="50"/>
    <n v="0.56745000000000001"/>
    <n v="3.4047000000000001"/>
    <x v="4"/>
  </r>
  <r>
    <s v="BXN-64230-789"/>
    <x v="404"/>
    <x v="3"/>
    <x v="9"/>
    <x v="469"/>
    <x v="469"/>
    <s v="dwincere2@marriott.com"/>
    <s v="+1 (915) 676-6367"/>
    <x v="87"/>
    <x v="0"/>
    <x v="0"/>
    <s v="A-L-1"/>
    <x v="2"/>
    <x v="1"/>
    <x v="0"/>
    <n v="1"/>
    <n v="12.95"/>
    <x v="109"/>
    <n v="1.1655"/>
    <n v="2.331"/>
    <x v="2"/>
  </r>
  <r>
    <s v="XEE-37895-169"/>
    <x v="21"/>
    <x v="0"/>
    <x v="10"/>
    <x v="470"/>
    <x v="470"/>
    <s v="plyfielde3@baidu.com"/>
    <s v="+1 (216) 614-9325"/>
    <x v="265"/>
    <x v="0"/>
    <x v="0"/>
    <s v="A-L-2.5"/>
    <x v="2"/>
    <x v="1"/>
    <x v="3"/>
    <n v="2.5"/>
    <n v="29.784999999999997"/>
    <x v="49"/>
    <n v="2.6806499999999995"/>
    <n v="8.0419499999999982"/>
    <x v="8"/>
  </r>
  <r>
    <s v="ZTX-80764-911"/>
    <x v="239"/>
    <x v="1"/>
    <x v="4"/>
    <x v="471"/>
    <x v="471"/>
    <s v="hperrise4@studiopress.com"/>
    <s v="+353 (954) 293-8675"/>
    <x v="266"/>
    <x v="1"/>
    <x v="1"/>
    <s v="L-D-0.5"/>
    <x v="3"/>
    <x v="2"/>
    <x v="5"/>
    <n v="0.5"/>
    <n v="7.77"/>
    <x v="162"/>
    <n v="1.0101"/>
    <n v="6.0606"/>
    <x v="4"/>
  </r>
  <r>
    <s v="WVT-88135-549"/>
    <x v="405"/>
    <x v="0"/>
    <x v="11"/>
    <x v="464"/>
    <x v="464"/>
    <s v="murione5@alexa.com"/>
    <s v="+353 (715) 989-0283"/>
    <x v="263"/>
    <x v="1"/>
    <x v="0"/>
    <s v="A-D-1"/>
    <x v="2"/>
    <x v="2"/>
    <x v="3"/>
    <n v="1"/>
    <n v="9.9499999999999993"/>
    <x v="44"/>
    <n v="0.89549999999999985"/>
    <n v="2.6864999999999997"/>
    <x v="2"/>
  </r>
  <r>
    <s v="IPA-94170-889"/>
    <x v="292"/>
    <x v="0"/>
    <x v="9"/>
    <x v="472"/>
    <x v="472"/>
    <s v="ckide6@narod.ru"/>
    <s v="+353 (866) 707-2603"/>
    <x v="230"/>
    <x v="1"/>
    <x v="0"/>
    <s v="R-L-0.2"/>
    <x v="0"/>
    <x v="1"/>
    <x v="3"/>
    <n v="0.2"/>
    <n v="3.5849999999999995"/>
    <x v="127"/>
    <n v="0.21509999999999996"/>
    <n v="0.64529999999999987"/>
    <x v="11"/>
  </r>
  <r>
    <s v="YQL-63755-365"/>
    <x v="117"/>
    <x v="3"/>
    <x v="2"/>
    <x v="473"/>
    <x v="473"/>
    <s v="cbeinee7@xinhuanet.com"/>
    <s v="+1 (205) 468-0236"/>
    <x v="38"/>
    <x v="0"/>
    <x v="0"/>
    <s v="A-M-0.2"/>
    <x v="2"/>
    <x v="0"/>
    <x v="4"/>
    <n v="0.2"/>
    <n v="3.375"/>
    <x v="72"/>
    <n v="0.30374999999999996"/>
    <n v="1.2149999999999999"/>
    <x v="8"/>
  </r>
  <r>
    <s v="RKW-81145-984"/>
    <x v="406"/>
    <x v="0"/>
    <x v="6"/>
    <x v="474"/>
    <x v="474"/>
    <s v="cbakeupe8@globo.com"/>
    <s v="+1 (320) 375-8504"/>
    <x v="267"/>
    <x v="0"/>
    <x v="1"/>
    <s v="L-L-1"/>
    <x v="3"/>
    <x v="1"/>
    <x v="3"/>
    <n v="1"/>
    <n v="15.85"/>
    <x v="46"/>
    <n v="2.0605000000000002"/>
    <n v="6.1815000000000007"/>
    <x v="12"/>
  </r>
  <r>
    <s v="MBT-23379-866"/>
    <x v="407"/>
    <x v="2"/>
    <x v="5"/>
    <x v="475"/>
    <x v="475"/>
    <s v="nhelkine9@example.com"/>
    <s v="UNKNOWN"/>
    <x v="11"/>
    <x v="0"/>
    <x v="1"/>
    <s v="L-L-1"/>
    <x v="3"/>
    <x v="1"/>
    <x v="1"/>
    <n v="1"/>
    <n v="15.85"/>
    <x v="180"/>
    <n v="2.0605000000000002"/>
    <n v="10.302500000000002"/>
    <x v="12"/>
  </r>
  <r>
    <s v="GEJ-39834-935"/>
    <x v="408"/>
    <x v="1"/>
    <x v="9"/>
    <x v="476"/>
    <x v="476"/>
    <s v="pwitheringtonea@networkadvertising.org"/>
    <s v="+1 (810) 202-8870"/>
    <x v="135"/>
    <x v="0"/>
    <x v="0"/>
    <s v="L-M-0.2"/>
    <x v="3"/>
    <x v="0"/>
    <x v="5"/>
    <n v="0.2"/>
    <n v="4.3650000000000002"/>
    <x v="50"/>
    <n v="0.56745000000000001"/>
    <n v="3.4047000000000001"/>
    <x v="4"/>
  </r>
  <r>
    <s v="KRW-91640-596"/>
    <x v="409"/>
    <x v="2"/>
    <x v="8"/>
    <x v="477"/>
    <x v="477"/>
    <s v="ttilzeyeb@hostgator.com"/>
    <s v="+1 (314) 876-7205"/>
    <x v="10"/>
    <x v="0"/>
    <x v="1"/>
    <s v="R-L-0.5"/>
    <x v="0"/>
    <x v="1"/>
    <x v="3"/>
    <n v="0.5"/>
    <n v="7.169999999999999"/>
    <x v="137"/>
    <n v="0.43019999999999992"/>
    <n v="1.2905999999999997"/>
    <x v="11"/>
  </r>
  <r>
    <s v="AOT-70449-651"/>
    <x v="410"/>
    <x v="2"/>
    <x v="1"/>
    <x v="478"/>
    <x v="478"/>
    <s v="UNKNOWN"/>
    <s v="+1 (518) 562-5402"/>
    <x v="268"/>
    <x v="0"/>
    <x v="0"/>
    <s v="R-D-2.5"/>
    <x v="0"/>
    <x v="2"/>
    <x v="1"/>
    <n v="2.5"/>
    <n v="20.584999999999997"/>
    <x v="182"/>
    <n v="1.2350999999999999"/>
    <n v="6.1754999999999995"/>
    <x v="0"/>
  </r>
  <r>
    <s v="DGC-21813-731"/>
    <x v="127"/>
    <x v="2"/>
    <x v="8"/>
    <x v="479"/>
    <x v="479"/>
    <s v="UNKNOWN"/>
    <s v="+1 (863) 303-5561"/>
    <x v="269"/>
    <x v="0"/>
    <x v="1"/>
    <s v="L-D-0.2"/>
    <x v="3"/>
    <x v="2"/>
    <x v="0"/>
    <n v="0.2"/>
    <n v="3.8849999999999998"/>
    <x v="41"/>
    <n v="0.50505"/>
    <n v="1.0101"/>
    <x v="4"/>
  </r>
  <r>
    <s v="JBE-92943-643"/>
    <x v="411"/>
    <x v="3"/>
    <x v="9"/>
    <x v="480"/>
    <x v="480"/>
    <s v="kimortsee@alexa.com"/>
    <s v="+1 (321) 156-1160"/>
    <x v="270"/>
    <x v="0"/>
    <x v="1"/>
    <s v="E-D-2.5"/>
    <x v="1"/>
    <x v="2"/>
    <x v="1"/>
    <n v="2.5"/>
    <n v="27.945"/>
    <x v="141"/>
    <n v="3.07395"/>
    <n v="15.36975"/>
    <x v="3"/>
  </r>
  <r>
    <s v="ZIL-34948-499"/>
    <x v="112"/>
    <x v="3"/>
    <x v="2"/>
    <x v="464"/>
    <x v="464"/>
    <s v="murione5@alexa.com"/>
    <s v="+353 (715) 989-0283"/>
    <x v="263"/>
    <x v="1"/>
    <x v="0"/>
    <s v="A-D-0.5"/>
    <x v="2"/>
    <x v="2"/>
    <x v="0"/>
    <n v="0.5"/>
    <n v="5.97"/>
    <x v="22"/>
    <n v="0.5373"/>
    <n v="1.0746"/>
    <x v="9"/>
  </r>
  <r>
    <s v="JSU-23781-256"/>
    <x v="412"/>
    <x v="1"/>
    <x v="0"/>
    <x v="481"/>
    <x v="481"/>
    <s v="marmisteadeg@blogtalkradio.com"/>
    <s v="+1 (504) 611-3400"/>
    <x v="32"/>
    <x v="0"/>
    <x v="1"/>
    <s v="L-D-0.2"/>
    <x v="3"/>
    <x v="2"/>
    <x v="2"/>
    <n v="0.2"/>
    <n v="3.8849999999999998"/>
    <x v="84"/>
    <n v="0.50505"/>
    <n v="0.50505"/>
    <x v="4"/>
  </r>
  <r>
    <s v="JSU-23781-256"/>
    <x v="412"/>
    <x v="1"/>
    <x v="0"/>
    <x v="481"/>
    <x v="481"/>
    <s v="marmisteadeg@blogtalkradio.com"/>
    <s v="+1 (504) 611-3400"/>
    <x v="32"/>
    <x v="0"/>
    <x v="1"/>
    <s v="R-M-1"/>
    <x v="0"/>
    <x v="0"/>
    <x v="4"/>
    <n v="1"/>
    <n v="9.9499999999999993"/>
    <x v="10"/>
    <n v="0.59699999999999998"/>
    <n v="2.3879999999999999"/>
    <x v="0"/>
  </r>
  <r>
    <s v="VPX-44956-367"/>
    <x v="413"/>
    <x v="0"/>
    <x v="1"/>
    <x v="482"/>
    <x v="482"/>
    <s v="vupstoneei@google.pl"/>
    <s v="+1 (785) 366-9983"/>
    <x v="210"/>
    <x v="0"/>
    <x v="1"/>
    <s v="R-M-0.5"/>
    <x v="0"/>
    <x v="0"/>
    <x v="1"/>
    <n v="0.5"/>
    <n v="5.97"/>
    <x v="44"/>
    <n v="0.35819999999999996"/>
    <n v="1.7909999999999999"/>
    <x v="0"/>
  </r>
  <r>
    <s v="VTB-46451-959"/>
    <x v="414"/>
    <x v="3"/>
    <x v="7"/>
    <x v="483"/>
    <x v="483"/>
    <s v="bbeelbyej@rediff.com"/>
    <s v="+353 (537) 360-4393"/>
    <x v="271"/>
    <x v="1"/>
    <x v="1"/>
    <s v="L-D-2.5"/>
    <x v="3"/>
    <x v="2"/>
    <x v="2"/>
    <n v="2.5"/>
    <n v="29.784999999999997"/>
    <x v="91"/>
    <n v="3.8720499999999998"/>
    <n v="3.8720499999999998"/>
    <x v="4"/>
  </r>
  <r>
    <s v="DNZ-11665-950"/>
    <x v="415"/>
    <x v="1"/>
    <x v="10"/>
    <x v="484"/>
    <x v="484"/>
    <s v="UNKNOWN"/>
    <s v="+1 (217) 450-8384"/>
    <x v="64"/>
    <x v="0"/>
    <x v="1"/>
    <s v="L-L-2.5"/>
    <x v="3"/>
    <x v="1"/>
    <x v="0"/>
    <n v="2.5"/>
    <n v="36.454999999999998"/>
    <x v="37"/>
    <n v="4.7391499999999995"/>
    <n v="9.4782999999999991"/>
    <x v="4"/>
  </r>
  <r>
    <s v="ITR-54735-364"/>
    <x v="416"/>
    <x v="3"/>
    <x v="2"/>
    <x v="485"/>
    <x v="485"/>
    <s v="UNKNOWN"/>
    <s v="+1 (856) 793-3491"/>
    <x v="272"/>
    <x v="0"/>
    <x v="0"/>
    <s v="R-D-0.2"/>
    <x v="0"/>
    <x v="2"/>
    <x v="1"/>
    <n v="0.2"/>
    <n v="2.6849999999999996"/>
    <x v="148"/>
    <n v="0.16109999999999997"/>
    <n v="0.80549999999999988"/>
    <x v="0"/>
  </r>
  <r>
    <s v="YDS-02797-307"/>
    <x v="417"/>
    <x v="2"/>
    <x v="1"/>
    <x v="486"/>
    <x v="486"/>
    <s v="wspeechlyem@amazon.com"/>
    <s v="+1 (206) 440-5750"/>
    <x v="208"/>
    <x v="0"/>
    <x v="0"/>
    <s v="E-M-2.5"/>
    <x v="1"/>
    <x v="0"/>
    <x v="4"/>
    <n v="2.5"/>
    <n v="31.624999999999996"/>
    <x v="177"/>
    <n v="3.4787499999999998"/>
    <n v="13.914999999999999"/>
    <x v="3"/>
  </r>
  <r>
    <s v="BPG-68988-842"/>
    <x v="418"/>
    <x v="0"/>
    <x v="10"/>
    <x v="487"/>
    <x v="487"/>
    <s v="iphillpoten@buzzfeed.com"/>
    <s v="+44 (610) 826-3107"/>
    <x v="52"/>
    <x v="2"/>
    <x v="1"/>
    <s v="E-M-0.5"/>
    <x v="1"/>
    <x v="0"/>
    <x v="1"/>
    <n v="0.5"/>
    <n v="8.25"/>
    <x v="1"/>
    <n v="0.90749999999999997"/>
    <n v="4.5374999999999996"/>
    <x v="1"/>
  </r>
  <r>
    <s v="XZG-51938-658"/>
    <x v="419"/>
    <x v="3"/>
    <x v="8"/>
    <x v="488"/>
    <x v="488"/>
    <s v="lpennaccieo@statcounter.com"/>
    <s v="+1 (254) 597-0519"/>
    <x v="273"/>
    <x v="0"/>
    <x v="1"/>
    <s v="E-L-0.5"/>
    <x v="1"/>
    <x v="1"/>
    <x v="5"/>
    <n v="0.5"/>
    <n v="8.91"/>
    <x v="119"/>
    <n v="0.98009999999999997"/>
    <n v="5.8805999999999994"/>
    <x v="1"/>
  </r>
  <r>
    <s v="KAR-24978-271"/>
    <x v="420"/>
    <x v="0"/>
    <x v="4"/>
    <x v="489"/>
    <x v="489"/>
    <s v="sarpinep@moonfruit.com"/>
    <s v="+1 (804) 588-4160"/>
    <x v="8"/>
    <x v="0"/>
    <x v="1"/>
    <s v="R-M-1"/>
    <x v="0"/>
    <x v="0"/>
    <x v="5"/>
    <n v="1"/>
    <n v="9.9499999999999993"/>
    <x v="33"/>
    <n v="0.59699999999999998"/>
    <n v="3.5819999999999999"/>
    <x v="0"/>
  </r>
  <r>
    <s v="FQK-28730-361"/>
    <x v="421"/>
    <x v="2"/>
    <x v="8"/>
    <x v="490"/>
    <x v="490"/>
    <s v="dfrieseq@cargocollective.com"/>
    <s v="+1 (419) 138-9171"/>
    <x v="45"/>
    <x v="0"/>
    <x v="1"/>
    <s v="R-M-1"/>
    <x v="0"/>
    <x v="0"/>
    <x v="5"/>
    <n v="1"/>
    <n v="9.9499999999999993"/>
    <x v="33"/>
    <n v="0.59699999999999998"/>
    <n v="3.5819999999999999"/>
    <x v="0"/>
  </r>
  <r>
    <s v="BGB-67996-089"/>
    <x v="422"/>
    <x v="2"/>
    <x v="4"/>
    <x v="491"/>
    <x v="491"/>
    <s v="rsharerer@flavors.me"/>
    <s v="+1 (304) 632-1951"/>
    <x v="90"/>
    <x v="0"/>
    <x v="1"/>
    <s v="R-D-1"/>
    <x v="0"/>
    <x v="2"/>
    <x v="1"/>
    <n v="1"/>
    <n v="8.9499999999999993"/>
    <x v="153"/>
    <n v="0.53699999999999992"/>
    <n v="2.6849999999999996"/>
    <x v="11"/>
  </r>
  <r>
    <s v="XMC-20620-809"/>
    <x v="423"/>
    <x v="1"/>
    <x v="5"/>
    <x v="492"/>
    <x v="492"/>
    <s v="nnasebyes@umich.edu"/>
    <s v="+1 (407) 225-7234"/>
    <x v="274"/>
    <x v="0"/>
    <x v="0"/>
    <s v="E-M-0.5"/>
    <x v="1"/>
    <x v="0"/>
    <x v="0"/>
    <n v="0.5"/>
    <n v="8.25"/>
    <x v="38"/>
    <n v="0.90749999999999997"/>
    <n v="1.8149999999999999"/>
    <x v="3"/>
  </r>
  <r>
    <s v="ZSO-58292-191"/>
    <x v="109"/>
    <x v="2"/>
    <x v="1"/>
    <x v="493"/>
    <x v="493"/>
    <s v="UNKNOWN"/>
    <s v="+1 (214) 171-1701"/>
    <x v="68"/>
    <x v="0"/>
    <x v="1"/>
    <s v="R-D-0.5"/>
    <x v="0"/>
    <x v="2"/>
    <x v="4"/>
    <n v="0.5"/>
    <n v="5.3699999999999992"/>
    <x v="155"/>
    <n v="0.32219999999999993"/>
    <n v="1.2887999999999997"/>
    <x v="7"/>
  </r>
  <r>
    <s v="LWJ-06793-303"/>
    <x v="204"/>
    <x v="2"/>
    <x v="4"/>
    <x v="494"/>
    <x v="494"/>
    <s v="koculleneu@ca.gov"/>
    <s v="+353 (284) 183-7528"/>
    <x v="72"/>
    <x v="1"/>
    <x v="0"/>
    <s v="R-M-2.5"/>
    <x v="0"/>
    <x v="0"/>
    <x v="0"/>
    <n v="2.5"/>
    <n v="22.884999999999998"/>
    <x v="135"/>
    <n v="1.3730999999999998"/>
    <n v="2.7461999999999995"/>
    <x v="7"/>
  </r>
  <r>
    <s v="FLM-82229-989"/>
    <x v="424"/>
    <x v="2"/>
    <x v="4"/>
    <x v="495"/>
    <x v="495"/>
    <s v="UNKNOWN"/>
    <s v="+353 (316) 279-4429"/>
    <x v="104"/>
    <x v="1"/>
    <x v="1"/>
    <s v="L-L-0.2"/>
    <x v="3"/>
    <x v="1"/>
    <x v="0"/>
    <n v="0.2"/>
    <n v="4.7549999999999999"/>
    <x v="54"/>
    <n v="0.61814999999999998"/>
    <n v="1.2363"/>
    <x v="4"/>
  </r>
  <r>
    <s v="CPV-90280-133"/>
    <x v="13"/>
    <x v="0"/>
    <x v="6"/>
    <x v="464"/>
    <x v="464"/>
    <s v="murione5@alexa.com"/>
    <s v="+353 (715) 989-0283"/>
    <x v="263"/>
    <x v="1"/>
    <x v="0"/>
    <s v="R-D-0.2"/>
    <x v="0"/>
    <x v="2"/>
    <x v="3"/>
    <n v="0.2"/>
    <n v="2.6849999999999996"/>
    <x v="36"/>
    <n v="0.16109999999999997"/>
    <n v="0.4832999999999999"/>
    <x v="11"/>
  </r>
  <r>
    <s v="OGW-60685-912"/>
    <x v="224"/>
    <x v="3"/>
    <x v="11"/>
    <x v="496"/>
    <x v="496"/>
    <s v="hbranganex@woothemes.com"/>
    <s v="UNKNOWN"/>
    <x v="98"/>
    <x v="0"/>
    <x v="0"/>
    <s v="E-D-2.5"/>
    <x v="1"/>
    <x v="2"/>
    <x v="4"/>
    <n v="2.5"/>
    <n v="27.945"/>
    <x v="150"/>
    <n v="3.07395"/>
    <n v="12.2958"/>
    <x v="3"/>
  </r>
  <r>
    <s v="DEC-11160-362"/>
    <x v="220"/>
    <x v="1"/>
    <x v="7"/>
    <x v="497"/>
    <x v="497"/>
    <s v="agallyoney@engadget.com"/>
    <s v="UNKNOWN"/>
    <x v="275"/>
    <x v="0"/>
    <x v="0"/>
    <s v="R-D-0.2"/>
    <x v="0"/>
    <x v="2"/>
    <x v="4"/>
    <n v="0.2"/>
    <n v="2.6849999999999996"/>
    <x v="175"/>
    <n v="0.16109999999999997"/>
    <n v="0.64439999999999986"/>
    <x v="7"/>
  </r>
  <r>
    <s v="WCT-07869-499"/>
    <x v="91"/>
    <x v="1"/>
    <x v="7"/>
    <x v="498"/>
    <x v="498"/>
    <s v="bdomangeez@yahoo.co.jp"/>
    <s v="UNKNOWN"/>
    <x v="27"/>
    <x v="0"/>
    <x v="1"/>
    <s v="R-D-0.5"/>
    <x v="0"/>
    <x v="2"/>
    <x v="1"/>
    <n v="0.5"/>
    <n v="5.3699999999999992"/>
    <x v="51"/>
    <n v="0.32219999999999993"/>
    <n v="1.6109999999999998"/>
    <x v="0"/>
  </r>
  <r>
    <s v="FHD-89872-325"/>
    <x v="425"/>
    <x v="0"/>
    <x v="8"/>
    <x v="499"/>
    <x v="499"/>
    <s v="koslerf0@gmpg.org"/>
    <s v="+1 (517) 647-5356"/>
    <x v="133"/>
    <x v="0"/>
    <x v="0"/>
    <s v="L-L-1"/>
    <x v="3"/>
    <x v="1"/>
    <x v="4"/>
    <n v="1"/>
    <n v="15.85"/>
    <x v="165"/>
    <n v="2.0605000000000002"/>
    <n v="8.2420000000000009"/>
    <x v="4"/>
  </r>
  <r>
    <s v="AZF-45991-584"/>
    <x v="426"/>
    <x v="0"/>
    <x v="7"/>
    <x v="500"/>
    <x v="500"/>
    <s v="UNKNOWN"/>
    <s v="+353 (963) 987-6580"/>
    <x v="276"/>
    <x v="1"/>
    <x v="0"/>
    <s v="A-D-2.5"/>
    <x v="2"/>
    <x v="2"/>
    <x v="2"/>
    <n v="2.5"/>
    <n v="22.884999999999998"/>
    <x v="156"/>
    <n v="2.0596499999999995"/>
    <n v="2.0596499999999995"/>
    <x v="8"/>
  </r>
  <r>
    <s v="MDG-14481-513"/>
    <x v="427"/>
    <x v="1"/>
    <x v="5"/>
    <x v="501"/>
    <x v="501"/>
    <s v="zpellettf2@dailymotion.com"/>
    <s v="+1 (318) 218-5955"/>
    <x v="212"/>
    <x v="0"/>
    <x v="1"/>
    <s v="A-M-2.5"/>
    <x v="2"/>
    <x v="0"/>
    <x v="4"/>
    <n v="2.5"/>
    <n v="25.874999999999996"/>
    <x v="68"/>
    <n v="2.3287499999999994"/>
    <n v="9.3149999999999977"/>
    <x v="2"/>
  </r>
  <r>
    <s v="OFN-49424-848"/>
    <x v="428"/>
    <x v="1"/>
    <x v="2"/>
    <x v="502"/>
    <x v="502"/>
    <s v="isprakesf3@spiegel.de"/>
    <s v="+1 (408) 319-9787"/>
    <x v="7"/>
    <x v="0"/>
    <x v="1"/>
    <s v="R-L-2.5"/>
    <x v="0"/>
    <x v="1"/>
    <x v="0"/>
    <n v="2.5"/>
    <n v="27.484999999999996"/>
    <x v="4"/>
    <n v="1.6490999999999998"/>
    <n v="3.2981999999999996"/>
    <x v="0"/>
  </r>
  <r>
    <s v="NFA-03411-746"/>
    <x v="383"/>
    <x v="3"/>
    <x v="10"/>
    <x v="503"/>
    <x v="503"/>
    <s v="hfromantf4@ucsd.edu"/>
    <s v="+1 (610) 156-1700"/>
    <x v="11"/>
    <x v="0"/>
    <x v="1"/>
    <s v="A-L-0.5"/>
    <x v="2"/>
    <x v="1"/>
    <x v="0"/>
    <n v="0.5"/>
    <n v="7.77"/>
    <x v="42"/>
    <n v="0.69929999999999992"/>
    <n v="1.3985999999999998"/>
    <x v="2"/>
  </r>
  <r>
    <s v="CYM-74988-450"/>
    <x v="156"/>
    <x v="3"/>
    <x v="7"/>
    <x v="504"/>
    <x v="504"/>
    <s v="rflearf5@artisteer.com"/>
    <s v="+44 (271) 881-4912"/>
    <x v="172"/>
    <x v="2"/>
    <x v="1"/>
    <s v="L-D-0.2"/>
    <x v="3"/>
    <x v="2"/>
    <x v="4"/>
    <n v="0.2"/>
    <n v="3.8849999999999998"/>
    <x v="42"/>
    <n v="0.50505"/>
    <n v="2.0202"/>
    <x v="4"/>
  </r>
  <r>
    <s v="WTV-24996-658"/>
    <x v="429"/>
    <x v="3"/>
    <x v="7"/>
    <x v="505"/>
    <x v="505"/>
    <s v="UNKNOWN"/>
    <s v="+353 (361) 732-3444"/>
    <x v="277"/>
    <x v="1"/>
    <x v="1"/>
    <s v="E-D-2.5"/>
    <x v="1"/>
    <x v="2"/>
    <x v="3"/>
    <n v="2.5"/>
    <n v="27.945"/>
    <x v="171"/>
    <n v="3.07395"/>
    <n v="9.2218499999999999"/>
    <x v="1"/>
  </r>
  <r>
    <s v="DSL-69915-544"/>
    <x v="103"/>
    <x v="1"/>
    <x v="6"/>
    <x v="506"/>
    <x v="506"/>
    <s v="wlightollersf9@baidu.com"/>
    <s v="+1 (646) 793-8756"/>
    <x v="15"/>
    <x v="0"/>
    <x v="0"/>
    <s v="R-L-0.2"/>
    <x v="0"/>
    <x v="1"/>
    <x v="3"/>
    <n v="0.2"/>
    <n v="3.5849999999999995"/>
    <x v="127"/>
    <n v="0.21509999999999996"/>
    <n v="0.64529999999999987"/>
    <x v="11"/>
  </r>
  <r>
    <s v="NBT-35757-542"/>
    <x v="361"/>
    <x v="1"/>
    <x v="2"/>
    <x v="507"/>
    <x v="507"/>
    <s v="bmundenf8@elpais.com"/>
    <s v="+1 (405) 290-3207"/>
    <x v="101"/>
    <x v="0"/>
    <x v="0"/>
    <s v="E-L-0.2"/>
    <x v="1"/>
    <x v="1"/>
    <x v="3"/>
    <n v="0.2"/>
    <n v="4.4550000000000001"/>
    <x v="77"/>
    <n v="0.49004999999999999"/>
    <n v="1.4701499999999998"/>
    <x v="1"/>
  </r>
  <r>
    <s v="OYU-25085-528"/>
    <x v="120"/>
    <x v="1"/>
    <x v="10"/>
    <x v="506"/>
    <x v="506"/>
    <s v="wlightollersf9@baidu.com"/>
    <s v="+1 (646) 793-8756"/>
    <x v="15"/>
    <x v="0"/>
    <x v="0"/>
    <s v="E-L-0.2"/>
    <x v="1"/>
    <x v="1"/>
    <x v="4"/>
    <n v="0.2"/>
    <n v="4.4550000000000001"/>
    <x v="58"/>
    <n v="0.49004999999999999"/>
    <n v="1.9601999999999999"/>
    <x v="3"/>
  </r>
  <r>
    <s v="XCG-07109-195"/>
    <x v="430"/>
    <x v="3"/>
    <x v="9"/>
    <x v="508"/>
    <x v="508"/>
    <s v="nbrakespearfa@rediff.com"/>
    <s v="+1 (973) 380-3976"/>
    <x v="55"/>
    <x v="0"/>
    <x v="0"/>
    <s v="L-D-0.2"/>
    <x v="3"/>
    <x v="2"/>
    <x v="5"/>
    <n v="0.2"/>
    <n v="3.8849999999999998"/>
    <x v="102"/>
    <n v="0.50505"/>
    <n v="3.0303"/>
    <x v="4"/>
  </r>
  <r>
    <s v="YZA-25234-630"/>
    <x v="125"/>
    <x v="2"/>
    <x v="5"/>
    <x v="509"/>
    <x v="509"/>
    <s v="mglawsopfb@reverbnation.com"/>
    <s v="+1 (203) 608-9937"/>
    <x v="226"/>
    <x v="0"/>
    <x v="1"/>
    <s v="E-D-0.2"/>
    <x v="1"/>
    <x v="2"/>
    <x v="0"/>
    <n v="0.2"/>
    <n v="3.645"/>
    <x v="35"/>
    <n v="0.40095000000000003"/>
    <n v="0.80190000000000006"/>
    <x v="3"/>
  </r>
  <r>
    <s v="OKU-29966-417"/>
    <x v="431"/>
    <x v="0"/>
    <x v="7"/>
    <x v="510"/>
    <x v="510"/>
    <s v="galbertsfc@etsy.com"/>
    <s v="+44 (788) 686-0408"/>
    <x v="197"/>
    <x v="2"/>
    <x v="0"/>
    <s v="E-L-0.2"/>
    <x v="1"/>
    <x v="1"/>
    <x v="4"/>
    <n v="0.2"/>
    <n v="4.4550000000000001"/>
    <x v="58"/>
    <n v="0.49004999999999999"/>
    <n v="1.9601999999999999"/>
    <x v="3"/>
  </r>
  <r>
    <s v="MEX-29350-659"/>
    <x v="40"/>
    <x v="3"/>
    <x v="0"/>
    <x v="511"/>
    <x v="511"/>
    <s v="vpolglasefd@about.me"/>
    <s v="UNKNOWN"/>
    <x v="45"/>
    <x v="0"/>
    <x v="1"/>
    <s v="E-M-1"/>
    <x v="1"/>
    <x v="0"/>
    <x v="1"/>
    <n v="1"/>
    <n v="13.75"/>
    <x v="85"/>
    <n v="1.5125"/>
    <n v="7.5625"/>
    <x v="3"/>
  </r>
  <r>
    <s v="NOY-99738-977"/>
    <x v="432"/>
    <x v="0"/>
    <x v="0"/>
    <x v="512"/>
    <x v="512"/>
    <s v="UNKNOWN"/>
    <s v="+44 (572) 727-1868"/>
    <x v="176"/>
    <x v="2"/>
    <x v="0"/>
    <s v="R-L-2.5"/>
    <x v="0"/>
    <x v="1"/>
    <x v="0"/>
    <n v="2.5"/>
    <n v="27.484999999999996"/>
    <x v="4"/>
    <n v="1.6490999999999998"/>
    <n v="3.2981999999999996"/>
    <x v="0"/>
  </r>
  <r>
    <s v="TCR-01064-030"/>
    <x v="254"/>
    <x v="1"/>
    <x v="6"/>
    <x v="513"/>
    <x v="513"/>
    <s v="sbuschff@so-net.ne.jp"/>
    <s v="+353 (953) 333-8754"/>
    <x v="278"/>
    <x v="1"/>
    <x v="1"/>
    <s v="E-M-1"/>
    <x v="1"/>
    <x v="0"/>
    <x v="5"/>
    <n v="1"/>
    <n v="13.75"/>
    <x v="121"/>
    <n v="1.5125"/>
    <n v="9.0749999999999993"/>
    <x v="1"/>
  </r>
  <r>
    <s v="YUL-42750-776"/>
    <x v="219"/>
    <x v="1"/>
    <x v="11"/>
    <x v="514"/>
    <x v="514"/>
    <s v="craisbeckfg@webnode.com"/>
    <s v="UNKNOWN"/>
    <x v="212"/>
    <x v="0"/>
    <x v="0"/>
    <s v="L-M-0.2"/>
    <x v="3"/>
    <x v="0"/>
    <x v="0"/>
    <n v="0.2"/>
    <n v="4.3650000000000002"/>
    <x v="31"/>
    <n v="0.56745000000000001"/>
    <n v="1.1349"/>
    <x v="4"/>
  </r>
  <r>
    <s v="XQJ-86887-506"/>
    <x v="433"/>
    <x v="1"/>
    <x v="11"/>
    <x v="464"/>
    <x v="464"/>
    <s v="murione5@alexa.com"/>
    <s v="+353 (715) 989-0283"/>
    <x v="263"/>
    <x v="1"/>
    <x v="0"/>
    <s v="E-L-1"/>
    <x v="1"/>
    <x v="1"/>
    <x v="4"/>
    <n v="1"/>
    <n v="14.85"/>
    <x v="48"/>
    <n v="1.6335"/>
    <n v="6.5339999999999998"/>
    <x v="3"/>
  </r>
  <r>
    <s v="CUN-90044-279"/>
    <x v="434"/>
    <x v="1"/>
    <x v="4"/>
    <x v="515"/>
    <x v="515"/>
    <s v="UNKNOWN"/>
    <s v="+1 (859) 628-7241"/>
    <x v="193"/>
    <x v="0"/>
    <x v="0"/>
    <s v="L-D-0.2"/>
    <x v="3"/>
    <x v="2"/>
    <x v="4"/>
    <n v="0.2"/>
    <n v="3.8849999999999998"/>
    <x v="42"/>
    <n v="0.50505"/>
    <n v="2.0202"/>
    <x v="4"/>
  </r>
  <r>
    <s v="ICC-73030-502"/>
    <x v="435"/>
    <x v="2"/>
    <x v="8"/>
    <x v="516"/>
    <x v="516"/>
    <s v="raynoldfj@ustream.tv"/>
    <s v="+1 (414) 429-0919"/>
    <x v="166"/>
    <x v="0"/>
    <x v="0"/>
    <s v="A-L-1"/>
    <x v="2"/>
    <x v="1"/>
    <x v="3"/>
    <n v="1"/>
    <n v="12.95"/>
    <x v="5"/>
    <n v="1.1655"/>
    <n v="3.4965000000000002"/>
    <x v="9"/>
  </r>
  <r>
    <s v="ADP-04506-084"/>
    <x v="436"/>
    <x v="1"/>
    <x v="2"/>
    <x v="517"/>
    <x v="517"/>
    <s v="UNKNOWN"/>
    <s v="+1 (281) 416-9557"/>
    <x v="279"/>
    <x v="0"/>
    <x v="0"/>
    <s v="E-M-2.5"/>
    <x v="1"/>
    <x v="0"/>
    <x v="5"/>
    <n v="2.5"/>
    <n v="31.624999999999996"/>
    <x v="152"/>
    <n v="3.4787499999999998"/>
    <n v="20.872499999999999"/>
    <x v="5"/>
  </r>
  <r>
    <s v="PNU-22150-408"/>
    <x v="437"/>
    <x v="0"/>
    <x v="3"/>
    <x v="518"/>
    <x v="518"/>
    <s v="UNKNOWN"/>
    <s v="+353 (652) 208-7526"/>
    <x v="280"/>
    <x v="1"/>
    <x v="0"/>
    <s v="A-D-0.2"/>
    <x v="2"/>
    <x v="2"/>
    <x v="5"/>
    <n v="0.2"/>
    <n v="2.9849999999999999"/>
    <x v="8"/>
    <n v="0.26865"/>
    <n v="1.6118999999999999"/>
    <x v="2"/>
  </r>
  <r>
    <s v="VSQ-07182-513"/>
    <x v="438"/>
    <x v="0"/>
    <x v="2"/>
    <x v="519"/>
    <x v="519"/>
    <s v="bgrecefm@naver.com"/>
    <s v="+44 (933) 508-3795"/>
    <x v="281"/>
    <x v="2"/>
    <x v="1"/>
    <s v="L-L-0.2"/>
    <x v="3"/>
    <x v="1"/>
    <x v="5"/>
    <n v="0.2"/>
    <n v="4.7549999999999999"/>
    <x v="32"/>
    <n v="0.61814999999999998"/>
    <n v="3.7088999999999999"/>
    <x v="10"/>
  </r>
  <r>
    <s v="SPF-31673-217"/>
    <x v="439"/>
    <x v="3"/>
    <x v="1"/>
    <x v="520"/>
    <x v="520"/>
    <s v="dflintiffg1@e-recht24.de"/>
    <s v="UNKNOWN"/>
    <x v="282"/>
    <x v="2"/>
    <x v="1"/>
    <s v="E-M-1"/>
    <x v="1"/>
    <x v="0"/>
    <x v="5"/>
    <n v="1"/>
    <n v="13.75"/>
    <x v="121"/>
    <n v="1.5125"/>
    <n v="9.0749999999999993"/>
    <x v="1"/>
  </r>
  <r>
    <s v="NEX-63825-598"/>
    <x v="175"/>
    <x v="3"/>
    <x v="10"/>
    <x v="521"/>
    <x v="521"/>
    <s v="athysfo@cdc.gov"/>
    <s v="+1 (865) 217-6208"/>
    <x v="203"/>
    <x v="0"/>
    <x v="1"/>
    <s v="R-L-0.5"/>
    <x v="0"/>
    <x v="1"/>
    <x v="0"/>
    <n v="0.5"/>
    <n v="7.169999999999999"/>
    <x v="79"/>
    <n v="0.43019999999999992"/>
    <n v="0.86039999999999983"/>
    <x v="7"/>
  </r>
  <r>
    <s v="XPG-66112-335"/>
    <x v="440"/>
    <x v="3"/>
    <x v="2"/>
    <x v="522"/>
    <x v="522"/>
    <s v="jchuggfp@about.me"/>
    <s v="+1 (913) 466-8319"/>
    <x v="153"/>
    <x v="0"/>
    <x v="1"/>
    <s v="R-D-2.5"/>
    <x v="0"/>
    <x v="2"/>
    <x v="4"/>
    <n v="2.5"/>
    <n v="20.584999999999997"/>
    <x v="18"/>
    <n v="1.2350999999999999"/>
    <n v="4.9403999999999995"/>
    <x v="0"/>
  </r>
  <r>
    <s v="NSQ-72210-345"/>
    <x v="441"/>
    <x v="1"/>
    <x v="0"/>
    <x v="523"/>
    <x v="523"/>
    <s v="akelstonfq@sakura.ne.jp"/>
    <s v="+1 (954) 981-8804"/>
    <x v="42"/>
    <x v="0"/>
    <x v="0"/>
    <s v="A-M-0.2"/>
    <x v="2"/>
    <x v="0"/>
    <x v="5"/>
    <n v="0.2"/>
    <n v="3.375"/>
    <x v="16"/>
    <n v="0.30374999999999996"/>
    <n v="1.8224999999999998"/>
    <x v="8"/>
  </r>
  <r>
    <s v="XRR-28376-277"/>
    <x v="442"/>
    <x v="1"/>
    <x v="5"/>
    <x v="524"/>
    <x v="524"/>
    <s v="UNKNOWN"/>
    <s v="+353 (921) 742-1111"/>
    <x v="21"/>
    <x v="1"/>
    <x v="1"/>
    <s v="R-L-2.5"/>
    <x v="0"/>
    <x v="1"/>
    <x v="5"/>
    <n v="2.5"/>
    <n v="27.484999999999996"/>
    <x v="183"/>
    <n v="1.6490999999999998"/>
    <n v="9.8945999999999987"/>
    <x v="0"/>
  </r>
  <r>
    <s v="WHQ-25197-475"/>
    <x v="443"/>
    <x v="1"/>
    <x v="11"/>
    <x v="525"/>
    <x v="525"/>
    <s v="cmottramfs@harvard.edu"/>
    <s v="+1 (512) 333-9861"/>
    <x v="79"/>
    <x v="0"/>
    <x v="0"/>
    <s v="L-L-0.2"/>
    <x v="3"/>
    <x v="1"/>
    <x v="4"/>
    <n v="0.2"/>
    <n v="4.7549999999999999"/>
    <x v="81"/>
    <n v="0.61814999999999998"/>
    <n v="2.4725999999999999"/>
    <x v="4"/>
  </r>
  <r>
    <s v="HMB-30634-745"/>
    <x v="216"/>
    <x v="3"/>
    <x v="10"/>
    <x v="520"/>
    <x v="520"/>
    <s v="dflintiffg1@e-recht24.de"/>
    <s v="UNKNOWN"/>
    <x v="282"/>
    <x v="2"/>
    <x v="1"/>
    <s v="A-D-2.5"/>
    <x v="2"/>
    <x v="2"/>
    <x v="5"/>
    <n v="2.5"/>
    <n v="22.884999999999998"/>
    <x v="170"/>
    <n v="2.0596499999999995"/>
    <n v="12.357899999999997"/>
    <x v="8"/>
  </r>
  <r>
    <s v="XTL-68000-371"/>
    <x v="444"/>
    <x v="3"/>
    <x v="8"/>
    <x v="526"/>
    <x v="526"/>
    <s v="dsangwinfu@weebly.com"/>
    <s v="+1 (301) 879-4079"/>
    <x v="283"/>
    <x v="0"/>
    <x v="1"/>
    <s v="A-M-0.5"/>
    <x v="2"/>
    <x v="0"/>
    <x v="4"/>
    <n v="0.5"/>
    <n v="6.75"/>
    <x v="25"/>
    <n v="0.60749999999999993"/>
    <n v="2.4299999999999997"/>
    <x v="8"/>
  </r>
  <r>
    <s v="YES-51109-625"/>
    <x v="37"/>
    <x v="2"/>
    <x v="4"/>
    <x v="527"/>
    <x v="527"/>
    <s v="eaizikowitzfv@virginia.edu"/>
    <s v="+44 (148) 635-3706"/>
    <x v="284"/>
    <x v="2"/>
    <x v="1"/>
    <s v="E-L-0.5"/>
    <x v="1"/>
    <x v="1"/>
    <x v="4"/>
    <n v="0.5"/>
    <n v="8.91"/>
    <x v="70"/>
    <n v="0.98009999999999997"/>
    <n v="3.9203999999999999"/>
    <x v="3"/>
  </r>
  <r>
    <s v="EAY-89850-211"/>
    <x v="445"/>
    <x v="0"/>
    <x v="10"/>
    <x v="528"/>
    <x v="528"/>
    <s v="UNKNOWN"/>
    <s v="UNKNOWN"/>
    <x v="148"/>
    <x v="0"/>
    <x v="0"/>
    <s v="A-D-0.2"/>
    <x v="2"/>
    <x v="2"/>
    <x v="0"/>
    <n v="0.2"/>
    <n v="2.9849999999999999"/>
    <x v="9"/>
    <n v="0.26865"/>
    <n v="0.5373"/>
    <x v="9"/>
  </r>
  <r>
    <s v="IOQ-84840-827"/>
    <x v="446"/>
    <x v="0"/>
    <x v="11"/>
    <x v="529"/>
    <x v="529"/>
    <s v="cvenourfx@ask.com"/>
    <s v="+1 (318) 578-8039"/>
    <x v="212"/>
    <x v="0"/>
    <x v="1"/>
    <s v="A-M-1"/>
    <x v="2"/>
    <x v="0"/>
    <x v="5"/>
    <n v="1"/>
    <n v="11.25"/>
    <x v="173"/>
    <n v="1.0125"/>
    <n v="6.0749999999999993"/>
    <x v="8"/>
  </r>
  <r>
    <s v="FBD-56220-430"/>
    <x v="245"/>
    <x v="2"/>
    <x v="5"/>
    <x v="530"/>
    <x v="530"/>
    <s v="mharbyfy@163.com"/>
    <s v="UNKNOWN"/>
    <x v="48"/>
    <x v="0"/>
    <x v="0"/>
    <s v="R-L-0.2"/>
    <x v="0"/>
    <x v="1"/>
    <x v="5"/>
    <n v="0.2"/>
    <n v="3.5849999999999995"/>
    <x v="137"/>
    <n v="0.21509999999999996"/>
    <n v="1.2905999999999997"/>
    <x v="11"/>
  </r>
  <r>
    <s v="COV-52659-202"/>
    <x v="447"/>
    <x v="1"/>
    <x v="10"/>
    <x v="531"/>
    <x v="531"/>
    <s v="rthickpennyfz@cafepress.com"/>
    <s v="+1 (213) 234-9242"/>
    <x v="6"/>
    <x v="0"/>
    <x v="1"/>
    <s v="L-M-2.5"/>
    <x v="3"/>
    <x v="0"/>
    <x v="0"/>
    <n v="2.5"/>
    <n v="33.464999999999996"/>
    <x v="174"/>
    <n v="4.3504499999999995"/>
    <n v="8.700899999999999"/>
    <x v="4"/>
  </r>
  <r>
    <s v="YUO-76652-814"/>
    <x v="448"/>
    <x v="1"/>
    <x v="8"/>
    <x v="532"/>
    <x v="532"/>
    <s v="pormerodg0@redcross.org"/>
    <s v="+1 (919) 491-2772"/>
    <x v="285"/>
    <x v="0"/>
    <x v="1"/>
    <s v="A-D-0.2"/>
    <x v="2"/>
    <x v="2"/>
    <x v="5"/>
    <n v="0.2"/>
    <n v="2.9849999999999999"/>
    <x v="8"/>
    <n v="0.26865"/>
    <n v="1.6118999999999999"/>
    <x v="2"/>
  </r>
  <r>
    <s v="PBT-36926-102"/>
    <x v="344"/>
    <x v="1"/>
    <x v="3"/>
    <x v="520"/>
    <x v="520"/>
    <s v="dflintiffg1@e-recht24.de"/>
    <s v="UNKNOWN"/>
    <x v="282"/>
    <x v="2"/>
    <x v="1"/>
    <s v="L-M-1"/>
    <x v="3"/>
    <x v="0"/>
    <x v="4"/>
    <n v="1"/>
    <n v="14.55"/>
    <x v="125"/>
    <n v="1.8915000000000002"/>
    <n v="7.5660000000000007"/>
    <x v="4"/>
  </r>
  <r>
    <s v="BLV-60087-454"/>
    <x v="152"/>
    <x v="2"/>
    <x v="1"/>
    <x v="533"/>
    <x v="533"/>
    <s v="tzanettig2@gravatar.com"/>
    <s v="+353 (351) 897-2630"/>
    <x v="286"/>
    <x v="1"/>
    <x v="1"/>
    <s v="E-L-0.2"/>
    <x v="1"/>
    <x v="1"/>
    <x v="3"/>
    <n v="0.2"/>
    <n v="4.4550000000000001"/>
    <x v="77"/>
    <n v="0.49004999999999999"/>
    <n v="1.4701499999999998"/>
    <x v="1"/>
  </r>
  <r>
    <s v="BLV-60087-454"/>
    <x v="152"/>
    <x v="2"/>
    <x v="1"/>
    <x v="533"/>
    <x v="533"/>
    <s v="tzanettig2@gravatar.com"/>
    <s v="+353 (351) 897-2630"/>
    <x v="286"/>
    <x v="1"/>
    <x v="1"/>
    <s v="A-M-0.5"/>
    <x v="2"/>
    <x v="0"/>
    <x v="1"/>
    <n v="0.5"/>
    <n v="6.75"/>
    <x v="65"/>
    <n v="0.60749999999999993"/>
    <n v="3.0374999999999996"/>
    <x v="8"/>
  </r>
  <r>
    <s v="QYC-63914-195"/>
    <x v="449"/>
    <x v="3"/>
    <x v="5"/>
    <x v="534"/>
    <x v="534"/>
    <s v="rkirtleyg4@hatena.ne.jp"/>
    <s v="+1 (626) 635-6367"/>
    <x v="127"/>
    <x v="0"/>
    <x v="0"/>
    <s v="E-L-1"/>
    <x v="1"/>
    <x v="1"/>
    <x v="3"/>
    <n v="1"/>
    <n v="14.85"/>
    <x v="69"/>
    <n v="1.6335"/>
    <n v="4.9005000000000001"/>
    <x v="5"/>
  </r>
  <r>
    <s v="OIB-77163-890"/>
    <x v="450"/>
    <x v="3"/>
    <x v="9"/>
    <x v="535"/>
    <x v="535"/>
    <s v="cclemencetg5@weather.com"/>
    <s v="UNKNOWN"/>
    <x v="38"/>
    <x v="2"/>
    <x v="0"/>
    <s v="E-L-0.5"/>
    <x v="1"/>
    <x v="1"/>
    <x v="1"/>
    <n v="0.5"/>
    <n v="8.91"/>
    <x v="69"/>
    <n v="0.98009999999999997"/>
    <n v="4.9005000000000001"/>
    <x v="5"/>
  </r>
  <r>
    <s v="SGS-87525-238"/>
    <x v="451"/>
    <x v="1"/>
    <x v="2"/>
    <x v="536"/>
    <x v="536"/>
    <s v="rdonetg6@oakley.com"/>
    <s v="+1 (804) 583-2067"/>
    <x v="8"/>
    <x v="0"/>
    <x v="1"/>
    <s v="E-D-1"/>
    <x v="1"/>
    <x v="2"/>
    <x v="1"/>
    <n v="1"/>
    <n v="12.15"/>
    <x v="184"/>
    <n v="1.3365"/>
    <n v="6.6825000000000001"/>
    <x v="3"/>
  </r>
  <r>
    <s v="GQR-12490-152"/>
    <x v="83"/>
    <x v="0"/>
    <x v="6"/>
    <x v="537"/>
    <x v="537"/>
    <s v="sgaweng7@creativecommons.org"/>
    <s v="+1 (571) 317-3089"/>
    <x v="287"/>
    <x v="0"/>
    <x v="0"/>
    <s v="R-L-0.2"/>
    <x v="0"/>
    <x v="1"/>
    <x v="2"/>
    <n v="0.2"/>
    <n v="3.5849999999999995"/>
    <x v="60"/>
    <n v="0.21509999999999996"/>
    <n v="0.21509999999999996"/>
    <x v="7"/>
  </r>
  <r>
    <s v="UOJ-28238-299"/>
    <x v="452"/>
    <x v="1"/>
    <x v="6"/>
    <x v="538"/>
    <x v="538"/>
    <s v="rreadieg8@guardian.co.uk"/>
    <s v="+1 (775) 993-8273"/>
    <x v="107"/>
    <x v="0"/>
    <x v="1"/>
    <s v="R-L-0.2"/>
    <x v="0"/>
    <x v="1"/>
    <x v="5"/>
    <n v="0.2"/>
    <n v="3.5849999999999995"/>
    <x v="137"/>
    <n v="0.21509999999999996"/>
    <n v="1.2905999999999997"/>
    <x v="11"/>
  </r>
  <r>
    <s v="ETD-58130-674"/>
    <x v="453"/>
    <x v="1"/>
    <x v="11"/>
    <x v="539"/>
    <x v="539"/>
    <s v="cverissimogh@theglobeandmail.com"/>
    <s v="UNKNOWN"/>
    <x v="26"/>
    <x v="2"/>
    <x v="0"/>
    <s v="E-M-0.5"/>
    <x v="1"/>
    <x v="0"/>
    <x v="0"/>
    <n v="0.5"/>
    <n v="8.25"/>
    <x v="38"/>
    <n v="0.90749999999999997"/>
    <n v="1.8149999999999999"/>
    <x v="3"/>
  </r>
  <r>
    <s v="UPF-60123-025"/>
    <x v="454"/>
    <x v="3"/>
    <x v="10"/>
    <x v="540"/>
    <x v="540"/>
    <s v="UNKNOWN"/>
    <s v="+1 (612) 477-9298"/>
    <x v="50"/>
    <x v="0"/>
    <x v="1"/>
    <s v="R-L-2.5"/>
    <x v="0"/>
    <x v="1"/>
    <x v="3"/>
    <n v="2.5"/>
    <n v="27.484999999999996"/>
    <x v="185"/>
    <n v="1.6490999999999998"/>
    <n v="4.9472999999999994"/>
    <x v="0"/>
  </r>
  <r>
    <s v="NQS-01613-687"/>
    <x v="455"/>
    <x v="1"/>
    <x v="6"/>
    <x v="541"/>
    <x v="541"/>
    <s v="bogb@elpais.com"/>
    <s v="UNKNOWN"/>
    <x v="99"/>
    <x v="0"/>
    <x v="0"/>
    <s v="L-D-0.5"/>
    <x v="3"/>
    <x v="2"/>
    <x v="2"/>
    <n v="0.5"/>
    <n v="7.77"/>
    <x v="41"/>
    <n v="1.0101"/>
    <n v="1.0101"/>
    <x v="4"/>
  </r>
  <r>
    <s v="MGH-36050-573"/>
    <x v="456"/>
    <x v="3"/>
    <x v="3"/>
    <x v="542"/>
    <x v="542"/>
    <s v="vstansburygc@unblog.fr"/>
    <s v="+1 (915) 530-3435"/>
    <x v="87"/>
    <x v="0"/>
    <x v="0"/>
    <s v="R-M-0.5"/>
    <x v="0"/>
    <x v="0"/>
    <x v="0"/>
    <n v="0.5"/>
    <n v="5.97"/>
    <x v="22"/>
    <n v="0.35819999999999996"/>
    <n v="0.71639999999999993"/>
    <x v="7"/>
  </r>
  <r>
    <s v="UVF-59322-459"/>
    <x v="373"/>
    <x v="0"/>
    <x v="2"/>
    <x v="543"/>
    <x v="543"/>
    <s v="dheinonengd@printfriendly.com"/>
    <s v="UNKNOWN"/>
    <x v="288"/>
    <x v="0"/>
    <x v="1"/>
    <s v="E-L-2.5"/>
    <x v="1"/>
    <x v="1"/>
    <x v="5"/>
    <n v="2.5"/>
    <n v="34.154999999999994"/>
    <x v="106"/>
    <n v="3.7570499999999996"/>
    <n v="22.542299999999997"/>
    <x v="5"/>
  </r>
  <r>
    <s v="VET-41158-896"/>
    <x v="457"/>
    <x v="3"/>
    <x v="8"/>
    <x v="544"/>
    <x v="544"/>
    <s v="jshentonge@google.com.hk"/>
    <s v="+1 (650) 712-0135"/>
    <x v="106"/>
    <x v="0"/>
    <x v="0"/>
    <s v="E-M-2.5"/>
    <x v="1"/>
    <x v="0"/>
    <x v="0"/>
    <n v="2.5"/>
    <n v="31.624999999999996"/>
    <x v="40"/>
    <n v="3.4787499999999998"/>
    <n v="6.9574999999999996"/>
    <x v="3"/>
  </r>
  <r>
    <s v="XYL-52196-459"/>
    <x v="458"/>
    <x v="0"/>
    <x v="5"/>
    <x v="545"/>
    <x v="545"/>
    <s v="jwilkissongf@nba.com"/>
    <s v="UNKNOWN"/>
    <x v="289"/>
    <x v="0"/>
    <x v="0"/>
    <s v="R-D-0.2"/>
    <x v="0"/>
    <x v="2"/>
    <x v="3"/>
    <n v="0.2"/>
    <n v="2.6849999999999996"/>
    <x v="36"/>
    <n v="0.16109999999999997"/>
    <n v="0.4832999999999999"/>
    <x v="11"/>
  </r>
  <r>
    <s v="BPZ-51283-916"/>
    <x v="264"/>
    <x v="1"/>
    <x v="3"/>
    <x v="546"/>
    <x v="546"/>
    <s v="UNKNOWN"/>
    <s v="+1 (206) 275-3973"/>
    <x v="166"/>
    <x v="0"/>
    <x v="1"/>
    <s v="A-M-2.5"/>
    <x v="2"/>
    <x v="0"/>
    <x v="0"/>
    <n v="2.5"/>
    <n v="25.874999999999996"/>
    <x v="95"/>
    <n v="2.3287499999999994"/>
    <n v="4.6574999999999989"/>
    <x v="2"/>
  </r>
  <r>
    <s v="VQW-91903-926"/>
    <x v="459"/>
    <x v="3"/>
    <x v="6"/>
    <x v="539"/>
    <x v="539"/>
    <s v="cverissimogh@theglobeandmail.com"/>
    <s v="UNKNOWN"/>
    <x v="26"/>
    <x v="2"/>
    <x v="0"/>
    <s v="E-D-2.5"/>
    <x v="1"/>
    <x v="2"/>
    <x v="2"/>
    <n v="2.5"/>
    <n v="27.945"/>
    <x v="140"/>
    <n v="3.07395"/>
    <n v="3.07395"/>
    <x v="3"/>
  </r>
  <r>
    <s v="OLF-77983-457"/>
    <x v="460"/>
    <x v="0"/>
    <x v="10"/>
    <x v="547"/>
    <x v="547"/>
    <s v="gstarcksgi@abc.net.au"/>
    <s v="+1 (423) 903-3146"/>
    <x v="115"/>
    <x v="0"/>
    <x v="1"/>
    <s v="A-L-2.5"/>
    <x v="2"/>
    <x v="1"/>
    <x v="0"/>
    <n v="2.5"/>
    <n v="29.784999999999997"/>
    <x v="120"/>
    <n v="2.6806499999999995"/>
    <n v="5.3612999999999991"/>
    <x v="2"/>
  </r>
  <r>
    <s v="MVI-04946-827"/>
    <x v="461"/>
    <x v="1"/>
    <x v="11"/>
    <x v="548"/>
    <x v="548"/>
    <s v="UNKNOWN"/>
    <s v="UNKNOWN"/>
    <x v="290"/>
    <x v="2"/>
    <x v="1"/>
    <s v="E-L-1"/>
    <x v="1"/>
    <x v="1"/>
    <x v="2"/>
    <n v="1"/>
    <n v="14.85"/>
    <x v="151"/>
    <n v="1.6335"/>
    <n v="1.6335"/>
    <x v="3"/>
  </r>
  <r>
    <s v="UOG-94188-104"/>
    <x v="219"/>
    <x v="1"/>
    <x v="11"/>
    <x v="549"/>
    <x v="549"/>
    <s v="kscholardgk@sbwire.com"/>
    <s v="+1 (614) 199-9032"/>
    <x v="61"/>
    <x v="0"/>
    <x v="1"/>
    <s v="A-M-0.5"/>
    <x v="2"/>
    <x v="0"/>
    <x v="1"/>
    <n v="0.5"/>
    <n v="6.75"/>
    <x v="65"/>
    <n v="0.60749999999999993"/>
    <n v="3.0374999999999996"/>
    <x v="8"/>
  </r>
  <r>
    <s v="DSN-15872-519"/>
    <x v="462"/>
    <x v="1"/>
    <x v="9"/>
    <x v="550"/>
    <x v="550"/>
    <s v="bkindleygl@wikimedia.org"/>
    <s v="+1 (650) 799-2315"/>
    <x v="148"/>
    <x v="0"/>
    <x v="0"/>
    <s v="L-L-2.5"/>
    <x v="3"/>
    <x v="1"/>
    <x v="4"/>
    <n v="2.5"/>
    <n v="36.454999999999998"/>
    <x v="43"/>
    <n v="4.7391499999999995"/>
    <n v="18.956599999999998"/>
    <x v="4"/>
  </r>
  <r>
    <s v="OUQ-73954-002"/>
    <x v="463"/>
    <x v="0"/>
    <x v="4"/>
    <x v="551"/>
    <x v="551"/>
    <s v="khammettgm@dmoz.org"/>
    <s v="+1 (415) 825-4799"/>
    <x v="204"/>
    <x v="0"/>
    <x v="0"/>
    <s v="R-M-0.2"/>
    <x v="0"/>
    <x v="0"/>
    <x v="4"/>
    <n v="0.2"/>
    <n v="2.9849999999999999"/>
    <x v="22"/>
    <n v="0.17909999999999998"/>
    <n v="0.71639999999999993"/>
    <x v="7"/>
  </r>
  <r>
    <s v="LGL-16843-667"/>
    <x v="464"/>
    <x v="1"/>
    <x v="5"/>
    <x v="552"/>
    <x v="552"/>
    <s v="ahulburtgn@fda.gov"/>
    <s v="UNKNOWN"/>
    <x v="212"/>
    <x v="0"/>
    <x v="0"/>
    <s v="A-D-0.2"/>
    <x v="2"/>
    <x v="2"/>
    <x v="4"/>
    <n v="0.2"/>
    <n v="2.9849999999999999"/>
    <x v="22"/>
    <n v="0.26865"/>
    <n v="1.0746"/>
    <x v="9"/>
  </r>
  <r>
    <s v="TCC-89722-031"/>
    <x v="465"/>
    <x v="1"/>
    <x v="7"/>
    <x v="553"/>
    <x v="553"/>
    <s v="plauritzengo@photobucket.com"/>
    <s v="+1 (215) 308-0788"/>
    <x v="11"/>
    <x v="0"/>
    <x v="1"/>
    <s v="L-D-0.5"/>
    <x v="3"/>
    <x v="2"/>
    <x v="2"/>
    <n v="0.5"/>
    <n v="7.77"/>
    <x v="41"/>
    <n v="1.0101"/>
    <n v="1.0101"/>
    <x v="4"/>
  </r>
  <r>
    <s v="TRA-79507-007"/>
    <x v="466"/>
    <x v="0"/>
    <x v="9"/>
    <x v="554"/>
    <x v="554"/>
    <s v="aburgwingp@redcross.org"/>
    <s v="+1 (314) 407-3962"/>
    <x v="9"/>
    <x v="0"/>
    <x v="0"/>
    <s v="R-L-2.5"/>
    <x v="0"/>
    <x v="1"/>
    <x v="4"/>
    <n v="2.5"/>
    <n v="27.484999999999996"/>
    <x v="108"/>
    <n v="1.6490999999999998"/>
    <n v="6.5963999999999992"/>
    <x v="0"/>
  </r>
  <r>
    <s v="MZJ-77284-941"/>
    <x v="467"/>
    <x v="0"/>
    <x v="5"/>
    <x v="555"/>
    <x v="555"/>
    <s v="erolingq@google.fr"/>
    <s v="+1 (419) 597-8743"/>
    <x v="45"/>
    <x v="0"/>
    <x v="0"/>
    <s v="E-L-0.2"/>
    <x v="1"/>
    <x v="1"/>
    <x v="1"/>
    <n v="0.2"/>
    <n v="4.4550000000000001"/>
    <x v="110"/>
    <n v="0.49004999999999999"/>
    <n v="2.45025"/>
    <x v="5"/>
  </r>
  <r>
    <s v="AXN-57779-891"/>
    <x v="468"/>
    <x v="0"/>
    <x v="2"/>
    <x v="556"/>
    <x v="556"/>
    <s v="dfowlegr@epa.gov"/>
    <s v="UNKNOWN"/>
    <x v="71"/>
    <x v="0"/>
    <x v="1"/>
    <s v="R-M-0.2"/>
    <x v="0"/>
    <x v="0"/>
    <x v="3"/>
    <n v="0.2"/>
    <n v="2.9849999999999999"/>
    <x v="169"/>
    <n v="0.17909999999999998"/>
    <n v="0.53729999999999989"/>
    <x v="6"/>
  </r>
  <r>
    <s v="PJB-15659-994"/>
    <x v="469"/>
    <x v="3"/>
    <x v="11"/>
    <x v="557"/>
    <x v="557"/>
    <s v="UNKNOWN"/>
    <s v="+353 (782) 457-9198"/>
    <x v="239"/>
    <x v="1"/>
    <x v="1"/>
    <s v="L-D-2.5"/>
    <x v="3"/>
    <x v="2"/>
    <x v="4"/>
    <n v="2.5"/>
    <n v="29.784999999999997"/>
    <x v="129"/>
    <n v="3.8720499999999998"/>
    <n v="15.488199999999999"/>
    <x v="4"/>
  </r>
  <r>
    <s v="LTS-03470-353"/>
    <x v="470"/>
    <x v="3"/>
    <x v="2"/>
    <x v="558"/>
    <x v="558"/>
    <s v="wpowleslandgt@soundcloud.com"/>
    <s v="+1 (412) 453-4798"/>
    <x v="291"/>
    <x v="0"/>
    <x v="0"/>
    <s v="A-L-2.5"/>
    <x v="2"/>
    <x v="1"/>
    <x v="1"/>
    <n v="2.5"/>
    <n v="29.784999999999997"/>
    <x v="74"/>
    <n v="2.6806499999999995"/>
    <n v="13.403249999999998"/>
    <x v="2"/>
  </r>
  <r>
    <s v="UMM-28497-689"/>
    <x v="471"/>
    <x v="3"/>
    <x v="11"/>
    <x v="539"/>
    <x v="539"/>
    <s v="cverissimogh@theglobeandmail.com"/>
    <s v="UNKNOWN"/>
    <x v="26"/>
    <x v="2"/>
    <x v="0"/>
    <s v="L-L-2.5"/>
    <x v="3"/>
    <x v="1"/>
    <x v="3"/>
    <n v="2.5"/>
    <n v="36.454999999999998"/>
    <x v="63"/>
    <n v="4.7391499999999995"/>
    <n v="14.217449999999999"/>
    <x v="4"/>
  </r>
  <r>
    <s v="MJZ-93232-402"/>
    <x v="472"/>
    <x v="2"/>
    <x v="6"/>
    <x v="559"/>
    <x v="559"/>
    <s v="lellinghamgv@sciencedaily.com"/>
    <s v="+1 (318) 670-8027"/>
    <x v="212"/>
    <x v="0"/>
    <x v="0"/>
    <s v="E-D-0.2"/>
    <x v="1"/>
    <x v="2"/>
    <x v="2"/>
    <n v="0.2"/>
    <n v="3.645"/>
    <x v="186"/>
    <n v="0.40095000000000003"/>
    <n v="0.40095000000000003"/>
    <x v="3"/>
  </r>
  <r>
    <s v="UHW-74617-126"/>
    <x v="173"/>
    <x v="2"/>
    <x v="10"/>
    <x v="560"/>
    <x v="560"/>
    <s v="UNKNOWN"/>
    <s v="UNKNOWN"/>
    <x v="265"/>
    <x v="0"/>
    <x v="1"/>
    <s v="E-D-2.5"/>
    <x v="1"/>
    <x v="2"/>
    <x v="0"/>
    <n v="2.5"/>
    <n v="27.945"/>
    <x v="158"/>
    <n v="3.07395"/>
    <n v="6.1478999999999999"/>
    <x v="3"/>
  </r>
  <r>
    <s v="RIK-61730-794"/>
    <x v="473"/>
    <x v="3"/>
    <x v="11"/>
    <x v="561"/>
    <x v="561"/>
    <s v="afendtgx@forbes.com"/>
    <s v="+1 (414) 811-7606"/>
    <x v="166"/>
    <x v="0"/>
    <x v="0"/>
    <s v="L-M-0.2"/>
    <x v="3"/>
    <x v="0"/>
    <x v="5"/>
    <n v="0.2"/>
    <n v="4.3650000000000002"/>
    <x v="50"/>
    <n v="0.56745000000000001"/>
    <n v="3.4047000000000001"/>
    <x v="4"/>
  </r>
  <r>
    <s v="IDJ-55379-750"/>
    <x v="474"/>
    <x v="0"/>
    <x v="7"/>
    <x v="562"/>
    <x v="562"/>
    <s v="acleyburngy@lycos.com"/>
    <s v="+1 (754) 355-3802"/>
    <x v="42"/>
    <x v="0"/>
    <x v="1"/>
    <s v="R-M-1"/>
    <x v="0"/>
    <x v="0"/>
    <x v="4"/>
    <n v="1"/>
    <n v="9.9499999999999993"/>
    <x v="10"/>
    <n v="0.59699999999999998"/>
    <n v="2.3879999999999999"/>
    <x v="0"/>
  </r>
  <r>
    <s v="OHX-11953-965"/>
    <x v="475"/>
    <x v="0"/>
    <x v="7"/>
    <x v="563"/>
    <x v="563"/>
    <s v="tcastiglionegz@xing.com"/>
    <s v="+1 (318) 820-6128"/>
    <x v="212"/>
    <x v="0"/>
    <x v="1"/>
    <s v="E-L-2.5"/>
    <x v="1"/>
    <x v="1"/>
    <x v="0"/>
    <n v="2.5"/>
    <n v="34.154999999999994"/>
    <x v="93"/>
    <n v="3.7570499999999996"/>
    <n v="7.5140999999999991"/>
    <x v="3"/>
  </r>
  <r>
    <s v="TVV-42245-088"/>
    <x v="476"/>
    <x v="3"/>
    <x v="6"/>
    <x v="564"/>
    <x v="564"/>
    <s v="UNKNOWN"/>
    <s v="+353 (930) 704-1778"/>
    <x v="75"/>
    <x v="1"/>
    <x v="1"/>
    <s v="A-M-0.2"/>
    <x v="2"/>
    <x v="0"/>
    <x v="4"/>
    <n v="0.2"/>
    <n v="3.375"/>
    <x v="72"/>
    <n v="0.30374999999999996"/>
    <n v="1.2149999999999999"/>
    <x v="8"/>
  </r>
  <r>
    <s v="DYP-74337-787"/>
    <x v="431"/>
    <x v="0"/>
    <x v="7"/>
    <x v="565"/>
    <x v="565"/>
    <s v="UNKNOWN"/>
    <s v="+1 (916) 626-5223"/>
    <x v="155"/>
    <x v="0"/>
    <x v="1"/>
    <s v="R-M-0.5"/>
    <x v="0"/>
    <x v="0"/>
    <x v="2"/>
    <n v="0.5"/>
    <n v="5.97"/>
    <x v="9"/>
    <n v="0.35819999999999996"/>
    <n v="0.35819999999999996"/>
    <x v="7"/>
  </r>
  <r>
    <s v="OKA-93124-100"/>
    <x v="477"/>
    <x v="3"/>
    <x v="8"/>
    <x v="539"/>
    <x v="539"/>
    <s v="cverissimogh@theglobeandmail.com"/>
    <s v="UNKNOWN"/>
    <x v="26"/>
    <x v="2"/>
    <x v="0"/>
    <s v="R-M-0.5"/>
    <x v="0"/>
    <x v="0"/>
    <x v="1"/>
    <n v="0.5"/>
    <n v="5.97"/>
    <x v="44"/>
    <n v="0.35819999999999996"/>
    <n v="1.7909999999999999"/>
    <x v="0"/>
  </r>
  <r>
    <s v="IXW-20780-268"/>
    <x v="478"/>
    <x v="3"/>
    <x v="1"/>
    <x v="566"/>
    <x v="566"/>
    <s v="scouronneh3@mozilla.org"/>
    <s v="+1 (701) 894-8081"/>
    <x v="97"/>
    <x v="0"/>
    <x v="0"/>
    <s v="L-L-2.5"/>
    <x v="3"/>
    <x v="1"/>
    <x v="0"/>
    <n v="2.5"/>
    <n v="36.454999999999998"/>
    <x v="37"/>
    <n v="4.7391499999999995"/>
    <n v="9.4782999999999991"/>
    <x v="4"/>
  </r>
  <r>
    <s v="NGG-24006-937"/>
    <x v="45"/>
    <x v="1"/>
    <x v="6"/>
    <x v="567"/>
    <x v="567"/>
    <s v="lflippellih4@github.io"/>
    <s v="+44 (200) 860-6521"/>
    <x v="292"/>
    <x v="2"/>
    <x v="1"/>
    <s v="E-M-2.5"/>
    <x v="1"/>
    <x v="0"/>
    <x v="4"/>
    <n v="2.5"/>
    <n v="31.624999999999996"/>
    <x v="177"/>
    <n v="3.4787499999999998"/>
    <n v="13.914999999999999"/>
    <x v="3"/>
  </r>
  <r>
    <s v="JZC-31180-557"/>
    <x v="444"/>
    <x v="3"/>
    <x v="8"/>
    <x v="568"/>
    <x v="568"/>
    <s v="relizabethh5@live.com"/>
    <s v="+1 (918) 203-3263"/>
    <x v="134"/>
    <x v="0"/>
    <x v="1"/>
    <s v="L-M-2.5"/>
    <x v="3"/>
    <x v="0"/>
    <x v="2"/>
    <n v="2.5"/>
    <n v="33.464999999999996"/>
    <x v="116"/>
    <n v="4.3504499999999995"/>
    <n v="4.3504499999999995"/>
    <x v="4"/>
  </r>
  <r>
    <s v="ZMU-63715-204"/>
    <x v="479"/>
    <x v="1"/>
    <x v="0"/>
    <x v="569"/>
    <x v="569"/>
    <s v="irenhardh6@i2i.jp"/>
    <s v="+1 (646) 225-6560"/>
    <x v="15"/>
    <x v="0"/>
    <x v="0"/>
    <s v="E-D-1"/>
    <x v="1"/>
    <x v="2"/>
    <x v="5"/>
    <n v="1"/>
    <n v="12.15"/>
    <x v="118"/>
    <n v="1.3365"/>
    <n v="8.0190000000000001"/>
    <x v="1"/>
  </r>
  <r>
    <s v="GND-08192-056"/>
    <x v="480"/>
    <x v="2"/>
    <x v="5"/>
    <x v="570"/>
    <x v="570"/>
    <s v="wrocheh7@xinhuanet.com"/>
    <s v="+1 (317) 439-5584"/>
    <x v="293"/>
    <x v="0"/>
    <x v="0"/>
    <s v="L-D-0.5"/>
    <x v="3"/>
    <x v="2"/>
    <x v="0"/>
    <n v="0.5"/>
    <n v="7.77"/>
    <x v="42"/>
    <n v="1.0101"/>
    <n v="2.0202"/>
    <x v="4"/>
  </r>
  <r>
    <s v="RYY-38961-093"/>
    <x v="481"/>
    <x v="1"/>
    <x v="4"/>
    <x v="571"/>
    <x v="571"/>
    <s v="lalawayhh@weather.com"/>
    <s v="UNKNOWN"/>
    <x v="42"/>
    <x v="0"/>
    <x v="1"/>
    <s v="A-M-0.2"/>
    <x v="2"/>
    <x v="0"/>
    <x v="5"/>
    <n v="0.2"/>
    <n v="3.375"/>
    <x v="16"/>
    <n v="0.30374999999999996"/>
    <n v="1.8224999999999998"/>
    <x v="8"/>
  </r>
  <r>
    <s v="CVA-64996-969"/>
    <x v="478"/>
    <x v="3"/>
    <x v="1"/>
    <x v="572"/>
    <x v="572"/>
    <s v="codgaardh9@nsw.gov.au"/>
    <s v="+1 (503) 203-1484"/>
    <x v="12"/>
    <x v="0"/>
    <x v="1"/>
    <s v="A-L-1"/>
    <x v="2"/>
    <x v="1"/>
    <x v="5"/>
    <n v="1"/>
    <n v="12.95"/>
    <x v="17"/>
    <n v="1.1655"/>
    <n v="6.9930000000000003"/>
    <x v="9"/>
  </r>
  <r>
    <s v="XTH-67276-442"/>
    <x v="482"/>
    <x v="0"/>
    <x v="6"/>
    <x v="573"/>
    <x v="573"/>
    <s v="bbyrdha@4shared.com"/>
    <s v="UNKNOWN"/>
    <x v="198"/>
    <x v="0"/>
    <x v="1"/>
    <s v="L-M-2.5"/>
    <x v="3"/>
    <x v="0"/>
    <x v="4"/>
    <n v="2.5"/>
    <n v="33.464999999999996"/>
    <x v="136"/>
    <n v="4.3504499999999995"/>
    <n v="17.401799999999998"/>
    <x v="4"/>
  </r>
  <r>
    <s v="PVU-02950-470"/>
    <x v="353"/>
    <x v="1"/>
    <x v="4"/>
    <x v="574"/>
    <x v="574"/>
    <s v="UNKNOWN"/>
    <s v="+44 (141) 640-7113"/>
    <x v="294"/>
    <x v="2"/>
    <x v="1"/>
    <s v="E-D-1"/>
    <x v="1"/>
    <x v="2"/>
    <x v="2"/>
    <n v="1"/>
    <n v="12.15"/>
    <x v="87"/>
    <n v="1.3365"/>
    <n v="1.3365"/>
    <x v="3"/>
  </r>
  <r>
    <s v="XSN-26809-910"/>
    <x v="199"/>
    <x v="3"/>
    <x v="1"/>
    <x v="575"/>
    <x v="575"/>
    <s v="dchardinhc@nhs.uk"/>
    <s v="UNKNOWN"/>
    <x v="295"/>
    <x v="1"/>
    <x v="0"/>
    <s v="E-M-2.5"/>
    <x v="1"/>
    <x v="0"/>
    <x v="0"/>
    <n v="2.5"/>
    <n v="31.624999999999996"/>
    <x v="40"/>
    <n v="3.4787499999999998"/>
    <n v="6.9574999999999996"/>
    <x v="3"/>
  </r>
  <r>
    <s v="UDN-88321-005"/>
    <x v="372"/>
    <x v="3"/>
    <x v="2"/>
    <x v="576"/>
    <x v="576"/>
    <s v="hradbonehd@newsvine.com"/>
    <s v="+1 (415) 968-9559"/>
    <x v="204"/>
    <x v="0"/>
    <x v="1"/>
    <s v="R-L-0.5"/>
    <x v="0"/>
    <x v="1"/>
    <x v="1"/>
    <n v="0.5"/>
    <n v="7.169999999999999"/>
    <x v="66"/>
    <n v="0.43019999999999992"/>
    <n v="2.1509999999999998"/>
    <x v="0"/>
  </r>
  <r>
    <s v="EXP-21628-670"/>
    <x v="267"/>
    <x v="0"/>
    <x v="6"/>
    <x v="577"/>
    <x v="577"/>
    <s v="wbernthhe@miitbeian.gov.cn"/>
    <s v="+1 (412) 597-3861"/>
    <x v="291"/>
    <x v="0"/>
    <x v="1"/>
    <s v="A-M-2.5"/>
    <x v="2"/>
    <x v="0"/>
    <x v="3"/>
    <n v="2.5"/>
    <n v="25.874999999999996"/>
    <x v="57"/>
    <n v="2.3287499999999994"/>
    <n v="6.9862499999999983"/>
    <x v="2"/>
  </r>
  <r>
    <s v="VGM-24161-361"/>
    <x v="480"/>
    <x v="2"/>
    <x v="5"/>
    <x v="578"/>
    <x v="578"/>
    <s v="bacarsonhf@cnn.com"/>
    <s v="+1 (713) 418-6385"/>
    <x v="13"/>
    <x v="0"/>
    <x v="0"/>
    <s v="E-M-2.5"/>
    <x v="1"/>
    <x v="0"/>
    <x v="0"/>
    <n v="2.5"/>
    <n v="31.624999999999996"/>
    <x v="40"/>
    <n v="3.4787499999999998"/>
    <n v="6.9574999999999996"/>
    <x v="3"/>
  </r>
  <r>
    <s v="PKN-19556-918"/>
    <x v="483"/>
    <x v="2"/>
    <x v="8"/>
    <x v="579"/>
    <x v="579"/>
    <s v="fbrighamhg@blog.com"/>
    <s v="+353 (620) 657-2946"/>
    <x v="296"/>
    <x v="1"/>
    <x v="0"/>
    <s v="E-L-0.2"/>
    <x v="1"/>
    <x v="1"/>
    <x v="5"/>
    <n v="0.2"/>
    <n v="4.4550000000000001"/>
    <x v="149"/>
    <n v="0.49004999999999999"/>
    <n v="2.9402999999999997"/>
    <x v="1"/>
  </r>
  <r>
    <s v="PKN-19556-918"/>
    <x v="483"/>
    <x v="2"/>
    <x v="8"/>
    <x v="579"/>
    <x v="579"/>
    <s v="fbrighamhg@blog.com"/>
    <s v="+353 (620) 657-2946"/>
    <x v="296"/>
    <x v="1"/>
    <x v="0"/>
    <s v="L-D-0.5"/>
    <x v="3"/>
    <x v="2"/>
    <x v="4"/>
    <n v="0.5"/>
    <n v="7.77"/>
    <x v="113"/>
    <n v="1.0101"/>
    <n v="4.0404"/>
    <x v="4"/>
  </r>
  <r>
    <s v="PKN-19556-918"/>
    <x v="483"/>
    <x v="2"/>
    <x v="8"/>
    <x v="579"/>
    <x v="579"/>
    <s v="fbrighamhg@blog.com"/>
    <s v="+353 (620) 657-2946"/>
    <x v="296"/>
    <x v="1"/>
    <x v="0"/>
    <s v="A-D-0.2"/>
    <x v="2"/>
    <x v="2"/>
    <x v="2"/>
    <n v="0.2"/>
    <n v="2.9849999999999999"/>
    <x v="55"/>
    <n v="0.26865"/>
    <n v="0.26865"/>
    <x v="9"/>
  </r>
  <r>
    <s v="PKN-19556-918"/>
    <x v="483"/>
    <x v="2"/>
    <x v="8"/>
    <x v="579"/>
    <x v="579"/>
    <s v="fbrighamhg@blog.com"/>
    <s v="+353 (620) 657-2946"/>
    <x v="296"/>
    <x v="1"/>
    <x v="0"/>
    <s v="R-D-2.5"/>
    <x v="0"/>
    <x v="2"/>
    <x v="1"/>
    <n v="2.5"/>
    <n v="20.584999999999997"/>
    <x v="182"/>
    <n v="1.2350999999999999"/>
    <n v="6.1754999999999995"/>
    <x v="0"/>
  </r>
  <r>
    <s v="DXQ-44537-297"/>
    <x v="484"/>
    <x v="3"/>
    <x v="3"/>
    <x v="580"/>
    <x v="580"/>
    <s v="myoxenhk@google.com"/>
    <s v="+1 (213) 241-8051"/>
    <x v="6"/>
    <x v="0"/>
    <x v="1"/>
    <s v="E-L-0.5"/>
    <x v="1"/>
    <x v="1"/>
    <x v="4"/>
    <n v="0.5"/>
    <n v="8.91"/>
    <x v="70"/>
    <n v="0.98009999999999997"/>
    <n v="3.9203999999999999"/>
    <x v="3"/>
  </r>
  <r>
    <s v="BPC-54727-307"/>
    <x v="485"/>
    <x v="0"/>
    <x v="9"/>
    <x v="581"/>
    <x v="581"/>
    <s v="gmcgavinhl@histats.com"/>
    <s v="+1 (570) 745-7589"/>
    <x v="156"/>
    <x v="0"/>
    <x v="1"/>
    <s v="R-L-1"/>
    <x v="0"/>
    <x v="1"/>
    <x v="4"/>
    <n v="1"/>
    <n v="11.95"/>
    <x v="62"/>
    <n v="0.71699999999999997"/>
    <n v="2.8679999999999999"/>
    <x v="7"/>
  </r>
  <r>
    <s v="KSH-47717-456"/>
    <x v="486"/>
    <x v="3"/>
    <x v="8"/>
    <x v="582"/>
    <x v="582"/>
    <s v="luttermarehm@engadget.com"/>
    <s v="+1 (817) 793-6871"/>
    <x v="177"/>
    <x v="0"/>
    <x v="1"/>
    <s v="L-M-1"/>
    <x v="3"/>
    <x v="0"/>
    <x v="3"/>
    <n v="1"/>
    <n v="14.55"/>
    <x v="34"/>
    <n v="1.8915000000000002"/>
    <n v="5.6745000000000001"/>
    <x v="10"/>
  </r>
  <r>
    <s v="ANK-59436-446"/>
    <x v="487"/>
    <x v="2"/>
    <x v="4"/>
    <x v="583"/>
    <x v="583"/>
    <s v="edambrogiohn@techcrunch.com"/>
    <s v="+1 (816) 196-1729"/>
    <x v="150"/>
    <x v="0"/>
    <x v="0"/>
    <s v="E-L-0.5"/>
    <x v="1"/>
    <x v="1"/>
    <x v="4"/>
    <n v="0.5"/>
    <n v="8.91"/>
    <x v="70"/>
    <n v="0.98009999999999997"/>
    <n v="3.9203999999999999"/>
    <x v="3"/>
  </r>
  <r>
    <s v="AYY-83051-752"/>
    <x v="488"/>
    <x v="0"/>
    <x v="4"/>
    <x v="584"/>
    <x v="584"/>
    <s v="cwinchcombeho@jiathis.com"/>
    <s v="+1 (501) 772-4397"/>
    <x v="28"/>
    <x v="0"/>
    <x v="0"/>
    <s v="L-L-1"/>
    <x v="3"/>
    <x v="1"/>
    <x v="5"/>
    <n v="1"/>
    <n v="15.85"/>
    <x v="179"/>
    <n v="2.0605000000000002"/>
    <n v="12.363000000000001"/>
    <x v="12"/>
  </r>
  <r>
    <s v="CSW-59644-267"/>
    <x v="489"/>
    <x v="3"/>
    <x v="10"/>
    <x v="585"/>
    <x v="585"/>
    <s v="bpaumierhp@umn.edu"/>
    <s v="+353 (777) 856-8236"/>
    <x v="297"/>
    <x v="1"/>
    <x v="0"/>
    <s v="E-M-2.5"/>
    <x v="1"/>
    <x v="0"/>
    <x v="2"/>
    <n v="2.5"/>
    <n v="31.624999999999996"/>
    <x v="176"/>
    <n v="3.4787499999999998"/>
    <n v="3.4787499999999998"/>
    <x v="3"/>
  </r>
  <r>
    <s v="ITY-92466-909"/>
    <x v="162"/>
    <x v="0"/>
    <x v="3"/>
    <x v="586"/>
    <x v="586"/>
    <s v="UNKNOWN"/>
    <s v="+353 (573) 561-9754"/>
    <x v="280"/>
    <x v="1"/>
    <x v="0"/>
    <s v="A-M-2.5"/>
    <x v="2"/>
    <x v="0"/>
    <x v="3"/>
    <n v="2.5"/>
    <n v="25.874999999999996"/>
    <x v="57"/>
    <n v="2.3287499999999994"/>
    <n v="6.9862499999999983"/>
    <x v="2"/>
  </r>
  <r>
    <s v="IGW-04801-466"/>
    <x v="490"/>
    <x v="1"/>
    <x v="5"/>
    <x v="587"/>
    <x v="587"/>
    <s v="jcapeyhr@bravesites.com"/>
    <s v="+1 (814) 974-7878"/>
    <x v="173"/>
    <x v="0"/>
    <x v="0"/>
    <s v="L-D-0.2"/>
    <x v="3"/>
    <x v="2"/>
    <x v="2"/>
    <n v="0.2"/>
    <n v="3.8849999999999998"/>
    <x v="84"/>
    <n v="0.50505"/>
    <n v="0.50505"/>
    <x v="4"/>
  </r>
  <r>
    <s v="LJN-34281-921"/>
    <x v="491"/>
    <x v="1"/>
    <x v="9"/>
    <x v="588"/>
    <x v="588"/>
    <s v="tmathonneti0@google.co.jp"/>
    <s v="+1 (614) 781-0396"/>
    <x v="61"/>
    <x v="0"/>
    <x v="1"/>
    <s v="R-L-2.5"/>
    <x v="0"/>
    <x v="1"/>
    <x v="1"/>
    <n v="2.5"/>
    <n v="27.484999999999996"/>
    <x v="187"/>
    <n v="1.6490999999999998"/>
    <n v="8.2454999999999998"/>
    <x v="0"/>
  </r>
  <r>
    <s v="BWZ-46364-547"/>
    <x v="301"/>
    <x v="1"/>
    <x v="0"/>
    <x v="589"/>
    <x v="589"/>
    <s v="ybasillht@theguardian.com"/>
    <s v="+1 (412) 297-2806"/>
    <x v="291"/>
    <x v="0"/>
    <x v="0"/>
    <s v="R-L-1"/>
    <x v="0"/>
    <x v="1"/>
    <x v="3"/>
    <n v="1"/>
    <n v="11.95"/>
    <x v="66"/>
    <n v="0.71699999999999997"/>
    <n v="2.1509999999999998"/>
    <x v="0"/>
  </r>
  <r>
    <s v="SBC-95710-706"/>
    <x v="194"/>
    <x v="3"/>
    <x v="10"/>
    <x v="590"/>
    <x v="590"/>
    <s v="mbaistowhu@i2i.jp"/>
    <s v="+44 (876) 508-3376"/>
    <x v="298"/>
    <x v="2"/>
    <x v="0"/>
    <s v="E-M-0.2"/>
    <x v="1"/>
    <x v="0"/>
    <x v="0"/>
    <n v="0.2"/>
    <n v="4.125"/>
    <x v="112"/>
    <n v="0.45374999999999999"/>
    <n v="0.90749999999999997"/>
    <x v="3"/>
  </r>
  <r>
    <s v="WRN-55114-031"/>
    <x v="26"/>
    <x v="3"/>
    <x v="1"/>
    <x v="591"/>
    <x v="591"/>
    <s v="cpallanthv@typepad.com"/>
    <s v="UNKNOWN"/>
    <x v="68"/>
    <x v="0"/>
    <x v="0"/>
    <s v="E-L-2.5"/>
    <x v="1"/>
    <x v="1"/>
    <x v="3"/>
    <n v="2.5"/>
    <n v="34.154999999999994"/>
    <x v="89"/>
    <n v="3.7570499999999996"/>
    <n v="11.271149999999999"/>
    <x v="5"/>
  </r>
  <r>
    <s v="TZU-64255-831"/>
    <x v="125"/>
    <x v="2"/>
    <x v="5"/>
    <x v="592"/>
    <x v="592"/>
    <s v="UNKNOWN"/>
    <s v="+1 (786) 445-8879"/>
    <x v="218"/>
    <x v="0"/>
    <x v="1"/>
    <s v="R-D-2.5"/>
    <x v="0"/>
    <x v="2"/>
    <x v="0"/>
    <n v="2.5"/>
    <n v="20.584999999999997"/>
    <x v="13"/>
    <n v="1.2350999999999999"/>
    <n v="2.4701999999999997"/>
    <x v="0"/>
  </r>
  <r>
    <s v="JVF-91003-729"/>
    <x v="492"/>
    <x v="3"/>
    <x v="7"/>
    <x v="593"/>
    <x v="593"/>
    <s v="dohx@redcross.org"/>
    <s v="+1 (325) 276-3690"/>
    <x v="299"/>
    <x v="0"/>
    <x v="0"/>
    <s v="A-D-2.5"/>
    <x v="2"/>
    <x v="2"/>
    <x v="3"/>
    <n v="2.5"/>
    <n v="22.884999999999998"/>
    <x v="96"/>
    <n v="2.0596499999999995"/>
    <n v="6.1789499999999986"/>
    <x v="8"/>
  </r>
  <r>
    <s v="MVB-22135-665"/>
    <x v="462"/>
    <x v="1"/>
    <x v="9"/>
    <x v="594"/>
    <x v="594"/>
    <s v="drallinhy@howstuffworks.com"/>
    <s v="+1 (518) 981-1531"/>
    <x v="140"/>
    <x v="0"/>
    <x v="0"/>
    <s v="A-D-1"/>
    <x v="2"/>
    <x v="2"/>
    <x v="2"/>
    <n v="1"/>
    <n v="9.9499999999999993"/>
    <x v="138"/>
    <n v="0.89549999999999985"/>
    <n v="0.89549999999999985"/>
    <x v="2"/>
  </r>
  <r>
    <s v="CKS-47815-571"/>
    <x v="493"/>
    <x v="1"/>
    <x v="11"/>
    <x v="595"/>
    <x v="595"/>
    <s v="achillhz@epa.gov"/>
    <s v="+44 (411) 344-1320"/>
    <x v="300"/>
    <x v="2"/>
    <x v="0"/>
    <s v="L-L-0.5"/>
    <x v="3"/>
    <x v="1"/>
    <x v="3"/>
    <n v="0.5"/>
    <n v="9.51"/>
    <x v="32"/>
    <n v="1.2363"/>
    <n v="3.7088999999999999"/>
    <x v="10"/>
  </r>
  <r>
    <s v="OAW-17338-101"/>
    <x v="494"/>
    <x v="3"/>
    <x v="10"/>
    <x v="588"/>
    <x v="588"/>
    <s v="tmathonneti0@google.co.jp"/>
    <s v="+1 (614) 781-0396"/>
    <x v="61"/>
    <x v="0"/>
    <x v="1"/>
    <s v="R-D-0.2"/>
    <x v="0"/>
    <x v="2"/>
    <x v="5"/>
    <n v="0.2"/>
    <n v="2.6849999999999996"/>
    <x v="103"/>
    <n v="0.16109999999999997"/>
    <n v="0.96659999999999979"/>
    <x v="11"/>
  </r>
  <r>
    <s v="ALP-37623-536"/>
    <x v="495"/>
    <x v="3"/>
    <x v="2"/>
    <x v="596"/>
    <x v="596"/>
    <s v="cdenysi1@is.gd"/>
    <s v="+44 (341) 297-2539"/>
    <x v="301"/>
    <x v="2"/>
    <x v="1"/>
    <s v="L-L-1"/>
    <x v="3"/>
    <x v="1"/>
    <x v="5"/>
    <n v="1"/>
    <n v="15.85"/>
    <x v="179"/>
    <n v="2.0605000000000002"/>
    <n v="12.363000000000001"/>
    <x v="12"/>
  </r>
  <r>
    <s v="WMU-87639-108"/>
    <x v="496"/>
    <x v="0"/>
    <x v="10"/>
    <x v="597"/>
    <x v="597"/>
    <s v="cstebbingsi2@drupal.org"/>
    <s v="+1 (951) 986-4062"/>
    <x v="78"/>
    <x v="0"/>
    <x v="0"/>
    <s v="R-D-0.5"/>
    <x v="0"/>
    <x v="2"/>
    <x v="2"/>
    <n v="0.5"/>
    <n v="5.3699999999999992"/>
    <x v="147"/>
    <n v="0.32219999999999993"/>
    <n v="0.32219999999999993"/>
    <x v="7"/>
  </r>
  <r>
    <s v="USN-44968-231"/>
    <x v="497"/>
    <x v="3"/>
    <x v="0"/>
    <x v="598"/>
    <x v="598"/>
    <s v="UNKNOWN"/>
    <s v="+1 (202) 931-2413"/>
    <x v="41"/>
    <x v="0"/>
    <x v="1"/>
    <s v="R-L-1"/>
    <x v="0"/>
    <x v="1"/>
    <x v="4"/>
    <n v="1"/>
    <n v="11.95"/>
    <x v="62"/>
    <n v="0.71699999999999997"/>
    <n v="2.8679999999999999"/>
    <x v="7"/>
  </r>
  <r>
    <s v="YZG-20575-451"/>
    <x v="498"/>
    <x v="3"/>
    <x v="6"/>
    <x v="599"/>
    <x v="599"/>
    <s v="rzywickii4@ifeng.com"/>
    <s v="UNKNOWN"/>
    <x v="302"/>
    <x v="1"/>
    <x v="1"/>
    <s v="L-L-1"/>
    <x v="3"/>
    <x v="1"/>
    <x v="4"/>
    <n v="1"/>
    <n v="15.85"/>
    <x v="165"/>
    <n v="2.0605000000000002"/>
    <n v="8.2420000000000009"/>
    <x v="4"/>
  </r>
  <r>
    <s v="HTH-52867-812"/>
    <x v="382"/>
    <x v="1"/>
    <x v="1"/>
    <x v="600"/>
    <x v="600"/>
    <s v="aburgetti5@moonfruit.com"/>
    <s v="+1 (419) 372-4746"/>
    <x v="45"/>
    <x v="0"/>
    <x v="1"/>
    <s v="A-M-2.5"/>
    <x v="2"/>
    <x v="0"/>
    <x v="4"/>
    <n v="2.5"/>
    <n v="25.874999999999996"/>
    <x v="68"/>
    <n v="2.3287499999999994"/>
    <n v="9.3149999999999977"/>
    <x v="2"/>
  </r>
  <r>
    <s v="FWU-44971-444"/>
    <x v="499"/>
    <x v="0"/>
    <x v="4"/>
    <x v="601"/>
    <x v="601"/>
    <s v="mmalloyi6@seattletimes.com"/>
    <s v="+1 (202) 284-7115"/>
    <x v="41"/>
    <x v="0"/>
    <x v="1"/>
    <s v="A-D-2.5"/>
    <x v="2"/>
    <x v="2"/>
    <x v="3"/>
    <n v="2.5"/>
    <n v="22.884999999999998"/>
    <x v="96"/>
    <n v="2.0596499999999995"/>
    <n v="6.1789499999999986"/>
    <x v="8"/>
  </r>
  <r>
    <s v="EQI-82205-066"/>
    <x v="500"/>
    <x v="0"/>
    <x v="0"/>
    <x v="602"/>
    <x v="602"/>
    <s v="mmcparlandi7@w3.org"/>
    <s v="UNKNOWN"/>
    <x v="303"/>
    <x v="0"/>
    <x v="0"/>
    <s v="R-M-2.5"/>
    <x v="0"/>
    <x v="0"/>
    <x v="0"/>
    <n v="2.5"/>
    <n v="22.884999999999998"/>
    <x v="135"/>
    <n v="1.3730999999999998"/>
    <n v="2.7461999999999995"/>
    <x v="7"/>
  </r>
  <r>
    <s v="NAR-00747-074"/>
    <x v="501"/>
    <x v="1"/>
    <x v="7"/>
    <x v="603"/>
    <x v="603"/>
    <s v="sjennaroyi8@purevolume.com"/>
    <s v="UNKNOWN"/>
    <x v="24"/>
    <x v="0"/>
    <x v="1"/>
    <s v="L-D-1"/>
    <x v="3"/>
    <x v="2"/>
    <x v="4"/>
    <n v="1"/>
    <n v="12.95"/>
    <x v="67"/>
    <n v="1.6835"/>
    <n v="6.734"/>
    <x v="4"/>
  </r>
  <r>
    <s v="JYR-22052-185"/>
    <x v="502"/>
    <x v="3"/>
    <x v="4"/>
    <x v="604"/>
    <x v="604"/>
    <s v="wplacei9@wsj.com"/>
    <s v="+1 (408) 106-8863"/>
    <x v="304"/>
    <x v="0"/>
    <x v="0"/>
    <s v="A-M-0.5"/>
    <x v="2"/>
    <x v="0"/>
    <x v="0"/>
    <n v="0.5"/>
    <n v="6.75"/>
    <x v="72"/>
    <n v="0.60749999999999993"/>
    <n v="1.2149999999999999"/>
    <x v="8"/>
  </r>
  <r>
    <s v="XKO-54097-932"/>
    <x v="503"/>
    <x v="2"/>
    <x v="6"/>
    <x v="605"/>
    <x v="605"/>
    <s v="jmillettik@addtoany.com"/>
    <s v="+1 (919) 302-3228"/>
    <x v="285"/>
    <x v="0"/>
    <x v="0"/>
    <s v="E-M-0.5"/>
    <x v="1"/>
    <x v="0"/>
    <x v="3"/>
    <n v="0.5"/>
    <n v="8.25"/>
    <x v="167"/>
    <n v="0.90749999999999997"/>
    <n v="2.7225000000000001"/>
    <x v="3"/>
  </r>
  <r>
    <s v="HXA-72415-025"/>
    <x v="504"/>
    <x v="2"/>
    <x v="5"/>
    <x v="606"/>
    <x v="606"/>
    <s v="dgadsdenib@google.com.hk"/>
    <s v="+353 (847) 447-7835"/>
    <x v="305"/>
    <x v="1"/>
    <x v="0"/>
    <s v="A-D-2.5"/>
    <x v="2"/>
    <x v="2"/>
    <x v="0"/>
    <n v="2.5"/>
    <n v="22.884999999999998"/>
    <x v="135"/>
    <n v="2.0596499999999995"/>
    <n v="4.1192999999999991"/>
    <x v="8"/>
  </r>
  <r>
    <s v="MJF-20065-335"/>
    <x v="497"/>
    <x v="3"/>
    <x v="0"/>
    <x v="607"/>
    <x v="607"/>
    <s v="vwakelinic@unesco.org"/>
    <s v="+1 (517) 163-7746"/>
    <x v="133"/>
    <x v="0"/>
    <x v="1"/>
    <s v="E-L-0.5"/>
    <x v="1"/>
    <x v="1"/>
    <x v="5"/>
    <n v="0.5"/>
    <n v="8.91"/>
    <x v="119"/>
    <n v="0.98009999999999997"/>
    <n v="5.8805999999999994"/>
    <x v="1"/>
  </r>
  <r>
    <s v="GFI-83300-059"/>
    <x v="501"/>
    <x v="1"/>
    <x v="7"/>
    <x v="608"/>
    <x v="608"/>
    <s v="acampsallid@zimbio.com"/>
    <s v="+1 (713) 339-5547"/>
    <x v="13"/>
    <x v="0"/>
    <x v="0"/>
    <s v="A-M-0.2"/>
    <x v="2"/>
    <x v="0"/>
    <x v="5"/>
    <n v="0.2"/>
    <n v="3.375"/>
    <x v="16"/>
    <n v="0.30374999999999996"/>
    <n v="1.8224999999999998"/>
    <x v="8"/>
  </r>
  <r>
    <s v="WJR-51493-682"/>
    <x v="1"/>
    <x v="1"/>
    <x v="1"/>
    <x v="609"/>
    <x v="609"/>
    <s v="smosebyie@stanford.edu"/>
    <s v="UNKNOWN"/>
    <x v="306"/>
    <x v="0"/>
    <x v="1"/>
    <s v="L-D-2.5"/>
    <x v="3"/>
    <x v="2"/>
    <x v="1"/>
    <n v="2.5"/>
    <n v="29.784999999999997"/>
    <x v="74"/>
    <n v="3.8720499999999998"/>
    <n v="19.360250000000001"/>
    <x v="12"/>
  </r>
  <r>
    <s v="SHP-55648-472"/>
    <x v="505"/>
    <x v="0"/>
    <x v="6"/>
    <x v="610"/>
    <x v="610"/>
    <s v="cwassif@prweb.com"/>
    <s v="UNKNOWN"/>
    <x v="27"/>
    <x v="0"/>
    <x v="1"/>
    <s v="A-M-1"/>
    <x v="2"/>
    <x v="0"/>
    <x v="5"/>
    <n v="1"/>
    <n v="11.25"/>
    <x v="173"/>
    <n v="1.0125"/>
    <n v="6.0749999999999993"/>
    <x v="8"/>
  </r>
  <r>
    <s v="HYR-03455-684"/>
    <x v="506"/>
    <x v="1"/>
    <x v="9"/>
    <x v="611"/>
    <x v="611"/>
    <s v="isjostromig@pbs.org"/>
    <s v="+1 (814) 359-4610"/>
    <x v="173"/>
    <x v="0"/>
    <x v="1"/>
    <s v="E-D-1"/>
    <x v="1"/>
    <x v="2"/>
    <x v="5"/>
    <n v="1"/>
    <n v="12.15"/>
    <x v="118"/>
    <n v="1.3365"/>
    <n v="8.0190000000000001"/>
    <x v="1"/>
  </r>
  <r>
    <s v="HYR-03455-684"/>
    <x v="506"/>
    <x v="1"/>
    <x v="9"/>
    <x v="611"/>
    <x v="611"/>
    <s v="isjostromig@pbs.org"/>
    <s v="+1 (814) 359-4610"/>
    <x v="173"/>
    <x v="0"/>
    <x v="1"/>
    <s v="L-D-0.2"/>
    <x v="3"/>
    <x v="2"/>
    <x v="0"/>
    <n v="0.2"/>
    <n v="3.8849999999999998"/>
    <x v="41"/>
    <n v="0.50505"/>
    <n v="1.0101"/>
    <x v="4"/>
  </r>
  <r>
    <s v="HUG-52766-375"/>
    <x v="507"/>
    <x v="3"/>
    <x v="1"/>
    <x v="612"/>
    <x v="612"/>
    <s v="jbranchettii@bravesites.com"/>
    <s v="+1 (806) 376-6144"/>
    <x v="143"/>
    <x v="0"/>
    <x v="1"/>
    <s v="A-D-2.5"/>
    <x v="2"/>
    <x v="2"/>
    <x v="4"/>
    <n v="2.5"/>
    <n v="22.884999999999998"/>
    <x v="21"/>
    <n v="2.0596499999999995"/>
    <n v="8.2385999999999981"/>
    <x v="8"/>
  </r>
  <r>
    <s v="DAH-46595-917"/>
    <x v="508"/>
    <x v="1"/>
    <x v="0"/>
    <x v="613"/>
    <x v="613"/>
    <s v="nrudlandij@blogs.com"/>
    <s v="+353 (445) 224-6111"/>
    <x v="307"/>
    <x v="1"/>
    <x v="1"/>
    <s v="A-D-1"/>
    <x v="2"/>
    <x v="2"/>
    <x v="5"/>
    <n v="1"/>
    <n v="9.9499999999999993"/>
    <x v="33"/>
    <n v="0.89549999999999985"/>
    <n v="5.3729999999999993"/>
    <x v="2"/>
  </r>
  <r>
    <s v="VEM-79839-466"/>
    <x v="509"/>
    <x v="2"/>
    <x v="6"/>
    <x v="605"/>
    <x v="605"/>
    <s v="jmillettik@addtoany.com"/>
    <s v="+1 (919) 302-3228"/>
    <x v="285"/>
    <x v="0"/>
    <x v="0"/>
    <s v="R-L-2.5"/>
    <x v="0"/>
    <x v="1"/>
    <x v="1"/>
    <n v="2.5"/>
    <n v="27.484999999999996"/>
    <x v="187"/>
    <n v="1.6490999999999998"/>
    <n v="8.2454999999999998"/>
    <x v="0"/>
  </r>
  <r>
    <s v="OWH-11126-533"/>
    <x v="131"/>
    <x v="1"/>
    <x v="9"/>
    <x v="614"/>
    <x v="614"/>
    <s v="ftourryil@google.de"/>
    <s v="+1 (843) 243-1686"/>
    <x v="308"/>
    <x v="0"/>
    <x v="1"/>
    <s v="L-M-2.5"/>
    <x v="3"/>
    <x v="0"/>
    <x v="0"/>
    <n v="2.5"/>
    <n v="33.464999999999996"/>
    <x v="174"/>
    <n v="4.3504499999999995"/>
    <n v="8.700899999999999"/>
    <x v="4"/>
  </r>
  <r>
    <s v="UMT-26130-151"/>
    <x v="510"/>
    <x v="0"/>
    <x v="5"/>
    <x v="615"/>
    <x v="615"/>
    <s v="cweatherallim@toplist.cz"/>
    <s v="+1 (315) 335-0182"/>
    <x v="309"/>
    <x v="0"/>
    <x v="0"/>
    <s v="L-M-0.2"/>
    <x v="3"/>
    <x v="0"/>
    <x v="3"/>
    <n v="0.2"/>
    <n v="4.3650000000000002"/>
    <x v="73"/>
    <n v="0.56745000000000001"/>
    <n v="1.70235"/>
    <x v="4"/>
  </r>
  <r>
    <s v="JKA-27899-806"/>
    <x v="511"/>
    <x v="1"/>
    <x v="7"/>
    <x v="616"/>
    <x v="616"/>
    <s v="gheindrickin@usda.gov"/>
    <s v="+1 (229) 111-7292"/>
    <x v="227"/>
    <x v="0"/>
    <x v="1"/>
    <s v="R-L-1"/>
    <x v="0"/>
    <x v="1"/>
    <x v="1"/>
    <n v="1"/>
    <n v="11.95"/>
    <x v="143"/>
    <n v="0.71699999999999997"/>
    <n v="3.585"/>
    <x v="7"/>
  </r>
  <r>
    <s v="ULU-07744-724"/>
    <x v="512"/>
    <x v="3"/>
    <x v="6"/>
    <x v="617"/>
    <x v="617"/>
    <s v="limasonio@discuz.net"/>
    <s v="UNKNOWN"/>
    <x v="13"/>
    <x v="0"/>
    <x v="0"/>
    <s v="L-M-0.5"/>
    <x v="3"/>
    <x v="0"/>
    <x v="1"/>
    <n v="0.5"/>
    <n v="8.73"/>
    <x v="34"/>
    <n v="1.1349"/>
    <n v="5.6745000000000001"/>
    <x v="10"/>
  </r>
  <r>
    <s v="NOM-56457-507"/>
    <x v="513"/>
    <x v="3"/>
    <x v="7"/>
    <x v="618"/>
    <x v="618"/>
    <s v="hsaillip@odnoklassniki.ru"/>
    <s v="+1 (913) 968-8024"/>
    <x v="77"/>
    <x v="0"/>
    <x v="0"/>
    <s v="E-M-1"/>
    <x v="1"/>
    <x v="0"/>
    <x v="5"/>
    <n v="1"/>
    <n v="13.75"/>
    <x v="121"/>
    <n v="1.5125"/>
    <n v="9.0749999999999993"/>
    <x v="1"/>
  </r>
  <r>
    <s v="NZN-71683-705"/>
    <x v="514"/>
    <x v="1"/>
    <x v="9"/>
    <x v="619"/>
    <x v="619"/>
    <s v="hlarvoriq@last.fm"/>
    <s v="+1 (941) 779-2195"/>
    <x v="310"/>
    <x v="0"/>
    <x v="0"/>
    <s v="A-L-2.5"/>
    <x v="2"/>
    <x v="1"/>
    <x v="5"/>
    <n v="2.5"/>
    <n v="29.784999999999997"/>
    <x v="39"/>
    <n v="2.6806499999999995"/>
    <n v="16.083899999999996"/>
    <x v="8"/>
  </r>
  <r>
    <s v="WMA-34232-850"/>
    <x v="7"/>
    <x v="1"/>
    <x v="6"/>
    <x v="620"/>
    <x v="620"/>
    <s v="UNKNOWN"/>
    <s v="+1 (610) 942-2790"/>
    <x v="311"/>
    <x v="0"/>
    <x v="0"/>
    <s v="L-D-2.5"/>
    <x v="3"/>
    <x v="2"/>
    <x v="4"/>
    <n v="2.5"/>
    <n v="29.784999999999997"/>
    <x v="129"/>
    <n v="3.8720499999999998"/>
    <n v="15.488199999999999"/>
    <x v="4"/>
  </r>
  <r>
    <s v="EZL-27919-704"/>
    <x v="481"/>
    <x v="1"/>
    <x v="4"/>
    <x v="621"/>
    <x v="621"/>
    <s v="UNKNOWN"/>
    <s v="+1 (757) 101-9459"/>
    <x v="312"/>
    <x v="0"/>
    <x v="1"/>
    <s v="L-L-0.5"/>
    <x v="3"/>
    <x v="1"/>
    <x v="1"/>
    <n v="0.5"/>
    <n v="9.51"/>
    <x v="46"/>
    <n v="1.2363"/>
    <n v="6.1814999999999998"/>
    <x v="4"/>
  </r>
  <r>
    <s v="ZYU-11345-774"/>
    <x v="515"/>
    <x v="1"/>
    <x v="4"/>
    <x v="622"/>
    <x v="622"/>
    <s v="cpenwardenit@mlb.com"/>
    <s v="+353 (765) 345-5590"/>
    <x v="230"/>
    <x v="1"/>
    <x v="1"/>
    <s v="L-M-0.5"/>
    <x v="3"/>
    <x v="0"/>
    <x v="1"/>
    <n v="0.5"/>
    <n v="8.73"/>
    <x v="34"/>
    <n v="1.1349"/>
    <n v="5.6745000000000001"/>
    <x v="10"/>
  </r>
  <r>
    <s v="CPW-34587-459"/>
    <x v="516"/>
    <x v="1"/>
    <x v="6"/>
    <x v="623"/>
    <x v="623"/>
    <s v="mmiddisiu@dmoz.org"/>
    <s v="+1 (316) 736-9645"/>
    <x v="313"/>
    <x v="0"/>
    <x v="0"/>
    <s v="A-L-2.5"/>
    <x v="2"/>
    <x v="1"/>
    <x v="5"/>
    <n v="2.5"/>
    <n v="29.784999999999997"/>
    <x v="39"/>
    <n v="2.6806499999999995"/>
    <n v="16.083899999999996"/>
    <x v="8"/>
  </r>
  <r>
    <s v="NQZ-82067-394"/>
    <x v="517"/>
    <x v="2"/>
    <x v="6"/>
    <x v="624"/>
    <x v="624"/>
    <s v="avairowiv@studiopress.com"/>
    <s v="+44 (236) 517-2586"/>
    <x v="300"/>
    <x v="2"/>
    <x v="1"/>
    <s v="R-L-2.5"/>
    <x v="0"/>
    <x v="1"/>
    <x v="2"/>
    <n v="2.5"/>
    <n v="27.484999999999996"/>
    <x v="142"/>
    <n v="1.6490999999999998"/>
    <n v="1.6490999999999998"/>
    <x v="0"/>
  </r>
  <r>
    <s v="JBW-95055-851"/>
    <x v="518"/>
    <x v="1"/>
    <x v="2"/>
    <x v="625"/>
    <x v="625"/>
    <s v="agoldieiw@goo.gl"/>
    <s v="UNKNOWN"/>
    <x v="189"/>
    <x v="0"/>
    <x v="1"/>
    <s v="A-M-1"/>
    <x v="2"/>
    <x v="0"/>
    <x v="1"/>
    <n v="1"/>
    <n v="11.25"/>
    <x v="126"/>
    <n v="1.0125"/>
    <n v="5.0625"/>
    <x v="2"/>
  </r>
  <r>
    <s v="AHY-20324-088"/>
    <x v="519"/>
    <x v="3"/>
    <x v="0"/>
    <x v="626"/>
    <x v="626"/>
    <s v="nayrisix@t-online.de"/>
    <s v="+44 (627) 552-5656"/>
    <x v="44"/>
    <x v="2"/>
    <x v="0"/>
    <s v="L-L-0.2"/>
    <x v="3"/>
    <x v="1"/>
    <x v="0"/>
    <n v="0.2"/>
    <n v="4.7549999999999999"/>
    <x v="54"/>
    <n v="0.61814999999999998"/>
    <n v="1.2363"/>
    <x v="4"/>
  </r>
  <r>
    <s v="ZSL-66684-103"/>
    <x v="520"/>
    <x v="0"/>
    <x v="9"/>
    <x v="627"/>
    <x v="627"/>
    <s v="lbenediktovichiy@wunderground.com"/>
    <s v="+1 (904) 330-1211"/>
    <x v="314"/>
    <x v="0"/>
    <x v="0"/>
    <s v="E-M-0.2"/>
    <x v="1"/>
    <x v="0"/>
    <x v="0"/>
    <n v="0.2"/>
    <n v="4.125"/>
    <x v="112"/>
    <n v="0.45374999999999999"/>
    <n v="0.90749999999999997"/>
    <x v="3"/>
  </r>
  <r>
    <s v="WNE-73911-475"/>
    <x v="521"/>
    <x v="3"/>
    <x v="8"/>
    <x v="628"/>
    <x v="628"/>
    <s v="tjacobovitziz@cbc.ca"/>
    <s v="+1 (713) 642-2082"/>
    <x v="13"/>
    <x v="0"/>
    <x v="1"/>
    <s v="L-D-0.5"/>
    <x v="3"/>
    <x v="2"/>
    <x v="5"/>
    <n v="0.5"/>
    <n v="7.77"/>
    <x v="162"/>
    <n v="1.0101"/>
    <n v="6.0606"/>
    <x v="4"/>
  </r>
  <r>
    <s v="EZB-68383-559"/>
    <x v="418"/>
    <x v="0"/>
    <x v="10"/>
    <x v="629"/>
    <x v="629"/>
    <s v="UNKNOWN"/>
    <s v="+1 (971) 254-5295"/>
    <x v="12"/>
    <x v="0"/>
    <x v="1"/>
    <s v="R-L-1"/>
    <x v="0"/>
    <x v="1"/>
    <x v="5"/>
    <n v="1"/>
    <n v="11.95"/>
    <x v="144"/>
    <n v="0.71699999999999997"/>
    <n v="4.3019999999999996"/>
    <x v="0"/>
  </r>
  <r>
    <s v="OVO-01283-090"/>
    <x v="122"/>
    <x v="2"/>
    <x v="6"/>
    <x v="630"/>
    <x v="630"/>
    <s v="jdruittj1@feedburner.com"/>
    <s v="+1 (650) 693-6904"/>
    <x v="148"/>
    <x v="0"/>
    <x v="0"/>
    <s v="L-L-2.5"/>
    <x v="3"/>
    <x v="1"/>
    <x v="0"/>
    <n v="2.5"/>
    <n v="36.454999999999998"/>
    <x v="37"/>
    <n v="4.7391499999999995"/>
    <n v="9.4782999999999991"/>
    <x v="4"/>
  </r>
  <r>
    <s v="TXH-78646-919"/>
    <x v="423"/>
    <x v="1"/>
    <x v="5"/>
    <x v="631"/>
    <x v="631"/>
    <s v="dshortallj2@wikipedia.org"/>
    <s v="+1 (714) 917-8665"/>
    <x v="100"/>
    <x v="0"/>
    <x v="0"/>
    <s v="R-D-0.2"/>
    <x v="0"/>
    <x v="2"/>
    <x v="3"/>
    <n v="0.2"/>
    <n v="2.6849999999999996"/>
    <x v="36"/>
    <n v="0.16109999999999997"/>
    <n v="0.4832999999999999"/>
    <x v="11"/>
  </r>
  <r>
    <s v="CYZ-37122-164"/>
    <x v="463"/>
    <x v="0"/>
    <x v="4"/>
    <x v="632"/>
    <x v="632"/>
    <s v="wcottierj3@cafepress.com"/>
    <s v="+1 (408) 261-7902"/>
    <x v="7"/>
    <x v="0"/>
    <x v="1"/>
    <s v="E-M-0.5"/>
    <x v="1"/>
    <x v="0"/>
    <x v="0"/>
    <n v="0.5"/>
    <n v="8.25"/>
    <x v="38"/>
    <n v="0.90749999999999997"/>
    <n v="1.8149999999999999"/>
    <x v="3"/>
  </r>
  <r>
    <s v="AGQ-06534-750"/>
    <x v="273"/>
    <x v="0"/>
    <x v="8"/>
    <x v="633"/>
    <x v="633"/>
    <s v="kgrinstedj4@google.com.br"/>
    <s v="+353 (773) 225-6216"/>
    <x v="315"/>
    <x v="1"/>
    <x v="1"/>
    <s v="A-L-1"/>
    <x v="2"/>
    <x v="1"/>
    <x v="1"/>
    <n v="1"/>
    <n v="12.95"/>
    <x v="188"/>
    <n v="1.1655"/>
    <n v="5.8274999999999997"/>
    <x v="2"/>
  </r>
  <r>
    <s v="QVL-32245-818"/>
    <x v="522"/>
    <x v="1"/>
    <x v="5"/>
    <x v="634"/>
    <x v="634"/>
    <s v="dskynerj5@hubpages.com"/>
    <s v="+1 (719) 937-4913"/>
    <x v="71"/>
    <x v="0"/>
    <x v="1"/>
    <s v="A-M-0.5"/>
    <x v="2"/>
    <x v="0"/>
    <x v="1"/>
    <n v="0.5"/>
    <n v="6.75"/>
    <x v="65"/>
    <n v="0.60749999999999993"/>
    <n v="3.0374999999999996"/>
    <x v="8"/>
  </r>
  <r>
    <s v="LTD-96842-834"/>
    <x v="523"/>
    <x v="2"/>
    <x v="2"/>
    <x v="635"/>
    <x v="635"/>
    <s v="UNKNOWN"/>
    <s v="UNKNOWN"/>
    <x v="45"/>
    <x v="0"/>
    <x v="1"/>
    <s v="L-D-2.5"/>
    <x v="3"/>
    <x v="2"/>
    <x v="5"/>
    <n v="2.5"/>
    <n v="29.784999999999997"/>
    <x v="39"/>
    <n v="3.8720499999999998"/>
    <n v="23.232299999999999"/>
    <x v="4"/>
  </r>
  <r>
    <s v="SEC-91807-425"/>
    <x v="260"/>
    <x v="1"/>
    <x v="4"/>
    <x v="636"/>
    <x v="636"/>
    <s v="jdymokeje@prnewswire.com"/>
    <s v="+353 (390) 459-9269"/>
    <x v="75"/>
    <x v="1"/>
    <x v="1"/>
    <s v="A-M-1"/>
    <x v="2"/>
    <x v="0"/>
    <x v="0"/>
    <n v="1"/>
    <n v="11.25"/>
    <x v="122"/>
    <n v="1.0125"/>
    <n v="2.0249999999999999"/>
    <x v="2"/>
  </r>
  <r>
    <s v="MHM-44857-599"/>
    <x v="331"/>
    <x v="0"/>
    <x v="0"/>
    <x v="637"/>
    <x v="637"/>
    <s v="aweinmannj8@shinystat.com"/>
    <s v="+1 (513) 966-3308"/>
    <x v="159"/>
    <x v="0"/>
    <x v="1"/>
    <s v="L-D-1"/>
    <x v="3"/>
    <x v="2"/>
    <x v="2"/>
    <n v="1"/>
    <n v="12.95"/>
    <x v="2"/>
    <n v="1.6835"/>
    <n v="1.6835"/>
    <x v="4"/>
  </r>
  <r>
    <s v="KGC-95046-911"/>
    <x v="524"/>
    <x v="3"/>
    <x v="1"/>
    <x v="638"/>
    <x v="638"/>
    <s v="eandriessenj9@europa.eu"/>
    <s v="+1 (314) 307-5250"/>
    <x v="10"/>
    <x v="0"/>
    <x v="0"/>
    <s v="A-M-2.5"/>
    <x v="2"/>
    <x v="0"/>
    <x v="0"/>
    <n v="2.5"/>
    <n v="25.874999999999996"/>
    <x v="95"/>
    <n v="2.3287499999999994"/>
    <n v="4.6574999999999989"/>
    <x v="2"/>
  </r>
  <r>
    <s v="RZC-75150-413"/>
    <x v="525"/>
    <x v="3"/>
    <x v="6"/>
    <x v="639"/>
    <x v="639"/>
    <s v="rdeaconsonja@archive.org"/>
    <s v="+1 (914) 524-1161"/>
    <x v="316"/>
    <x v="0"/>
    <x v="1"/>
    <s v="E-D-0.5"/>
    <x v="1"/>
    <x v="2"/>
    <x v="1"/>
    <n v="0.5"/>
    <n v="7.29"/>
    <x v="114"/>
    <n v="0.80190000000000006"/>
    <n v="4.0095000000000001"/>
    <x v="1"/>
  </r>
  <r>
    <s v="EYH-88288-452"/>
    <x v="526"/>
    <x v="1"/>
    <x v="8"/>
    <x v="640"/>
    <x v="640"/>
    <s v="dcarojb@twitter.com"/>
    <s v="+1 (410) 594-3041"/>
    <x v="192"/>
    <x v="0"/>
    <x v="0"/>
    <s v="L-L-2.5"/>
    <x v="3"/>
    <x v="1"/>
    <x v="1"/>
    <n v="2.5"/>
    <n v="36.454999999999998"/>
    <x v="134"/>
    <n v="4.7391499999999995"/>
    <n v="23.695749999999997"/>
    <x v="4"/>
  </r>
  <r>
    <s v="NYQ-24237-772"/>
    <x v="104"/>
    <x v="0"/>
    <x v="3"/>
    <x v="641"/>
    <x v="641"/>
    <s v="jbluckjc@imageshack.us"/>
    <s v="+1 (904) 875-3139"/>
    <x v="314"/>
    <x v="0"/>
    <x v="1"/>
    <s v="L-D-0.5"/>
    <x v="3"/>
    <x v="2"/>
    <x v="4"/>
    <n v="0.5"/>
    <n v="7.77"/>
    <x v="113"/>
    <n v="1.0101"/>
    <n v="4.0404"/>
    <x v="4"/>
  </r>
  <r>
    <s v="WKB-21680-566"/>
    <x v="491"/>
    <x v="1"/>
    <x v="9"/>
    <x v="642"/>
    <x v="642"/>
    <s v="UNKNOWN"/>
    <s v="UNKNOWN"/>
    <x v="317"/>
    <x v="1"/>
    <x v="1"/>
    <s v="A-M-0.5"/>
    <x v="2"/>
    <x v="0"/>
    <x v="3"/>
    <n v="0.5"/>
    <n v="6.75"/>
    <x v="16"/>
    <n v="0.60749999999999993"/>
    <n v="1.8224999999999998"/>
    <x v="8"/>
  </r>
  <r>
    <s v="THE-61147-027"/>
    <x v="157"/>
    <x v="0"/>
    <x v="9"/>
    <x v="636"/>
    <x v="636"/>
    <s v="jdymokeje@prnewswire.com"/>
    <s v="+353 (390) 459-9269"/>
    <x v="75"/>
    <x v="1"/>
    <x v="1"/>
    <s v="L-D-1"/>
    <x v="3"/>
    <x v="2"/>
    <x v="0"/>
    <n v="1"/>
    <n v="12.95"/>
    <x v="109"/>
    <n v="1.6835"/>
    <n v="3.367"/>
    <x v="4"/>
  </r>
  <r>
    <s v="PTY-86420-119"/>
    <x v="527"/>
    <x v="1"/>
    <x v="8"/>
    <x v="643"/>
    <x v="643"/>
    <s v="otadmanjf@ft.com"/>
    <s v="+1 (305) 205-3682"/>
    <x v="218"/>
    <x v="0"/>
    <x v="0"/>
    <s v="A-D-0.5"/>
    <x v="2"/>
    <x v="2"/>
    <x v="4"/>
    <n v="0.5"/>
    <n v="5.97"/>
    <x v="86"/>
    <n v="0.5373"/>
    <n v="2.1492"/>
    <x v="9"/>
  </r>
  <r>
    <s v="QHL-27188-431"/>
    <x v="528"/>
    <x v="0"/>
    <x v="0"/>
    <x v="644"/>
    <x v="644"/>
    <s v="bguddejg@dailymotion.com"/>
    <s v="UNKNOWN"/>
    <x v="204"/>
    <x v="0"/>
    <x v="1"/>
    <s v="L-L-0.5"/>
    <x v="3"/>
    <x v="1"/>
    <x v="0"/>
    <n v="0.5"/>
    <n v="9.51"/>
    <x v="81"/>
    <n v="1.2363"/>
    <n v="2.4725999999999999"/>
    <x v="4"/>
  </r>
  <r>
    <s v="MIS-54381-047"/>
    <x v="99"/>
    <x v="2"/>
    <x v="1"/>
    <x v="645"/>
    <x v="645"/>
    <s v="nsictornesjh@buzzfeed.com"/>
    <s v="+353 (410) 713-0145"/>
    <x v="201"/>
    <x v="1"/>
    <x v="0"/>
    <s v="A-D-0.5"/>
    <x v="2"/>
    <x v="2"/>
    <x v="1"/>
    <n v="0.5"/>
    <n v="5.97"/>
    <x v="44"/>
    <n v="0.5373"/>
    <n v="2.6865000000000001"/>
    <x v="9"/>
  </r>
  <r>
    <s v="TBB-29780-459"/>
    <x v="529"/>
    <x v="0"/>
    <x v="2"/>
    <x v="646"/>
    <x v="646"/>
    <s v="vdunningji@independent.co.uk"/>
    <s v="UNKNOWN"/>
    <x v="17"/>
    <x v="0"/>
    <x v="0"/>
    <s v="A-L-0.5"/>
    <x v="2"/>
    <x v="1"/>
    <x v="2"/>
    <n v="0.5"/>
    <n v="7.77"/>
    <x v="41"/>
    <n v="0.69929999999999992"/>
    <n v="0.69929999999999992"/>
    <x v="2"/>
  </r>
  <r>
    <s v="QLC-52637-305"/>
    <x v="530"/>
    <x v="0"/>
    <x v="10"/>
    <x v="647"/>
    <x v="647"/>
    <s v="UNKNOWN"/>
    <s v="+353 (214) 406-4884"/>
    <x v="104"/>
    <x v="1"/>
    <x v="0"/>
    <s v="L-D-2.5"/>
    <x v="3"/>
    <x v="2"/>
    <x v="4"/>
    <n v="2.5"/>
    <n v="29.784999999999997"/>
    <x v="129"/>
    <n v="3.8720499999999998"/>
    <n v="15.488199999999999"/>
    <x v="4"/>
  </r>
  <r>
    <s v="CWT-27056-328"/>
    <x v="531"/>
    <x v="2"/>
    <x v="1"/>
    <x v="648"/>
    <x v="648"/>
    <s v="UNKNOWN"/>
    <s v="+1 (212) 163-1916"/>
    <x v="15"/>
    <x v="0"/>
    <x v="0"/>
    <s v="E-D-0.2"/>
    <x v="1"/>
    <x v="2"/>
    <x v="5"/>
    <n v="0.2"/>
    <n v="3.645"/>
    <x v="6"/>
    <n v="0.40095000000000003"/>
    <n v="2.4057000000000004"/>
    <x v="5"/>
  </r>
  <r>
    <s v="ASS-05878-128"/>
    <x v="210"/>
    <x v="3"/>
    <x v="7"/>
    <x v="649"/>
    <x v="649"/>
    <s v="sgehringjl@gnu.org"/>
    <s v="+1 (864) 940-7075"/>
    <x v="141"/>
    <x v="0"/>
    <x v="1"/>
    <s v="E-L-0.5"/>
    <x v="1"/>
    <x v="1"/>
    <x v="0"/>
    <n v="0.5"/>
    <n v="8.91"/>
    <x v="58"/>
    <n v="0.98009999999999997"/>
    <n v="1.9601999999999999"/>
    <x v="3"/>
  </r>
  <r>
    <s v="EGK-03027-418"/>
    <x v="532"/>
    <x v="1"/>
    <x v="1"/>
    <x v="650"/>
    <x v="650"/>
    <s v="bfallowesjm@purevolume.com"/>
    <s v="+1 (805) 975-3527"/>
    <x v="318"/>
    <x v="0"/>
    <x v="1"/>
    <s v="E-M-0.2"/>
    <x v="1"/>
    <x v="0"/>
    <x v="3"/>
    <n v="0.2"/>
    <n v="4.125"/>
    <x v="24"/>
    <n v="0.45374999999999999"/>
    <n v="1.3612500000000001"/>
    <x v="3"/>
  </r>
  <r>
    <s v="KCY-61732-849"/>
    <x v="533"/>
    <x v="0"/>
    <x v="6"/>
    <x v="651"/>
    <x v="651"/>
    <s v="UNKNOWN"/>
    <s v="+353 (861) 791-0313"/>
    <x v="319"/>
    <x v="1"/>
    <x v="1"/>
    <s v="L-D-1"/>
    <x v="3"/>
    <x v="2"/>
    <x v="0"/>
    <n v="1"/>
    <n v="12.95"/>
    <x v="109"/>
    <n v="1.6835"/>
    <n v="3.367"/>
    <x v="4"/>
  </r>
  <r>
    <s v="BLI-21697-702"/>
    <x v="534"/>
    <x v="0"/>
    <x v="9"/>
    <x v="652"/>
    <x v="652"/>
    <s v="sdejo@newsvine.com"/>
    <s v="+1 (314) 496-2561"/>
    <x v="10"/>
    <x v="0"/>
    <x v="0"/>
    <s v="A-M-0.5"/>
    <x v="2"/>
    <x v="0"/>
    <x v="0"/>
    <n v="0.5"/>
    <n v="6.75"/>
    <x v="72"/>
    <n v="0.60749999999999993"/>
    <n v="1.2149999999999999"/>
    <x v="8"/>
  </r>
  <r>
    <s v="KFJ-46568-890"/>
    <x v="535"/>
    <x v="0"/>
    <x v="4"/>
    <x v="653"/>
    <x v="653"/>
    <s v="UNKNOWN"/>
    <s v="+1 (260) 280-7251"/>
    <x v="51"/>
    <x v="0"/>
    <x v="0"/>
    <s v="E-L-0.5"/>
    <x v="1"/>
    <x v="1"/>
    <x v="0"/>
    <n v="0.5"/>
    <n v="8.91"/>
    <x v="58"/>
    <n v="0.98009999999999997"/>
    <n v="1.9601999999999999"/>
    <x v="3"/>
  </r>
  <r>
    <s v="SOK-43535-680"/>
    <x v="536"/>
    <x v="2"/>
    <x v="8"/>
    <x v="654"/>
    <x v="654"/>
    <s v="scountjq@nba.com"/>
    <s v="+1 (952) 721-7276"/>
    <x v="320"/>
    <x v="0"/>
    <x v="1"/>
    <s v="E-M-0.5"/>
    <x v="1"/>
    <x v="0"/>
    <x v="3"/>
    <n v="0.5"/>
    <n v="8.25"/>
    <x v="167"/>
    <n v="0.90749999999999997"/>
    <n v="2.7225000000000001"/>
    <x v="3"/>
  </r>
  <r>
    <s v="XUE-87260-201"/>
    <x v="537"/>
    <x v="2"/>
    <x v="10"/>
    <x v="655"/>
    <x v="655"/>
    <s v="sraglesjr@blogtalkradio.com"/>
    <s v="+1 (479) 494-1369"/>
    <x v="321"/>
    <x v="0"/>
    <x v="1"/>
    <s v="R-M-0.2"/>
    <x v="0"/>
    <x v="0"/>
    <x v="5"/>
    <n v="0.2"/>
    <n v="2.9849999999999999"/>
    <x v="8"/>
    <n v="0.17909999999999998"/>
    <n v="1.0745999999999998"/>
    <x v="6"/>
  </r>
  <r>
    <s v="CZF-40873-691"/>
    <x v="61"/>
    <x v="0"/>
    <x v="1"/>
    <x v="656"/>
    <x v="656"/>
    <s v="UNKNOWN"/>
    <s v="UNKNOWN"/>
    <x v="217"/>
    <x v="2"/>
    <x v="1"/>
    <s v="E-M-0.5"/>
    <x v="1"/>
    <x v="0"/>
    <x v="0"/>
    <n v="0.5"/>
    <n v="8.25"/>
    <x v="38"/>
    <n v="0.90749999999999997"/>
    <n v="1.8149999999999999"/>
    <x v="3"/>
  </r>
  <r>
    <s v="AIA-98989-755"/>
    <x v="242"/>
    <x v="3"/>
    <x v="5"/>
    <x v="657"/>
    <x v="657"/>
    <s v="sbruunjt@blogtalkradio.com"/>
    <s v="+1 (209) 784-1969"/>
    <x v="83"/>
    <x v="0"/>
    <x v="1"/>
    <s v="R-M-0.2"/>
    <x v="0"/>
    <x v="0"/>
    <x v="2"/>
    <n v="0.2"/>
    <n v="2.9849999999999999"/>
    <x v="55"/>
    <n v="0.17909999999999998"/>
    <n v="0.17909999999999998"/>
    <x v="7"/>
  </r>
  <r>
    <s v="ITZ-21793-986"/>
    <x v="299"/>
    <x v="1"/>
    <x v="1"/>
    <x v="658"/>
    <x v="658"/>
    <s v="aplluju@dagondesign.com"/>
    <s v="+353 (915) 742-6707"/>
    <x v="322"/>
    <x v="1"/>
    <x v="0"/>
    <s v="E-D-0.2"/>
    <x v="1"/>
    <x v="2"/>
    <x v="4"/>
    <n v="0.2"/>
    <n v="3.645"/>
    <x v="20"/>
    <n v="0.40095000000000003"/>
    <n v="1.6038000000000001"/>
    <x v="3"/>
  </r>
  <r>
    <s v="YOK-93322-608"/>
    <x v="343"/>
    <x v="1"/>
    <x v="11"/>
    <x v="659"/>
    <x v="659"/>
    <s v="gcornierjv@techcrunch.com"/>
    <s v="UNKNOWN"/>
    <x v="47"/>
    <x v="0"/>
    <x v="1"/>
    <s v="E-L-1"/>
    <x v="1"/>
    <x v="1"/>
    <x v="5"/>
    <n v="1"/>
    <n v="14.85"/>
    <x v="146"/>
    <n v="1.6335"/>
    <n v="9.8010000000000002"/>
    <x v="5"/>
  </r>
  <r>
    <s v="LXK-00634-611"/>
    <x v="538"/>
    <x v="2"/>
    <x v="10"/>
    <x v="636"/>
    <x v="636"/>
    <s v="jdymokeje@prnewswire.com"/>
    <s v="+353 (390) 459-9269"/>
    <x v="75"/>
    <x v="1"/>
    <x v="1"/>
    <s v="R-L-1"/>
    <x v="0"/>
    <x v="1"/>
    <x v="3"/>
    <n v="1"/>
    <n v="11.95"/>
    <x v="66"/>
    <n v="0.71699999999999997"/>
    <n v="2.1509999999999998"/>
    <x v="0"/>
  </r>
  <r>
    <s v="CQW-37388-302"/>
    <x v="539"/>
    <x v="0"/>
    <x v="2"/>
    <x v="660"/>
    <x v="660"/>
    <s v="wharvisonjx@gizmodo.com"/>
    <s v="+1 (610) 316-8430"/>
    <x v="11"/>
    <x v="0"/>
    <x v="1"/>
    <s v="A-D-2.5"/>
    <x v="2"/>
    <x v="2"/>
    <x v="3"/>
    <n v="2.5"/>
    <n v="22.884999999999998"/>
    <x v="96"/>
    <n v="2.0596499999999995"/>
    <n v="6.1789499999999986"/>
    <x v="8"/>
  </r>
  <r>
    <s v="SPA-79365-334"/>
    <x v="27"/>
    <x v="1"/>
    <x v="1"/>
    <x v="661"/>
    <x v="661"/>
    <s v="dheafordjy@twitpic.com"/>
    <s v="+1 (325) 537-8835"/>
    <x v="299"/>
    <x v="0"/>
    <x v="1"/>
    <s v="L-D-1"/>
    <x v="3"/>
    <x v="2"/>
    <x v="3"/>
    <n v="1"/>
    <n v="12.95"/>
    <x v="5"/>
    <n v="1.6835"/>
    <n v="5.0504999999999995"/>
    <x v="4"/>
  </r>
  <r>
    <s v="VPX-08817-517"/>
    <x v="540"/>
    <x v="3"/>
    <x v="11"/>
    <x v="662"/>
    <x v="662"/>
    <s v="gfanthamjz@hexun.com"/>
    <s v="+1 (323) 878-8818"/>
    <x v="6"/>
    <x v="0"/>
    <x v="0"/>
    <s v="L-L-1"/>
    <x v="3"/>
    <x v="1"/>
    <x v="1"/>
    <n v="1"/>
    <n v="15.85"/>
    <x v="180"/>
    <n v="2.0605000000000002"/>
    <n v="10.302500000000002"/>
    <x v="12"/>
  </r>
  <r>
    <s v="PBP-87115-410"/>
    <x v="541"/>
    <x v="1"/>
    <x v="4"/>
    <x v="663"/>
    <x v="663"/>
    <s v="rcrookshanksk0@unc.edu"/>
    <s v="+1 (517) 654-6004"/>
    <x v="133"/>
    <x v="0"/>
    <x v="0"/>
    <s v="E-D-0.5"/>
    <x v="1"/>
    <x v="2"/>
    <x v="1"/>
    <n v="0.5"/>
    <n v="7.29"/>
    <x v="114"/>
    <n v="0.80190000000000006"/>
    <n v="4.0095000000000001"/>
    <x v="1"/>
  </r>
  <r>
    <s v="SFB-93752-440"/>
    <x v="390"/>
    <x v="1"/>
    <x v="7"/>
    <x v="664"/>
    <x v="664"/>
    <s v="nleakek1@cmu.edu"/>
    <s v="+1 (786) 470-1233"/>
    <x v="120"/>
    <x v="0"/>
    <x v="0"/>
    <s v="R-M-0.2"/>
    <x v="0"/>
    <x v="0"/>
    <x v="3"/>
    <n v="0.2"/>
    <n v="2.9849999999999999"/>
    <x v="169"/>
    <n v="0.17909999999999998"/>
    <n v="0.53729999999999989"/>
    <x v="6"/>
  </r>
  <r>
    <s v="TBU-65158-068"/>
    <x v="396"/>
    <x v="2"/>
    <x v="10"/>
    <x v="665"/>
    <x v="665"/>
    <s v="UNKNOWN"/>
    <s v="+1 (562) 343-9707"/>
    <x v="127"/>
    <x v="0"/>
    <x v="1"/>
    <s v="E-D-1"/>
    <x v="1"/>
    <x v="2"/>
    <x v="0"/>
    <n v="1"/>
    <n v="12.15"/>
    <x v="76"/>
    <n v="1.3365"/>
    <n v="2.673"/>
    <x v="3"/>
  </r>
  <r>
    <s v="TEH-08414-216"/>
    <x v="185"/>
    <x v="1"/>
    <x v="7"/>
    <x v="666"/>
    <x v="666"/>
    <s v="geilhersenk3@networksolutions.com"/>
    <s v="+1 (559) 791-5117"/>
    <x v="74"/>
    <x v="0"/>
    <x v="1"/>
    <s v="E-M-2.5"/>
    <x v="1"/>
    <x v="0"/>
    <x v="0"/>
    <n v="2.5"/>
    <n v="31.624999999999996"/>
    <x v="40"/>
    <n v="3.4787499999999998"/>
    <n v="6.9574999999999996"/>
    <x v="3"/>
  </r>
  <r>
    <s v="MAY-77231-536"/>
    <x v="542"/>
    <x v="3"/>
    <x v="0"/>
    <x v="667"/>
    <x v="667"/>
    <s v="UNKNOWN"/>
    <s v="+1 (646) 228-3492"/>
    <x v="15"/>
    <x v="0"/>
    <x v="0"/>
    <s v="A-M-0.2"/>
    <x v="2"/>
    <x v="0"/>
    <x v="0"/>
    <n v="0.2"/>
    <n v="3.375"/>
    <x v="52"/>
    <n v="0.30374999999999996"/>
    <n v="0.60749999999999993"/>
    <x v="8"/>
  </r>
  <r>
    <s v="ATY-28980-884"/>
    <x v="117"/>
    <x v="3"/>
    <x v="2"/>
    <x v="668"/>
    <x v="668"/>
    <s v="caleixok5@globo.com"/>
    <s v="+1 (719) 241-4639"/>
    <x v="71"/>
    <x v="0"/>
    <x v="1"/>
    <s v="A-L-0.2"/>
    <x v="2"/>
    <x v="1"/>
    <x v="5"/>
    <n v="0.2"/>
    <n v="3.8849999999999998"/>
    <x v="102"/>
    <n v="0.34964999999999996"/>
    <n v="2.0978999999999997"/>
    <x v="2"/>
  </r>
  <r>
    <s v="SWP-88281-918"/>
    <x v="543"/>
    <x v="2"/>
    <x v="4"/>
    <x v="669"/>
    <x v="669"/>
    <s v="UNKNOWN"/>
    <s v="+1 (562) 723-4457"/>
    <x v="323"/>
    <x v="0"/>
    <x v="1"/>
    <s v="L-L-2.5"/>
    <x v="3"/>
    <x v="1"/>
    <x v="4"/>
    <n v="2.5"/>
    <n v="36.454999999999998"/>
    <x v="43"/>
    <n v="4.7391499999999995"/>
    <n v="18.956599999999998"/>
    <x v="4"/>
  </r>
  <r>
    <s v="VCE-56531-986"/>
    <x v="544"/>
    <x v="1"/>
    <x v="6"/>
    <x v="670"/>
    <x v="670"/>
    <s v="rtomkowiczk7@bravesites.com"/>
    <s v="+353 (849) 645-1593"/>
    <x v="324"/>
    <x v="1"/>
    <x v="0"/>
    <s v="R-M-0.5"/>
    <x v="0"/>
    <x v="0"/>
    <x v="1"/>
    <n v="0.5"/>
    <n v="5.97"/>
    <x v="44"/>
    <n v="0.35819999999999996"/>
    <n v="1.7909999999999999"/>
    <x v="0"/>
  </r>
  <r>
    <s v="FVV-75700-005"/>
    <x v="545"/>
    <x v="3"/>
    <x v="11"/>
    <x v="671"/>
    <x v="671"/>
    <s v="rhuscroftk8@jimdo.com"/>
    <s v="+1 (775) 223-5044"/>
    <x v="76"/>
    <x v="0"/>
    <x v="0"/>
    <s v="E-D-0.5"/>
    <x v="1"/>
    <x v="2"/>
    <x v="3"/>
    <n v="0.5"/>
    <n v="7.29"/>
    <x v="6"/>
    <n v="0.80190000000000006"/>
    <n v="2.4057000000000004"/>
    <x v="5"/>
  </r>
  <r>
    <s v="CFZ-53492-600"/>
    <x v="546"/>
    <x v="2"/>
    <x v="6"/>
    <x v="672"/>
    <x v="672"/>
    <s v="sscurrerk9@flavors.me"/>
    <s v="+44 (520) 402-1303"/>
    <x v="26"/>
    <x v="2"/>
    <x v="1"/>
    <s v="L-M-0.2"/>
    <x v="3"/>
    <x v="0"/>
    <x v="2"/>
    <n v="0.2"/>
    <n v="4.3650000000000002"/>
    <x v="189"/>
    <n v="0.56745000000000001"/>
    <n v="0.56745000000000001"/>
    <x v="4"/>
  </r>
  <r>
    <s v="LDK-71031-121"/>
    <x v="420"/>
    <x v="0"/>
    <x v="4"/>
    <x v="673"/>
    <x v="673"/>
    <s v="arudramka@prnewswire.com"/>
    <s v="+1 (702) 333-7442"/>
    <x v="198"/>
    <x v="0"/>
    <x v="1"/>
    <s v="L-L-2.5"/>
    <x v="3"/>
    <x v="1"/>
    <x v="2"/>
    <n v="2.5"/>
    <n v="36.454999999999998"/>
    <x v="133"/>
    <n v="4.7391499999999995"/>
    <n v="4.7391499999999995"/>
    <x v="4"/>
  </r>
  <r>
    <s v="EBA-82404-343"/>
    <x v="547"/>
    <x v="1"/>
    <x v="4"/>
    <x v="674"/>
    <x v="674"/>
    <s v="UNKNOWN"/>
    <s v="+1 (302) 620-1205"/>
    <x v="325"/>
    <x v="0"/>
    <x v="0"/>
    <s v="L-D-0.2"/>
    <x v="3"/>
    <x v="2"/>
    <x v="4"/>
    <n v="0.2"/>
    <n v="3.8849999999999998"/>
    <x v="42"/>
    <n v="0.50505"/>
    <n v="2.0202"/>
    <x v="4"/>
  </r>
  <r>
    <s v="USA-42811-560"/>
    <x v="548"/>
    <x v="1"/>
    <x v="8"/>
    <x v="675"/>
    <x v="675"/>
    <s v="jmahakc@cyberchimps.com"/>
    <s v="+1 (702) 238-8287"/>
    <x v="76"/>
    <x v="0"/>
    <x v="1"/>
    <s v="E-L-0.2"/>
    <x v="1"/>
    <x v="1"/>
    <x v="0"/>
    <n v="0.2"/>
    <n v="4.4550000000000001"/>
    <x v="161"/>
    <n v="0.49004999999999999"/>
    <n v="0.98009999999999997"/>
    <x v="3"/>
  </r>
  <r>
    <s v="SNL-83703-516"/>
    <x v="549"/>
    <x v="2"/>
    <x v="4"/>
    <x v="676"/>
    <x v="676"/>
    <s v="gclemonkd@networksolutions.com"/>
    <s v="+1 (205) 681-2376"/>
    <x v="86"/>
    <x v="0"/>
    <x v="0"/>
    <s v="L-M-2.5"/>
    <x v="3"/>
    <x v="0"/>
    <x v="3"/>
    <n v="2.5"/>
    <n v="33.464999999999996"/>
    <x v="64"/>
    <n v="4.3504499999999995"/>
    <n v="13.051349999999999"/>
    <x v="4"/>
  </r>
  <r>
    <s v="SUZ-83036-175"/>
    <x v="550"/>
    <x v="0"/>
    <x v="3"/>
    <x v="677"/>
    <x v="677"/>
    <s v="UNKNOWN"/>
    <s v="+1 (209) 133-9447"/>
    <x v="326"/>
    <x v="0"/>
    <x v="1"/>
    <s v="R-D-0.2"/>
    <x v="0"/>
    <x v="2"/>
    <x v="1"/>
    <n v="0.2"/>
    <n v="2.6849999999999996"/>
    <x v="148"/>
    <n v="0.16109999999999997"/>
    <n v="0.80549999999999988"/>
    <x v="0"/>
  </r>
  <r>
    <s v="RGM-01187-513"/>
    <x v="551"/>
    <x v="2"/>
    <x v="2"/>
    <x v="678"/>
    <x v="678"/>
    <s v="bpollinskf@shinystat.com"/>
    <s v="UNKNOWN"/>
    <x v="153"/>
    <x v="0"/>
    <x v="1"/>
    <s v="E-D-0.2"/>
    <x v="1"/>
    <x v="2"/>
    <x v="5"/>
    <n v="0.2"/>
    <n v="3.645"/>
    <x v="6"/>
    <n v="0.40095000000000003"/>
    <n v="2.4057000000000004"/>
    <x v="5"/>
  </r>
  <r>
    <s v="CZG-01299-952"/>
    <x v="552"/>
    <x v="0"/>
    <x v="10"/>
    <x v="679"/>
    <x v="679"/>
    <s v="jtoyekg@pinterest.com"/>
    <s v="+353 (587) 270-6561"/>
    <x v="104"/>
    <x v="1"/>
    <x v="0"/>
    <s v="L-D-1"/>
    <x v="3"/>
    <x v="2"/>
    <x v="0"/>
    <n v="1"/>
    <n v="12.95"/>
    <x v="109"/>
    <n v="1.6835"/>
    <n v="3.367"/>
    <x v="4"/>
  </r>
  <r>
    <s v="KLD-88731-484"/>
    <x v="553"/>
    <x v="1"/>
    <x v="0"/>
    <x v="680"/>
    <x v="680"/>
    <s v="clinskillkh@sphinn.com"/>
    <s v="+1 (513) 743-7556"/>
    <x v="159"/>
    <x v="0"/>
    <x v="1"/>
    <s v="A-M-1"/>
    <x v="2"/>
    <x v="0"/>
    <x v="1"/>
    <n v="1"/>
    <n v="11.25"/>
    <x v="126"/>
    <n v="1.0125"/>
    <n v="5.0625"/>
    <x v="2"/>
  </r>
  <r>
    <s v="BQK-38412-229"/>
    <x v="554"/>
    <x v="0"/>
    <x v="9"/>
    <x v="681"/>
    <x v="681"/>
    <s v="nvigrasski@ezinearticles.com"/>
    <s v="+44 (336) 257-7415"/>
    <x v="145"/>
    <x v="2"/>
    <x v="1"/>
    <s v="R-L-0.2"/>
    <x v="0"/>
    <x v="1"/>
    <x v="3"/>
    <n v="0.2"/>
    <n v="3.5849999999999995"/>
    <x v="127"/>
    <n v="0.21509999999999996"/>
    <n v="0.64529999999999987"/>
    <x v="11"/>
  </r>
  <r>
    <s v="TCX-76953-071"/>
    <x v="555"/>
    <x v="1"/>
    <x v="3"/>
    <x v="636"/>
    <x v="636"/>
    <s v="jdymokeje@prnewswire.com"/>
    <s v="+353 (390) 459-9269"/>
    <x v="75"/>
    <x v="1"/>
    <x v="1"/>
    <s v="E-D-0.2"/>
    <x v="1"/>
    <x v="2"/>
    <x v="1"/>
    <n v="0.2"/>
    <n v="3.645"/>
    <x v="94"/>
    <n v="0.40095000000000003"/>
    <n v="2.00475"/>
    <x v="1"/>
  </r>
  <r>
    <s v="LIN-88046-551"/>
    <x v="150"/>
    <x v="2"/>
    <x v="6"/>
    <x v="682"/>
    <x v="682"/>
    <s v="kcragellkk@google.com"/>
    <s v="+353 (458) 634-2269"/>
    <x v="319"/>
    <x v="1"/>
    <x v="1"/>
    <s v="R-L-0.5"/>
    <x v="0"/>
    <x v="1"/>
    <x v="4"/>
    <n v="0.5"/>
    <n v="7.169999999999999"/>
    <x v="139"/>
    <n v="0.43019999999999992"/>
    <n v="1.7207999999999997"/>
    <x v="7"/>
  </r>
  <r>
    <s v="PMV-54491-220"/>
    <x v="556"/>
    <x v="0"/>
    <x v="8"/>
    <x v="683"/>
    <x v="683"/>
    <s v="libertkl@huffingtonpost.com"/>
    <s v="+1 (408) 546-0790"/>
    <x v="304"/>
    <x v="0"/>
    <x v="1"/>
    <s v="L-M-0.2"/>
    <x v="3"/>
    <x v="0"/>
    <x v="0"/>
    <n v="0.2"/>
    <n v="4.3650000000000002"/>
    <x v="31"/>
    <n v="0.56745000000000001"/>
    <n v="1.1349"/>
    <x v="4"/>
  </r>
  <r>
    <s v="SKA-73676-005"/>
    <x v="327"/>
    <x v="3"/>
    <x v="7"/>
    <x v="684"/>
    <x v="684"/>
    <s v="rlidgeykm@vimeo.com"/>
    <s v="+1 (901) 276-4141"/>
    <x v="139"/>
    <x v="0"/>
    <x v="1"/>
    <s v="L-M-1"/>
    <x v="3"/>
    <x v="0"/>
    <x v="4"/>
    <n v="1"/>
    <n v="14.55"/>
    <x v="125"/>
    <n v="1.8915000000000002"/>
    <n v="7.5660000000000007"/>
    <x v="4"/>
  </r>
  <r>
    <s v="TKH-62197-239"/>
    <x v="557"/>
    <x v="3"/>
    <x v="2"/>
    <x v="685"/>
    <x v="685"/>
    <s v="tcastagnekn@wikia.com"/>
    <s v="+1 (407) 154-6967"/>
    <x v="327"/>
    <x v="0"/>
    <x v="1"/>
    <s v="A-D-0.5"/>
    <x v="2"/>
    <x v="2"/>
    <x v="3"/>
    <n v="0.5"/>
    <n v="5.97"/>
    <x v="8"/>
    <n v="0.5373"/>
    <n v="1.6118999999999999"/>
    <x v="2"/>
  </r>
  <r>
    <s v="YXF-57218-272"/>
    <x v="333"/>
    <x v="0"/>
    <x v="6"/>
    <x v="686"/>
    <x v="686"/>
    <s v="UNKNOWN"/>
    <s v="+1 (313) 436-2249"/>
    <x v="135"/>
    <x v="0"/>
    <x v="0"/>
    <s v="R-M-0.2"/>
    <x v="0"/>
    <x v="0"/>
    <x v="5"/>
    <n v="0.2"/>
    <n v="2.9849999999999999"/>
    <x v="8"/>
    <n v="0.17909999999999998"/>
    <n v="1.0745999999999998"/>
    <x v="6"/>
  </r>
  <r>
    <s v="PKJ-30083-501"/>
    <x v="558"/>
    <x v="1"/>
    <x v="9"/>
    <x v="687"/>
    <x v="687"/>
    <s v="jhaldenkp@comcast.net"/>
    <s v="+353 (278) 873-4395"/>
    <x v="328"/>
    <x v="1"/>
    <x v="1"/>
    <s v="E-D-0.5"/>
    <x v="1"/>
    <x v="2"/>
    <x v="0"/>
    <n v="0.5"/>
    <n v="7.29"/>
    <x v="20"/>
    <n v="0.80190000000000006"/>
    <n v="1.6038000000000001"/>
    <x v="3"/>
  </r>
  <r>
    <s v="WTT-91832-645"/>
    <x v="559"/>
    <x v="0"/>
    <x v="7"/>
    <x v="688"/>
    <x v="688"/>
    <s v="holliffkq@sciencedirect.com"/>
    <s v="+353 (203) 716-7239"/>
    <x v="329"/>
    <x v="1"/>
    <x v="1"/>
    <s v="A-M-1"/>
    <x v="2"/>
    <x v="0"/>
    <x v="3"/>
    <n v="1"/>
    <n v="11.25"/>
    <x v="65"/>
    <n v="1.0125"/>
    <n v="3.0374999999999996"/>
    <x v="8"/>
  </r>
  <r>
    <s v="TRZ-94735-865"/>
    <x v="310"/>
    <x v="0"/>
    <x v="10"/>
    <x v="689"/>
    <x v="689"/>
    <s v="tquadrikr@opensource.org"/>
    <s v="+353 (789) 442-3189"/>
    <x v="330"/>
    <x v="1"/>
    <x v="0"/>
    <s v="L-M-0.5"/>
    <x v="3"/>
    <x v="0"/>
    <x v="4"/>
    <n v="0.5"/>
    <n v="8.73"/>
    <x v="190"/>
    <n v="1.1349"/>
    <n v="4.5396000000000001"/>
    <x v="4"/>
  </r>
  <r>
    <s v="UDB-09651-780"/>
    <x v="560"/>
    <x v="3"/>
    <x v="3"/>
    <x v="690"/>
    <x v="690"/>
    <s v="feshmadeks@umn.edu"/>
    <s v="+1 (804) 531-4136"/>
    <x v="8"/>
    <x v="0"/>
    <x v="1"/>
    <s v="E-D-0.5"/>
    <x v="1"/>
    <x v="2"/>
    <x v="0"/>
    <n v="0.5"/>
    <n v="7.29"/>
    <x v="20"/>
    <n v="0.80190000000000006"/>
    <n v="1.6038000000000001"/>
    <x v="3"/>
  </r>
  <r>
    <s v="EHJ-82097-549"/>
    <x v="561"/>
    <x v="1"/>
    <x v="4"/>
    <x v="691"/>
    <x v="691"/>
    <s v="moilierkt@paginegialle.it"/>
    <s v="+353 (675) 503-7567"/>
    <x v="331"/>
    <x v="1"/>
    <x v="0"/>
    <s v="R-D-0.2"/>
    <x v="0"/>
    <x v="2"/>
    <x v="0"/>
    <n v="0.2"/>
    <n v="2.6849999999999996"/>
    <x v="147"/>
    <n v="0.16109999999999997"/>
    <n v="0.32219999999999993"/>
    <x v="7"/>
  </r>
  <r>
    <s v="ZFR-79447-696"/>
    <x v="562"/>
    <x v="1"/>
    <x v="6"/>
    <x v="692"/>
    <x v="692"/>
    <s v="UNKNOWN"/>
    <s v="+1 (682) 246-6139"/>
    <x v="57"/>
    <x v="0"/>
    <x v="0"/>
    <s v="R-M-0.5"/>
    <x v="0"/>
    <x v="0"/>
    <x v="2"/>
    <n v="0.5"/>
    <n v="5.97"/>
    <x v="9"/>
    <n v="0.35819999999999996"/>
    <n v="0.35819999999999996"/>
    <x v="7"/>
  </r>
  <r>
    <s v="NUU-03893-975"/>
    <x v="563"/>
    <x v="3"/>
    <x v="4"/>
    <x v="693"/>
    <x v="693"/>
    <s v="vshoebothamkv@redcross.org"/>
    <s v="+1 (212) 998-0802"/>
    <x v="130"/>
    <x v="0"/>
    <x v="1"/>
    <s v="L-L-0.5"/>
    <x v="3"/>
    <x v="1"/>
    <x v="0"/>
    <n v="0.5"/>
    <n v="9.51"/>
    <x v="81"/>
    <n v="1.2363"/>
    <n v="2.4725999999999999"/>
    <x v="4"/>
  </r>
  <r>
    <s v="GVG-59542-307"/>
    <x v="564"/>
    <x v="0"/>
    <x v="2"/>
    <x v="694"/>
    <x v="694"/>
    <s v="bsterkekw@biblegateway.com"/>
    <s v="+1 (682) 617-0470"/>
    <x v="57"/>
    <x v="0"/>
    <x v="0"/>
    <s v="E-M-1"/>
    <x v="1"/>
    <x v="0"/>
    <x v="0"/>
    <n v="1"/>
    <n v="13.75"/>
    <x v="3"/>
    <n v="1.5125"/>
    <n v="3.0249999999999999"/>
    <x v="3"/>
  </r>
  <r>
    <s v="YLY-35287-172"/>
    <x v="565"/>
    <x v="2"/>
    <x v="5"/>
    <x v="695"/>
    <x v="695"/>
    <s v="scaponkx@craigslist.org"/>
    <s v="+1 (602) 619-0168"/>
    <x v="167"/>
    <x v="0"/>
    <x v="1"/>
    <s v="A-D-0.5"/>
    <x v="2"/>
    <x v="2"/>
    <x v="1"/>
    <n v="0.5"/>
    <n v="5.97"/>
    <x v="44"/>
    <n v="0.5373"/>
    <n v="2.6865000000000001"/>
    <x v="9"/>
  </r>
  <r>
    <s v="DCI-96254-548"/>
    <x v="566"/>
    <x v="2"/>
    <x v="1"/>
    <x v="636"/>
    <x v="636"/>
    <s v="jdymokeje@prnewswire.com"/>
    <s v="+353 (390) 459-9269"/>
    <x v="75"/>
    <x v="1"/>
    <x v="1"/>
    <s v="A-D-0.2"/>
    <x v="2"/>
    <x v="2"/>
    <x v="5"/>
    <n v="0.2"/>
    <n v="2.9849999999999999"/>
    <x v="8"/>
    <n v="0.26865"/>
    <n v="1.6118999999999999"/>
    <x v="2"/>
  </r>
  <r>
    <s v="KHZ-26264-253"/>
    <x v="160"/>
    <x v="1"/>
    <x v="2"/>
    <x v="696"/>
    <x v="696"/>
    <s v="fconstancekz@ifeng.com"/>
    <s v="+1 (214) 388-6754"/>
    <x v="68"/>
    <x v="0"/>
    <x v="1"/>
    <s v="L-L-0.2"/>
    <x v="3"/>
    <x v="1"/>
    <x v="5"/>
    <n v="0.2"/>
    <n v="4.7549999999999999"/>
    <x v="32"/>
    <n v="0.61814999999999998"/>
    <n v="3.7088999999999999"/>
    <x v="10"/>
  </r>
  <r>
    <s v="AAQ-13644-699"/>
    <x v="567"/>
    <x v="2"/>
    <x v="1"/>
    <x v="697"/>
    <x v="697"/>
    <s v="fsulmanl0@washington.edu"/>
    <s v="+1 (828) 464-2678"/>
    <x v="228"/>
    <x v="0"/>
    <x v="0"/>
    <s v="R-D-1"/>
    <x v="0"/>
    <x v="2"/>
    <x v="4"/>
    <n v="1"/>
    <n v="8.9499999999999993"/>
    <x v="191"/>
    <n v="0.53699999999999992"/>
    <n v="2.1479999999999997"/>
    <x v="7"/>
  </r>
  <r>
    <s v="LWL-68108-794"/>
    <x v="568"/>
    <x v="3"/>
    <x v="5"/>
    <x v="698"/>
    <x v="698"/>
    <s v="dhollymanl1@ibm.com"/>
    <s v="+1 (406) 851-1244"/>
    <x v="332"/>
    <x v="0"/>
    <x v="0"/>
    <s v="A-D-0.5"/>
    <x v="2"/>
    <x v="2"/>
    <x v="3"/>
    <n v="0.5"/>
    <n v="5.97"/>
    <x v="8"/>
    <n v="0.5373"/>
    <n v="1.6118999999999999"/>
    <x v="2"/>
  </r>
  <r>
    <s v="JQT-14347-517"/>
    <x v="569"/>
    <x v="0"/>
    <x v="2"/>
    <x v="699"/>
    <x v="699"/>
    <s v="lnardonil2@hao123.com"/>
    <s v="UNKNOWN"/>
    <x v="10"/>
    <x v="0"/>
    <x v="1"/>
    <s v="R-D-1"/>
    <x v="0"/>
    <x v="2"/>
    <x v="2"/>
    <n v="1"/>
    <n v="8.9499999999999993"/>
    <x v="192"/>
    <n v="0.53699999999999992"/>
    <n v="0.53699999999999992"/>
    <x v="7"/>
  </r>
  <r>
    <s v="BMM-86471-923"/>
    <x v="570"/>
    <x v="3"/>
    <x v="7"/>
    <x v="700"/>
    <x v="700"/>
    <s v="dyarhaml3@moonfruit.com"/>
    <s v="+1 (816) 213-5248"/>
    <x v="333"/>
    <x v="0"/>
    <x v="0"/>
    <s v="L-D-2.5"/>
    <x v="3"/>
    <x v="2"/>
    <x v="2"/>
    <n v="2.5"/>
    <n v="29.784999999999997"/>
    <x v="91"/>
    <n v="3.8720499999999998"/>
    <n v="3.8720499999999998"/>
    <x v="4"/>
  </r>
  <r>
    <s v="IXU-67272-326"/>
    <x v="571"/>
    <x v="3"/>
    <x v="9"/>
    <x v="701"/>
    <x v="701"/>
    <s v="aferreal4@wikia.com"/>
    <s v="UNKNOWN"/>
    <x v="116"/>
    <x v="0"/>
    <x v="1"/>
    <s v="E-L-0.5"/>
    <x v="1"/>
    <x v="1"/>
    <x v="1"/>
    <n v="0.5"/>
    <n v="8.91"/>
    <x v="69"/>
    <n v="0.98009999999999997"/>
    <n v="4.9005000000000001"/>
    <x v="5"/>
  </r>
  <r>
    <s v="ITE-28312-615"/>
    <x v="139"/>
    <x v="0"/>
    <x v="0"/>
    <x v="702"/>
    <x v="702"/>
    <s v="ckendrickl5@webnode.com"/>
    <s v="UNKNOWN"/>
    <x v="334"/>
    <x v="0"/>
    <x v="0"/>
    <s v="E-L-1"/>
    <x v="1"/>
    <x v="1"/>
    <x v="5"/>
    <n v="1"/>
    <n v="14.85"/>
    <x v="146"/>
    <n v="1.6335"/>
    <n v="9.8010000000000002"/>
    <x v="5"/>
  </r>
  <r>
    <s v="ZHQ-30471-635"/>
    <x v="303"/>
    <x v="0"/>
    <x v="8"/>
    <x v="703"/>
    <x v="703"/>
    <s v="sdanilchikl6@mit.edu"/>
    <s v="+44 (292) 975-0144"/>
    <x v="281"/>
    <x v="2"/>
    <x v="1"/>
    <s v="L-M-0.5"/>
    <x v="3"/>
    <x v="0"/>
    <x v="1"/>
    <n v="0.5"/>
    <n v="8.73"/>
    <x v="34"/>
    <n v="1.1349"/>
    <n v="5.6745000000000001"/>
    <x v="10"/>
  </r>
  <r>
    <s v="LTP-31133-134"/>
    <x v="572"/>
    <x v="2"/>
    <x v="4"/>
    <x v="704"/>
    <x v="704"/>
    <s v="UNKNOWN"/>
    <s v="+1 (817) 389-2294"/>
    <x v="57"/>
    <x v="0"/>
    <x v="1"/>
    <s v="A-L-0.5"/>
    <x v="2"/>
    <x v="1"/>
    <x v="3"/>
    <n v="0.5"/>
    <n v="7.77"/>
    <x v="102"/>
    <n v="0.69929999999999992"/>
    <n v="2.0978999999999997"/>
    <x v="2"/>
  </r>
  <r>
    <s v="ZVQ-26122-859"/>
    <x v="573"/>
    <x v="0"/>
    <x v="11"/>
    <x v="705"/>
    <x v="705"/>
    <s v="bfolomkinl8@yolasite.com"/>
    <s v="+1 (701) 278-8412"/>
    <x v="97"/>
    <x v="0"/>
    <x v="0"/>
    <s v="A-L-2.5"/>
    <x v="2"/>
    <x v="1"/>
    <x v="5"/>
    <n v="2.5"/>
    <n v="29.784999999999997"/>
    <x v="39"/>
    <n v="2.6806499999999995"/>
    <n v="16.083899999999996"/>
    <x v="8"/>
  </r>
  <r>
    <s v="MIU-01481-194"/>
    <x v="574"/>
    <x v="0"/>
    <x v="2"/>
    <x v="706"/>
    <x v="706"/>
    <s v="rpursglovel9@biblegateway.com"/>
    <s v="+1 (214) 813-8745"/>
    <x v="132"/>
    <x v="0"/>
    <x v="0"/>
    <s v="R-M-1"/>
    <x v="0"/>
    <x v="0"/>
    <x v="5"/>
    <n v="1"/>
    <n v="9.9499999999999993"/>
    <x v="33"/>
    <n v="0.59699999999999998"/>
    <n v="3.5819999999999999"/>
    <x v="0"/>
  </r>
  <r>
    <s v="MIU-01481-194"/>
    <x v="574"/>
    <x v="0"/>
    <x v="2"/>
    <x v="706"/>
    <x v="706"/>
    <s v="rpursglovel9@biblegateway.com"/>
    <s v="+1 (214) 813-8745"/>
    <x v="132"/>
    <x v="0"/>
    <x v="0"/>
    <s v="A-L-0.5"/>
    <x v="2"/>
    <x v="1"/>
    <x v="0"/>
    <n v="0.5"/>
    <n v="7.77"/>
    <x v="42"/>
    <n v="0.69929999999999992"/>
    <n v="1.3985999999999998"/>
    <x v="2"/>
  </r>
  <r>
    <s v="UEA-72681-629"/>
    <x v="455"/>
    <x v="1"/>
    <x v="6"/>
    <x v="696"/>
    <x v="696"/>
    <s v="fconstancekz@ifeng.com"/>
    <s v="+1 (214) 388-6754"/>
    <x v="68"/>
    <x v="0"/>
    <x v="1"/>
    <s v="A-L-2.5"/>
    <x v="2"/>
    <x v="1"/>
    <x v="3"/>
    <n v="2.5"/>
    <n v="29.784999999999997"/>
    <x v="49"/>
    <n v="2.6806499999999995"/>
    <n v="8.0419499999999982"/>
    <x v="8"/>
  </r>
  <r>
    <s v="CVE-15042-481"/>
    <x v="575"/>
    <x v="2"/>
    <x v="4"/>
    <x v="696"/>
    <x v="696"/>
    <s v="fconstancekz@ifeng.com"/>
    <s v="+1 (214) 388-6754"/>
    <x v="68"/>
    <x v="0"/>
    <x v="1"/>
    <s v="R-L-1"/>
    <x v="0"/>
    <x v="1"/>
    <x v="0"/>
    <n v="1"/>
    <n v="11.95"/>
    <x v="178"/>
    <n v="0.71699999999999997"/>
    <n v="1.4339999999999999"/>
    <x v="7"/>
  </r>
  <r>
    <s v="EJA-79176-833"/>
    <x v="576"/>
    <x v="3"/>
    <x v="6"/>
    <x v="707"/>
    <x v="707"/>
    <s v="deburahld@google.co.jp"/>
    <s v="+44 (607) 596-3921"/>
    <x v="38"/>
    <x v="2"/>
    <x v="1"/>
    <s v="R-M-2.5"/>
    <x v="0"/>
    <x v="0"/>
    <x v="5"/>
    <n v="2.5"/>
    <n v="22.884999999999998"/>
    <x v="170"/>
    <n v="1.3730999999999998"/>
    <n v="8.2385999999999981"/>
    <x v="6"/>
  </r>
  <r>
    <s v="AHQ-40440-522"/>
    <x v="577"/>
    <x v="3"/>
    <x v="0"/>
    <x v="708"/>
    <x v="708"/>
    <s v="mbrimilcombele@cnn.com"/>
    <s v="UNKNOWN"/>
    <x v="64"/>
    <x v="0"/>
    <x v="1"/>
    <s v="A-D-1"/>
    <x v="2"/>
    <x v="2"/>
    <x v="2"/>
    <n v="1"/>
    <n v="9.9499999999999993"/>
    <x v="138"/>
    <n v="0.89549999999999985"/>
    <n v="0.89549999999999985"/>
    <x v="2"/>
  </r>
  <r>
    <s v="TID-21626-411"/>
    <x v="578"/>
    <x v="0"/>
    <x v="4"/>
    <x v="709"/>
    <x v="709"/>
    <s v="sbollamlf@list-manage.com"/>
    <s v="+1 (303) 746-0415"/>
    <x v="335"/>
    <x v="0"/>
    <x v="1"/>
    <s v="R-L-0.5"/>
    <x v="0"/>
    <x v="1"/>
    <x v="3"/>
    <n v="0.5"/>
    <n v="7.169999999999999"/>
    <x v="137"/>
    <n v="0.43019999999999992"/>
    <n v="1.2905999999999997"/>
    <x v="11"/>
  </r>
  <r>
    <s v="RSR-96390-187"/>
    <x v="579"/>
    <x v="1"/>
    <x v="0"/>
    <x v="710"/>
    <x v="710"/>
    <s v="UNKNOWN"/>
    <s v="+1 (410) 273-2348"/>
    <x v="192"/>
    <x v="0"/>
    <x v="1"/>
    <s v="E-M-1"/>
    <x v="1"/>
    <x v="0"/>
    <x v="5"/>
    <n v="1"/>
    <n v="13.75"/>
    <x v="121"/>
    <n v="1.5125"/>
    <n v="9.0749999999999993"/>
    <x v="1"/>
  </r>
  <r>
    <s v="BZE-96093-118"/>
    <x v="91"/>
    <x v="1"/>
    <x v="7"/>
    <x v="711"/>
    <x v="711"/>
    <s v="afilipczaklh@ning.com"/>
    <s v="+353 (176) 447-3656"/>
    <x v="66"/>
    <x v="1"/>
    <x v="1"/>
    <s v="L-M-0.2"/>
    <x v="3"/>
    <x v="0"/>
    <x v="0"/>
    <n v="0.2"/>
    <n v="4.3650000000000002"/>
    <x v="31"/>
    <n v="0.56745000000000001"/>
    <n v="1.1349"/>
    <x v="4"/>
  </r>
  <r>
    <s v="LOU-41819-242"/>
    <x v="272"/>
    <x v="2"/>
    <x v="2"/>
    <x v="712"/>
    <x v="712"/>
    <s v="UNKNOWN"/>
    <s v="+1 (754) 336-4224"/>
    <x v="42"/>
    <x v="0"/>
    <x v="0"/>
    <s v="R-M-1"/>
    <x v="0"/>
    <x v="0"/>
    <x v="0"/>
    <n v="1"/>
    <n v="9.9499999999999993"/>
    <x v="0"/>
    <n v="0.59699999999999998"/>
    <n v="1.194"/>
    <x v="0"/>
  </r>
  <r>
    <s v="FND-99527-640"/>
    <x v="65"/>
    <x v="1"/>
    <x v="2"/>
    <x v="713"/>
    <x v="713"/>
    <s v="relnaughlj@comsenz.com"/>
    <s v="+1 (619) 728-2474"/>
    <x v="236"/>
    <x v="0"/>
    <x v="0"/>
    <s v="E-L-0.5"/>
    <x v="1"/>
    <x v="1"/>
    <x v="0"/>
    <n v="0.5"/>
    <n v="8.91"/>
    <x v="58"/>
    <n v="0.98009999999999997"/>
    <n v="1.9601999999999999"/>
    <x v="3"/>
  </r>
  <r>
    <s v="ASG-27179-958"/>
    <x v="580"/>
    <x v="1"/>
    <x v="9"/>
    <x v="714"/>
    <x v="714"/>
    <s v="jdeehanlk@about.me"/>
    <s v="+1 (972) 327-1194"/>
    <x v="68"/>
    <x v="0"/>
    <x v="1"/>
    <s v="A-M-0.5"/>
    <x v="2"/>
    <x v="0"/>
    <x v="3"/>
    <n v="0.5"/>
    <n v="6.75"/>
    <x v="16"/>
    <n v="0.60749999999999993"/>
    <n v="1.8224999999999998"/>
    <x v="8"/>
  </r>
  <r>
    <s v="YKX-23510-272"/>
    <x v="581"/>
    <x v="0"/>
    <x v="6"/>
    <x v="715"/>
    <x v="715"/>
    <s v="jedenll@e-recht24.de"/>
    <s v="UNKNOWN"/>
    <x v="336"/>
    <x v="0"/>
    <x v="1"/>
    <s v="A-L-2.5"/>
    <x v="2"/>
    <x v="1"/>
    <x v="0"/>
    <n v="2.5"/>
    <n v="29.784999999999997"/>
    <x v="120"/>
    <n v="2.6806499999999995"/>
    <n v="5.3612999999999991"/>
    <x v="2"/>
  </r>
  <r>
    <s v="FSA-98650-921"/>
    <x v="489"/>
    <x v="3"/>
    <x v="10"/>
    <x v="716"/>
    <x v="716"/>
    <s v="cjewsterlu@moonfruit.com"/>
    <s v="+1 (937) 925-7390"/>
    <x v="4"/>
    <x v="0"/>
    <x v="0"/>
    <s v="L-L-0.5"/>
    <x v="3"/>
    <x v="1"/>
    <x v="0"/>
    <n v="0.5"/>
    <n v="9.51"/>
    <x v="81"/>
    <n v="1.2363"/>
    <n v="2.4725999999999999"/>
    <x v="4"/>
  </r>
  <r>
    <s v="ZUR-55774-294"/>
    <x v="234"/>
    <x v="3"/>
    <x v="1"/>
    <x v="717"/>
    <x v="717"/>
    <s v="usoutherdenln@hao123.com"/>
    <s v="+1 (786) 490-0037"/>
    <x v="120"/>
    <x v="0"/>
    <x v="0"/>
    <s v="L-D-1"/>
    <x v="3"/>
    <x v="2"/>
    <x v="5"/>
    <n v="1"/>
    <n v="12.95"/>
    <x v="17"/>
    <n v="1.6835"/>
    <n v="10.100999999999999"/>
    <x v="4"/>
  </r>
  <r>
    <s v="FUO-99821-974"/>
    <x v="175"/>
    <x v="3"/>
    <x v="10"/>
    <x v="718"/>
    <x v="718"/>
    <s v="UNKNOWN"/>
    <s v="+1 (763) 806-0186"/>
    <x v="30"/>
    <x v="0"/>
    <x v="1"/>
    <s v="E-M-1"/>
    <x v="1"/>
    <x v="0"/>
    <x v="3"/>
    <n v="1"/>
    <n v="13.75"/>
    <x v="1"/>
    <n v="1.5125"/>
    <n v="4.5374999999999996"/>
    <x v="1"/>
  </r>
  <r>
    <s v="YVH-19865-819"/>
    <x v="582"/>
    <x v="0"/>
    <x v="11"/>
    <x v="719"/>
    <x v="719"/>
    <s v="lburtenshawlp@shinystat.com"/>
    <s v="+1 (678) 536-4251"/>
    <x v="227"/>
    <x v="0"/>
    <x v="1"/>
    <s v="L-L-2.5"/>
    <x v="3"/>
    <x v="1"/>
    <x v="4"/>
    <n v="2.5"/>
    <n v="36.454999999999998"/>
    <x v="43"/>
    <n v="4.7391499999999995"/>
    <n v="18.956599999999998"/>
    <x v="4"/>
  </r>
  <r>
    <s v="NNF-47422-501"/>
    <x v="583"/>
    <x v="3"/>
    <x v="6"/>
    <x v="720"/>
    <x v="720"/>
    <s v="agregorattilq@vistaprint.com"/>
    <s v="+353 (773) 508-6581"/>
    <x v="337"/>
    <x v="1"/>
    <x v="1"/>
    <s v="E-L-0.2"/>
    <x v="1"/>
    <x v="1"/>
    <x v="5"/>
    <n v="0.2"/>
    <n v="4.4550000000000001"/>
    <x v="149"/>
    <n v="0.49004999999999999"/>
    <n v="2.9402999999999997"/>
    <x v="1"/>
  </r>
  <r>
    <s v="RJI-71409-490"/>
    <x v="548"/>
    <x v="1"/>
    <x v="8"/>
    <x v="721"/>
    <x v="721"/>
    <s v="ccrosterlr@gov.uk"/>
    <s v="+1 (813) 621-3097"/>
    <x v="47"/>
    <x v="0"/>
    <x v="0"/>
    <s v="L-M-0.5"/>
    <x v="3"/>
    <x v="0"/>
    <x v="1"/>
    <n v="0.5"/>
    <n v="8.73"/>
    <x v="34"/>
    <n v="1.1349"/>
    <n v="5.6745000000000001"/>
    <x v="10"/>
  </r>
  <r>
    <s v="UZL-46108-213"/>
    <x v="584"/>
    <x v="1"/>
    <x v="11"/>
    <x v="722"/>
    <x v="722"/>
    <s v="gwhiteheadls@hp.com"/>
    <s v="UNKNOWN"/>
    <x v="93"/>
    <x v="0"/>
    <x v="1"/>
    <s v="L-L-1"/>
    <x v="3"/>
    <x v="1"/>
    <x v="0"/>
    <n v="1"/>
    <n v="15.85"/>
    <x v="124"/>
    <n v="2.0605000000000002"/>
    <n v="4.1210000000000004"/>
    <x v="4"/>
  </r>
  <r>
    <s v="AOX-44467-109"/>
    <x v="64"/>
    <x v="1"/>
    <x v="1"/>
    <x v="723"/>
    <x v="723"/>
    <s v="hjodrellelt@samsung.com"/>
    <s v="+1 (305) 334-0992"/>
    <x v="218"/>
    <x v="0"/>
    <x v="1"/>
    <s v="A-D-2.5"/>
    <x v="2"/>
    <x v="2"/>
    <x v="2"/>
    <n v="2.5"/>
    <n v="22.884999999999998"/>
    <x v="156"/>
    <n v="2.0596499999999995"/>
    <n v="2.0596499999999995"/>
    <x v="8"/>
  </r>
  <r>
    <s v="TZD-67261-174"/>
    <x v="585"/>
    <x v="3"/>
    <x v="10"/>
    <x v="716"/>
    <x v="716"/>
    <s v="cjewsterlu@moonfruit.com"/>
    <s v="+1 (937) 925-7390"/>
    <x v="4"/>
    <x v="0"/>
    <x v="0"/>
    <s v="E-D-2.5"/>
    <x v="1"/>
    <x v="2"/>
    <x v="2"/>
    <n v="2.5"/>
    <n v="27.945"/>
    <x v="140"/>
    <n v="3.07395"/>
    <n v="3.07395"/>
    <x v="3"/>
  </r>
  <r>
    <s v="TBU-64277-625"/>
    <x v="32"/>
    <x v="1"/>
    <x v="8"/>
    <x v="724"/>
    <x v="724"/>
    <s v="UNKNOWN"/>
    <s v="+1 (312) 648-4940"/>
    <x v="54"/>
    <x v="0"/>
    <x v="0"/>
    <s v="E-M-1"/>
    <x v="1"/>
    <x v="0"/>
    <x v="5"/>
    <n v="1"/>
    <n v="13.75"/>
    <x v="121"/>
    <n v="1.5125"/>
    <n v="9.0749999999999993"/>
    <x v="1"/>
  </r>
  <r>
    <s v="TYP-85767-944"/>
    <x v="586"/>
    <x v="2"/>
    <x v="2"/>
    <x v="725"/>
    <x v="725"/>
    <s v="knottramlw@odnoklassniki.ru"/>
    <s v="+353 (549) 358-7019"/>
    <x v="338"/>
    <x v="1"/>
    <x v="0"/>
    <s v="R-M-2.5"/>
    <x v="0"/>
    <x v="0"/>
    <x v="0"/>
    <n v="2.5"/>
    <n v="22.884999999999998"/>
    <x v="135"/>
    <n v="1.3730999999999998"/>
    <n v="2.7461999999999995"/>
    <x v="7"/>
  </r>
  <r>
    <s v="GTT-73214-334"/>
    <x v="535"/>
    <x v="0"/>
    <x v="4"/>
    <x v="726"/>
    <x v="726"/>
    <s v="nbuneylx@jugem.jp"/>
    <s v="+1 (510) 973-7084"/>
    <x v="8"/>
    <x v="0"/>
    <x v="1"/>
    <s v="A-L-1"/>
    <x v="2"/>
    <x v="1"/>
    <x v="5"/>
    <n v="1"/>
    <n v="12.95"/>
    <x v="17"/>
    <n v="1.1655"/>
    <n v="6.9930000000000003"/>
    <x v="9"/>
  </r>
  <r>
    <s v="WAI-89905-069"/>
    <x v="587"/>
    <x v="2"/>
    <x v="10"/>
    <x v="727"/>
    <x v="727"/>
    <s v="smcshealy@photobucket.com"/>
    <s v="+1 (360) 578-2262"/>
    <x v="339"/>
    <x v="0"/>
    <x v="1"/>
    <s v="A-L-0.5"/>
    <x v="2"/>
    <x v="1"/>
    <x v="3"/>
    <n v="0.5"/>
    <n v="7.77"/>
    <x v="102"/>
    <n v="0.69929999999999992"/>
    <n v="2.0978999999999997"/>
    <x v="2"/>
  </r>
  <r>
    <s v="OJL-96844-459"/>
    <x v="393"/>
    <x v="3"/>
    <x v="5"/>
    <x v="728"/>
    <x v="728"/>
    <s v="khuddartlz@about.com"/>
    <s v="+1 (214) 931-4518"/>
    <x v="113"/>
    <x v="0"/>
    <x v="0"/>
    <s v="L-L-0.2"/>
    <x v="3"/>
    <x v="1"/>
    <x v="1"/>
    <n v="0.2"/>
    <n v="4.7549999999999999"/>
    <x v="29"/>
    <n v="0.61814999999999998"/>
    <n v="3.0907499999999999"/>
    <x v="4"/>
  </r>
  <r>
    <s v="VGI-33205-360"/>
    <x v="588"/>
    <x v="0"/>
    <x v="6"/>
    <x v="729"/>
    <x v="729"/>
    <s v="jgippesm0@cloudflare.com"/>
    <s v="+44 (185) 319-5850"/>
    <x v="340"/>
    <x v="2"/>
    <x v="0"/>
    <s v="L-M-0.5"/>
    <x v="3"/>
    <x v="0"/>
    <x v="5"/>
    <n v="0.5"/>
    <n v="8.73"/>
    <x v="28"/>
    <n v="1.1349"/>
    <n v="6.8094000000000001"/>
    <x v="4"/>
  </r>
  <r>
    <s v="PCA-14081-576"/>
    <x v="15"/>
    <x v="0"/>
    <x v="1"/>
    <x v="730"/>
    <x v="730"/>
    <s v="lwhittleseem1@e-recht24.de"/>
    <s v="+1 (540) 413-9605"/>
    <x v="110"/>
    <x v="0"/>
    <x v="1"/>
    <s v="R-L-0.2"/>
    <x v="0"/>
    <x v="1"/>
    <x v="1"/>
    <n v="0.2"/>
    <n v="3.5849999999999995"/>
    <x v="131"/>
    <n v="0.21509999999999996"/>
    <n v="1.0754999999999999"/>
    <x v="0"/>
  </r>
  <r>
    <s v="SCS-67069-962"/>
    <x v="507"/>
    <x v="3"/>
    <x v="1"/>
    <x v="731"/>
    <x v="731"/>
    <s v="gtrengrovem2@elpais.com"/>
    <s v="+1 (516) 513-7620"/>
    <x v="341"/>
    <x v="0"/>
    <x v="1"/>
    <s v="A-L-2.5"/>
    <x v="2"/>
    <x v="1"/>
    <x v="1"/>
    <n v="2.5"/>
    <n v="29.784999999999997"/>
    <x v="74"/>
    <n v="2.6806499999999995"/>
    <n v="13.403249999999998"/>
    <x v="2"/>
  </r>
  <r>
    <s v="BDM-03174-485"/>
    <x v="533"/>
    <x v="0"/>
    <x v="6"/>
    <x v="732"/>
    <x v="732"/>
    <s v="wcalderom3@stumbleupon.com"/>
    <s v="+1 (714) 117-5483"/>
    <x v="219"/>
    <x v="0"/>
    <x v="1"/>
    <s v="R-L-0.5"/>
    <x v="0"/>
    <x v="1"/>
    <x v="4"/>
    <n v="0.5"/>
    <n v="7.169999999999999"/>
    <x v="139"/>
    <n v="0.43019999999999992"/>
    <n v="1.7207999999999997"/>
    <x v="7"/>
  </r>
  <r>
    <s v="UJV-32333-364"/>
    <x v="589"/>
    <x v="1"/>
    <x v="9"/>
    <x v="733"/>
    <x v="733"/>
    <s v="UNKNOWN"/>
    <s v="+1 (606) 824-3445"/>
    <x v="193"/>
    <x v="0"/>
    <x v="1"/>
    <s v="L-L-0.5"/>
    <x v="3"/>
    <x v="1"/>
    <x v="2"/>
    <n v="0.5"/>
    <n v="9.51"/>
    <x v="54"/>
    <n v="1.2363"/>
    <n v="1.2363"/>
    <x v="4"/>
  </r>
  <r>
    <s v="FLI-11493-954"/>
    <x v="590"/>
    <x v="2"/>
    <x v="2"/>
    <x v="734"/>
    <x v="734"/>
    <s v="jkennicottm5@yahoo.co.jp"/>
    <s v="+1 (813) 579-8389"/>
    <x v="47"/>
    <x v="0"/>
    <x v="1"/>
    <s v="A-L-0.5"/>
    <x v="2"/>
    <x v="1"/>
    <x v="4"/>
    <n v="0.5"/>
    <n v="7.77"/>
    <x v="113"/>
    <n v="0.69929999999999992"/>
    <n v="2.7971999999999997"/>
    <x v="2"/>
  </r>
  <r>
    <s v="IWL-13117-537"/>
    <x v="457"/>
    <x v="3"/>
    <x v="8"/>
    <x v="735"/>
    <x v="735"/>
    <s v="gruggenm6@nymag.com"/>
    <s v="+1 (408) 211-2306"/>
    <x v="7"/>
    <x v="0"/>
    <x v="0"/>
    <s v="R-D-0.2"/>
    <x v="0"/>
    <x v="2"/>
    <x v="3"/>
    <n v="0.2"/>
    <n v="2.6849999999999996"/>
    <x v="36"/>
    <n v="0.16109999999999997"/>
    <n v="0.4832999999999999"/>
    <x v="11"/>
  </r>
  <r>
    <s v="OAM-76916-748"/>
    <x v="591"/>
    <x v="2"/>
    <x v="4"/>
    <x v="736"/>
    <x v="736"/>
    <s v="UNKNOWN"/>
    <s v="UNKNOWN"/>
    <x v="41"/>
    <x v="0"/>
    <x v="0"/>
    <s v="E-D-1"/>
    <x v="1"/>
    <x v="2"/>
    <x v="3"/>
    <n v="1"/>
    <n v="12.15"/>
    <x v="114"/>
    <n v="1.3365"/>
    <n v="4.0095000000000001"/>
    <x v="1"/>
  </r>
  <r>
    <s v="UMB-11223-710"/>
    <x v="592"/>
    <x v="1"/>
    <x v="10"/>
    <x v="737"/>
    <x v="737"/>
    <s v="mfrightm8@harvard.edu"/>
    <s v="+353 (955) 108-0675"/>
    <x v="280"/>
    <x v="1"/>
    <x v="1"/>
    <s v="R-D-0.2"/>
    <x v="0"/>
    <x v="2"/>
    <x v="5"/>
    <n v="0.2"/>
    <n v="2.6849999999999996"/>
    <x v="103"/>
    <n v="0.16109999999999997"/>
    <n v="0.96659999999999979"/>
    <x v="11"/>
  </r>
  <r>
    <s v="LXR-09892-726"/>
    <x v="402"/>
    <x v="3"/>
    <x v="2"/>
    <x v="738"/>
    <x v="738"/>
    <s v="btartem9@aol.com"/>
    <s v="+1 (360) 927-6561"/>
    <x v="339"/>
    <x v="0"/>
    <x v="0"/>
    <s v="R-D-2.5"/>
    <x v="0"/>
    <x v="2"/>
    <x v="0"/>
    <n v="2.5"/>
    <n v="20.584999999999997"/>
    <x v="13"/>
    <n v="1.2350999999999999"/>
    <n v="2.4701999999999997"/>
    <x v="0"/>
  </r>
  <r>
    <s v="QXX-89943-393"/>
    <x v="593"/>
    <x v="3"/>
    <x v="6"/>
    <x v="739"/>
    <x v="739"/>
    <s v="ckrzysztofiakma@skyrock.com"/>
    <s v="+1 (972) 782-4187"/>
    <x v="342"/>
    <x v="0"/>
    <x v="1"/>
    <s v="R-D-0.2"/>
    <x v="0"/>
    <x v="2"/>
    <x v="4"/>
    <n v="0.2"/>
    <n v="2.6849999999999996"/>
    <x v="175"/>
    <n v="0.16109999999999997"/>
    <n v="0.64439999999999986"/>
    <x v="7"/>
  </r>
  <r>
    <s v="WVS-57822-366"/>
    <x v="594"/>
    <x v="3"/>
    <x v="5"/>
    <x v="740"/>
    <x v="740"/>
    <s v="dpenquetmb@diigo.com"/>
    <s v="UNKNOWN"/>
    <x v="155"/>
    <x v="0"/>
    <x v="1"/>
    <s v="E-M-2.5"/>
    <x v="1"/>
    <x v="0"/>
    <x v="4"/>
    <n v="2.5"/>
    <n v="31.624999999999996"/>
    <x v="177"/>
    <n v="3.4787499999999998"/>
    <n v="13.914999999999999"/>
    <x v="3"/>
  </r>
  <r>
    <s v="CLJ-23403-689"/>
    <x v="77"/>
    <x v="1"/>
    <x v="8"/>
    <x v="741"/>
    <x v="741"/>
    <s v="UNKNOWN"/>
    <s v="+44 (540) 353-5754"/>
    <x v="176"/>
    <x v="2"/>
    <x v="1"/>
    <s v="R-L-1"/>
    <x v="0"/>
    <x v="1"/>
    <x v="0"/>
    <n v="1"/>
    <n v="11.95"/>
    <x v="178"/>
    <n v="0.71699999999999997"/>
    <n v="1.4339999999999999"/>
    <x v="7"/>
  </r>
  <r>
    <s v="XNU-83276-288"/>
    <x v="595"/>
    <x v="2"/>
    <x v="1"/>
    <x v="742"/>
    <x v="742"/>
    <s v="UNKNOWN"/>
    <s v="+1 (763) 691-6777"/>
    <x v="343"/>
    <x v="0"/>
    <x v="1"/>
    <s v="R-M-0.5"/>
    <x v="0"/>
    <x v="0"/>
    <x v="2"/>
    <n v="0.5"/>
    <n v="5.97"/>
    <x v="9"/>
    <n v="0.35819999999999996"/>
    <n v="0.35819999999999996"/>
    <x v="7"/>
  </r>
  <r>
    <s v="YOG-94666-679"/>
    <x v="596"/>
    <x v="1"/>
    <x v="10"/>
    <x v="743"/>
    <x v="743"/>
    <s v="UNKNOWN"/>
    <s v="UNKNOWN"/>
    <x v="44"/>
    <x v="2"/>
    <x v="0"/>
    <s v="L-D-0.2"/>
    <x v="3"/>
    <x v="2"/>
    <x v="0"/>
    <n v="0.2"/>
    <n v="3.8849999999999998"/>
    <x v="41"/>
    <n v="0.50505"/>
    <n v="1.0101"/>
    <x v="4"/>
  </r>
  <r>
    <s v="KHG-33953-115"/>
    <x v="514"/>
    <x v="1"/>
    <x v="9"/>
    <x v="744"/>
    <x v="744"/>
    <s v="kferrettimf@huffingtonpost.com"/>
    <s v="+353 (526) 215-2582"/>
    <x v="232"/>
    <x v="1"/>
    <x v="1"/>
    <s v="L-D-0.5"/>
    <x v="3"/>
    <x v="2"/>
    <x v="3"/>
    <n v="0.5"/>
    <n v="7.77"/>
    <x v="102"/>
    <n v="1.0101"/>
    <n v="3.0303"/>
    <x v="4"/>
  </r>
  <r>
    <s v="MHD-95615-696"/>
    <x v="54"/>
    <x v="3"/>
    <x v="10"/>
    <x v="745"/>
    <x v="745"/>
    <s v="UNKNOWN"/>
    <s v="+1 (713) 984-5207"/>
    <x v="13"/>
    <x v="0"/>
    <x v="1"/>
    <s v="R-L-2.5"/>
    <x v="0"/>
    <x v="1"/>
    <x v="1"/>
    <n v="2.5"/>
    <n v="27.484999999999996"/>
    <x v="187"/>
    <n v="1.6490999999999998"/>
    <n v="8.2454999999999998"/>
    <x v="0"/>
  </r>
  <r>
    <s v="HBH-64794-080"/>
    <x v="597"/>
    <x v="1"/>
    <x v="10"/>
    <x v="746"/>
    <x v="746"/>
    <s v="UNKNOWN"/>
    <s v="+1 (915) 204-2588"/>
    <x v="87"/>
    <x v="0"/>
    <x v="0"/>
    <s v="R-D-0.2"/>
    <x v="0"/>
    <x v="2"/>
    <x v="3"/>
    <n v="0.2"/>
    <n v="2.6849999999999996"/>
    <x v="36"/>
    <n v="0.16109999999999997"/>
    <n v="0.4832999999999999"/>
    <x v="11"/>
  </r>
  <r>
    <s v="CNJ-56058-223"/>
    <x v="105"/>
    <x v="3"/>
    <x v="3"/>
    <x v="747"/>
    <x v="747"/>
    <s v="abalsdonemi@toplist.cz"/>
    <s v="+1 (863) 490-5370"/>
    <x v="344"/>
    <x v="0"/>
    <x v="1"/>
    <s v="L-L-0.5"/>
    <x v="3"/>
    <x v="1"/>
    <x v="3"/>
    <n v="0.5"/>
    <n v="9.51"/>
    <x v="32"/>
    <n v="1.2363"/>
    <n v="3.7088999999999999"/>
    <x v="10"/>
  </r>
  <r>
    <s v="KHO-27106-786"/>
    <x v="210"/>
    <x v="3"/>
    <x v="7"/>
    <x v="748"/>
    <x v="748"/>
    <s v="bromeramj@list-manage.com"/>
    <s v="+353 (640) 110-9801"/>
    <x v="345"/>
    <x v="1"/>
    <x v="0"/>
    <s v="A-M-1"/>
    <x v="2"/>
    <x v="0"/>
    <x v="5"/>
    <n v="1"/>
    <n v="11.25"/>
    <x v="173"/>
    <n v="1.0125"/>
    <n v="6.0749999999999993"/>
    <x v="8"/>
  </r>
  <r>
    <s v="KHO-27106-786"/>
    <x v="210"/>
    <x v="3"/>
    <x v="7"/>
    <x v="748"/>
    <x v="748"/>
    <s v="bromeramj@list-manage.com"/>
    <s v="+353 (640) 110-9801"/>
    <x v="345"/>
    <x v="1"/>
    <x v="0"/>
    <s v="L-D-2.5"/>
    <x v="3"/>
    <x v="2"/>
    <x v="5"/>
    <n v="2.5"/>
    <n v="29.784999999999997"/>
    <x v="39"/>
    <n v="3.8720499999999998"/>
    <n v="23.232299999999999"/>
    <x v="4"/>
  </r>
  <r>
    <s v="YAC-50329-982"/>
    <x v="598"/>
    <x v="3"/>
    <x v="9"/>
    <x v="749"/>
    <x v="749"/>
    <s v="cbrydeml@tuttocitta.it"/>
    <s v="+1 (405) 497-2199"/>
    <x v="101"/>
    <x v="0"/>
    <x v="0"/>
    <s v="E-M-2.5"/>
    <x v="1"/>
    <x v="0"/>
    <x v="2"/>
    <n v="2.5"/>
    <n v="31.624999999999996"/>
    <x v="176"/>
    <n v="3.4787499999999998"/>
    <n v="3.4787499999999998"/>
    <x v="3"/>
  </r>
  <r>
    <s v="VVL-95291-039"/>
    <x v="360"/>
    <x v="0"/>
    <x v="8"/>
    <x v="750"/>
    <x v="750"/>
    <s v="senefermm@blog.com"/>
    <s v="+1 (202) 877-3473"/>
    <x v="41"/>
    <x v="0"/>
    <x v="1"/>
    <s v="E-L-0.2"/>
    <x v="1"/>
    <x v="1"/>
    <x v="0"/>
    <n v="0.2"/>
    <n v="4.4550000000000001"/>
    <x v="161"/>
    <n v="0.49004999999999999"/>
    <n v="0.98009999999999997"/>
    <x v="3"/>
  </r>
  <r>
    <s v="VUT-20974-364"/>
    <x v="62"/>
    <x v="1"/>
    <x v="4"/>
    <x v="751"/>
    <x v="751"/>
    <s v="lhaggerstonemn@independent.co.uk"/>
    <s v="+1 (770) 779-0007"/>
    <x v="161"/>
    <x v="0"/>
    <x v="1"/>
    <s v="R-M-0.5"/>
    <x v="0"/>
    <x v="0"/>
    <x v="5"/>
    <n v="0.5"/>
    <n v="5.97"/>
    <x v="27"/>
    <n v="0.35819999999999996"/>
    <n v="2.1491999999999996"/>
    <x v="6"/>
  </r>
  <r>
    <s v="SFC-34054-213"/>
    <x v="599"/>
    <x v="0"/>
    <x v="6"/>
    <x v="752"/>
    <x v="752"/>
    <s v="mgundrymo@omniture.com"/>
    <s v="+353 (500) 164-9392"/>
    <x v="118"/>
    <x v="1"/>
    <x v="1"/>
    <s v="L-L-0.5"/>
    <x v="3"/>
    <x v="1"/>
    <x v="4"/>
    <n v="0.5"/>
    <n v="9.51"/>
    <x v="82"/>
    <n v="1.2363"/>
    <n v="4.9451999999999998"/>
    <x v="4"/>
  </r>
  <r>
    <s v="UDS-04807-593"/>
    <x v="600"/>
    <x v="0"/>
    <x v="11"/>
    <x v="753"/>
    <x v="753"/>
    <s v="bwellanmp@cafepress.com"/>
    <s v="UNKNOWN"/>
    <x v="73"/>
    <x v="0"/>
    <x v="1"/>
    <s v="L-D-0.5"/>
    <x v="3"/>
    <x v="2"/>
    <x v="0"/>
    <n v="0.5"/>
    <n v="7.77"/>
    <x v="42"/>
    <n v="1.0101"/>
    <n v="2.0202"/>
    <x v="4"/>
  </r>
  <r>
    <s v="FWE-98471-488"/>
    <x v="601"/>
    <x v="2"/>
    <x v="2"/>
    <x v="745"/>
    <x v="745"/>
    <s v="UNKNOWN"/>
    <s v="+1 (713) 984-5207"/>
    <x v="13"/>
    <x v="0"/>
    <x v="1"/>
    <s v="L-L-1"/>
    <x v="3"/>
    <x v="1"/>
    <x v="1"/>
    <n v="1"/>
    <n v="15.85"/>
    <x v="180"/>
    <n v="2.0605000000000002"/>
    <n v="10.302500000000002"/>
    <x v="12"/>
  </r>
  <r>
    <s v="RAU-17060-674"/>
    <x v="602"/>
    <x v="3"/>
    <x v="1"/>
    <x v="754"/>
    <x v="754"/>
    <s v="catchesonmr@xinhuanet.com"/>
    <s v="+1 (202) 975-7723"/>
    <x v="41"/>
    <x v="0"/>
    <x v="0"/>
    <s v="L-L-0.2"/>
    <x v="3"/>
    <x v="1"/>
    <x v="2"/>
    <n v="0.2"/>
    <n v="4.7549999999999999"/>
    <x v="7"/>
    <n v="0.61814999999999998"/>
    <n v="0.61814999999999998"/>
    <x v="4"/>
  </r>
  <r>
    <s v="AOL-13866-711"/>
    <x v="603"/>
    <x v="0"/>
    <x v="10"/>
    <x v="755"/>
    <x v="755"/>
    <s v="estentonms@google.it"/>
    <s v="+1 (512) 819-1430"/>
    <x v="79"/>
    <x v="0"/>
    <x v="0"/>
    <s v="E-M-1"/>
    <x v="1"/>
    <x v="0"/>
    <x v="4"/>
    <n v="1"/>
    <n v="13.75"/>
    <x v="193"/>
    <n v="1.5125"/>
    <n v="6.05"/>
    <x v="3"/>
  </r>
  <r>
    <s v="NOA-79645-377"/>
    <x v="604"/>
    <x v="3"/>
    <x v="11"/>
    <x v="756"/>
    <x v="756"/>
    <s v="etrippmt@wp.com"/>
    <s v="+1 (602) 971-9708"/>
    <x v="137"/>
    <x v="0"/>
    <x v="1"/>
    <s v="R-D-0.5"/>
    <x v="0"/>
    <x v="2"/>
    <x v="1"/>
    <n v="0.5"/>
    <n v="5.3699999999999992"/>
    <x v="51"/>
    <n v="0.32219999999999993"/>
    <n v="1.6109999999999998"/>
    <x v="0"/>
  </r>
  <r>
    <s v="KMS-49214-806"/>
    <x v="605"/>
    <x v="0"/>
    <x v="8"/>
    <x v="757"/>
    <x v="757"/>
    <s v="lmacmanusmu@imdb.com"/>
    <s v="+1 (912) 191-6620"/>
    <x v="346"/>
    <x v="0"/>
    <x v="1"/>
    <s v="E-L-2.5"/>
    <x v="1"/>
    <x v="1"/>
    <x v="4"/>
    <n v="2.5"/>
    <n v="34.154999999999994"/>
    <x v="56"/>
    <n v="3.7570499999999996"/>
    <n v="15.028199999999998"/>
    <x v="3"/>
  </r>
  <r>
    <s v="ABK-08091-531"/>
    <x v="606"/>
    <x v="3"/>
    <x v="7"/>
    <x v="758"/>
    <x v="758"/>
    <s v="tbenediktovichmv@ebay.com"/>
    <s v="+1 (505) 523-8113"/>
    <x v="347"/>
    <x v="0"/>
    <x v="0"/>
    <s v="L-L-1"/>
    <x v="3"/>
    <x v="1"/>
    <x v="3"/>
    <n v="1"/>
    <n v="15.85"/>
    <x v="46"/>
    <n v="2.0605000000000002"/>
    <n v="6.1815000000000007"/>
    <x v="12"/>
  </r>
  <r>
    <s v="GPT-67705-953"/>
    <x v="446"/>
    <x v="0"/>
    <x v="11"/>
    <x v="759"/>
    <x v="759"/>
    <s v="cbournermw@chronoengine.com"/>
    <s v="UNKNOWN"/>
    <x v="63"/>
    <x v="0"/>
    <x v="0"/>
    <s v="A-M-0.2"/>
    <x v="2"/>
    <x v="0"/>
    <x v="1"/>
    <n v="0.2"/>
    <n v="3.375"/>
    <x v="19"/>
    <n v="0.30374999999999996"/>
    <n v="1.5187499999999998"/>
    <x v="8"/>
  </r>
  <r>
    <s v="JNA-21450-177"/>
    <x v="18"/>
    <x v="2"/>
    <x v="10"/>
    <x v="760"/>
    <x v="760"/>
    <s v="oskermen3@hatena.ne.jp"/>
    <s v="+1 (405) 615-0298"/>
    <x v="101"/>
    <x v="0"/>
    <x v="0"/>
    <s v="A-D-1"/>
    <x v="2"/>
    <x v="2"/>
    <x v="3"/>
    <n v="1"/>
    <n v="9.9499999999999993"/>
    <x v="44"/>
    <n v="0.89549999999999985"/>
    <n v="2.6864999999999997"/>
    <x v="2"/>
  </r>
  <r>
    <s v="MPQ-23421-608"/>
    <x v="180"/>
    <x v="1"/>
    <x v="6"/>
    <x v="761"/>
    <x v="761"/>
    <s v="kheddanmy@icq.com"/>
    <s v="+1 (850) 796-6812"/>
    <x v="48"/>
    <x v="0"/>
    <x v="0"/>
    <s v="E-M-0.5"/>
    <x v="1"/>
    <x v="0"/>
    <x v="1"/>
    <n v="0.5"/>
    <n v="8.25"/>
    <x v="1"/>
    <n v="0.90749999999999997"/>
    <n v="4.5374999999999996"/>
    <x v="1"/>
  </r>
  <r>
    <s v="NLI-63891-565"/>
    <x v="580"/>
    <x v="1"/>
    <x v="9"/>
    <x v="762"/>
    <x v="762"/>
    <s v="ichartersmz@abc.net.au"/>
    <s v="+1 (202) 710-9776"/>
    <x v="41"/>
    <x v="0"/>
    <x v="1"/>
    <s v="E-M-0.2"/>
    <x v="1"/>
    <x v="0"/>
    <x v="1"/>
    <n v="0.2"/>
    <n v="4.125"/>
    <x v="132"/>
    <n v="0.45374999999999999"/>
    <n v="2.2687499999999998"/>
    <x v="1"/>
  </r>
  <r>
    <s v="HHF-36647-854"/>
    <x v="453"/>
    <x v="1"/>
    <x v="11"/>
    <x v="763"/>
    <x v="763"/>
    <s v="aroubertn0@tmall.com"/>
    <s v="+1 (772) 366-6549"/>
    <x v="348"/>
    <x v="0"/>
    <x v="0"/>
    <s v="A-D-2.5"/>
    <x v="2"/>
    <x v="2"/>
    <x v="5"/>
    <n v="2.5"/>
    <n v="22.884999999999998"/>
    <x v="170"/>
    <n v="2.0596499999999995"/>
    <n v="12.357899999999997"/>
    <x v="8"/>
  </r>
  <r>
    <s v="SBN-16537-046"/>
    <x v="259"/>
    <x v="3"/>
    <x v="10"/>
    <x v="764"/>
    <x v="764"/>
    <s v="hmairsn1@so-net.ne.jp"/>
    <s v="+1 (304) 834-9665"/>
    <x v="90"/>
    <x v="0"/>
    <x v="1"/>
    <s v="A-D-0.2"/>
    <x v="2"/>
    <x v="2"/>
    <x v="2"/>
    <n v="0.2"/>
    <n v="2.9849999999999999"/>
    <x v="55"/>
    <n v="0.26865"/>
    <n v="0.26865"/>
    <x v="9"/>
  </r>
  <r>
    <s v="XZD-44484-632"/>
    <x v="607"/>
    <x v="1"/>
    <x v="3"/>
    <x v="765"/>
    <x v="765"/>
    <s v="hrainforthn2@blog.com"/>
    <s v="+1 (215) 607-9440"/>
    <x v="11"/>
    <x v="0"/>
    <x v="1"/>
    <s v="E-M-1"/>
    <x v="1"/>
    <x v="0"/>
    <x v="0"/>
    <n v="1"/>
    <n v="13.75"/>
    <x v="3"/>
    <n v="1.5125"/>
    <n v="3.0249999999999999"/>
    <x v="3"/>
  </r>
  <r>
    <s v="XZD-44484-632"/>
    <x v="607"/>
    <x v="1"/>
    <x v="3"/>
    <x v="765"/>
    <x v="765"/>
    <s v="hrainforthn2@blog.com"/>
    <s v="+1 (215) 607-9440"/>
    <x v="11"/>
    <x v="0"/>
    <x v="1"/>
    <s v="A-D-0.2"/>
    <x v="2"/>
    <x v="2"/>
    <x v="0"/>
    <n v="0.2"/>
    <n v="2.9849999999999999"/>
    <x v="9"/>
    <n v="0.26865"/>
    <n v="0.5373"/>
    <x v="9"/>
  </r>
  <r>
    <s v="IKQ-39946-768"/>
    <x v="385"/>
    <x v="1"/>
    <x v="6"/>
    <x v="766"/>
    <x v="766"/>
    <s v="ijespern4@theglobeandmail.com"/>
    <s v="+1 (239) 918-0943"/>
    <x v="53"/>
    <x v="0"/>
    <x v="1"/>
    <s v="R-M-1"/>
    <x v="0"/>
    <x v="0"/>
    <x v="5"/>
    <n v="1"/>
    <n v="9.9499999999999993"/>
    <x v="33"/>
    <n v="0.59699999999999998"/>
    <n v="3.5819999999999999"/>
    <x v="0"/>
  </r>
  <r>
    <s v="KMB-95211-174"/>
    <x v="608"/>
    <x v="1"/>
    <x v="8"/>
    <x v="767"/>
    <x v="767"/>
    <s v="ldwerryhousen5@gravatar.com"/>
    <s v="+1 (682) 812-1698"/>
    <x v="57"/>
    <x v="0"/>
    <x v="0"/>
    <s v="R-D-2.5"/>
    <x v="0"/>
    <x v="2"/>
    <x v="4"/>
    <n v="2.5"/>
    <n v="20.584999999999997"/>
    <x v="18"/>
    <n v="1.2350999999999999"/>
    <n v="4.9403999999999995"/>
    <x v="0"/>
  </r>
  <r>
    <s v="QWY-99467-368"/>
    <x v="609"/>
    <x v="3"/>
    <x v="11"/>
    <x v="768"/>
    <x v="768"/>
    <s v="nbroomern6@examiner.com"/>
    <s v="+1 (402) 219-2018"/>
    <x v="349"/>
    <x v="0"/>
    <x v="1"/>
    <s v="A-D-2.5"/>
    <x v="2"/>
    <x v="2"/>
    <x v="2"/>
    <n v="2.5"/>
    <n v="22.884999999999998"/>
    <x v="156"/>
    <n v="2.0596499999999995"/>
    <n v="2.0596499999999995"/>
    <x v="8"/>
  </r>
  <r>
    <s v="SRG-76791-614"/>
    <x v="147"/>
    <x v="1"/>
    <x v="6"/>
    <x v="769"/>
    <x v="769"/>
    <s v="kthoumassonn7@bloglovin.com"/>
    <s v="UNKNOWN"/>
    <x v="31"/>
    <x v="0"/>
    <x v="0"/>
    <s v="E-L-0.5"/>
    <x v="1"/>
    <x v="1"/>
    <x v="2"/>
    <n v="0.5"/>
    <n v="8.91"/>
    <x v="161"/>
    <n v="0.98009999999999997"/>
    <n v="0.98009999999999997"/>
    <x v="3"/>
  </r>
  <r>
    <s v="VSN-94485-621"/>
    <x v="172"/>
    <x v="1"/>
    <x v="7"/>
    <x v="770"/>
    <x v="770"/>
    <s v="fhabberghamn8@discovery.com"/>
    <s v="+1 (775) 814-9362"/>
    <x v="125"/>
    <x v="0"/>
    <x v="1"/>
    <s v="A-D-0.2"/>
    <x v="2"/>
    <x v="2"/>
    <x v="4"/>
    <n v="0.2"/>
    <n v="2.9849999999999999"/>
    <x v="22"/>
    <n v="0.26865"/>
    <n v="1.0746"/>
    <x v="9"/>
  </r>
  <r>
    <s v="UFZ-24348-219"/>
    <x v="610"/>
    <x v="0"/>
    <x v="0"/>
    <x v="745"/>
    <x v="745"/>
    <s v="UNKNOWN"/>
    <s v="+1 (713) 984-5207"/>
    <x v="13"/>
    <x v="0"/>
    <x v="1"/>
    <s v="L-M-2.5"/>
    <x v="3"/>
    <x v="0"/>
    <x v="3"/>
    <n v="2.5"/>
    <n v="33.464999999999996"/>
    <x v="64"/>
    <n v="4.3504499999999995"/>
    <n v="13.051349999999999"/>
    <x v="4"/>
  </r>
  <r>
    <s v="UKS-93055-397"/>
    <x v="611"/>
    <x v="2"/>
    <x v="2"/>
    <x v="771"/>
    <x v="771"/>
    <s v="ravrashinna@tamu.edu"/>
    <s v="+1 (202) 973-9890"/>
    <x v="41"/>
    <x v="0"/>
    <x v="1"/>
    <s v="A-D-2.5"/>
    <x v="2"/>
    <x v="2"/>
    <x v="1"/>
    <n v="2.5"/>
    <n v="22.884999999999998"/>
    <x v="15"/>
    <n v="2.0596499999999995"/>
    <n v="10.298249999999998"/>
    <x v="2"/>
  </r>
  <r>
    <s v="AVH-56062-335"/>
    <x v="612"/>
    <x v="1"/>
    <x v="11"/>
    <x v="772"/>
    <x v="772"/>
    <s v="mdoidgenb@etsy.com"/>
    <s v="+1 (831) 955-4716"/>
    <x v="350"/>
    <x v="0"/>
    <x v="1"/>
    <s v="E-M-0.5"/>
    <x v="1"/>
    <x v="0"/>
    <x v="1"/>
    <n v="0.5"/>
    <n v="8.25"/>
    <x v="1"/>
    <n v="0.90749999999999997"/>
    <n v="4.5374999999999996"/>
    <x v="1"/>
  </r>
  <r>
    <s v="HGE-19842-613"/>
    <x v="613"/>
    <x v="2"/>
    <x v="4"/>
    <x v="773"/>
    <x v="773"/>
    <s v="jedinboronc@reverbnation.com"/>
    <s v="+1 (754) 219-4187"/>
    <x v="42"/>
    <x v="0"/>
    <x v="0"/>
    <s v="R-L-0.5"/>
    <x v="0"/>
    <x v="1"/>
    <x v="4"/>
    <n v="0.5"/>
    <n v="7.169999999999999"/>
    <x v="139"/>
    <n v="0.43019999999999992"/>
    <n v="1.7207999999999997"/>
    <x v="7"/>
  </r>
  <r>
    <s v="WBA-85905-175"/>
    <x v="611"/>
    <x v="2"/>
    <x v="2"/>
    <x v="774"/>
    <x v="774"/>
    <s v="ttewelsonnd@cdbaby.com"/>
    <s v="UNKNOWN"/>
    <x v="87"/>
    <x v="0"/>
    <x v="1"/>
    <s v="L-M-0.2"/>
    <x v="3"/>
    <x v="0"/>
    <x v="2"/>
    <n v="0.2"/>
    <n v="4.3650000000000002"/>
    <x v="189"/>
    <n v="0.56745000000000001"/>
    <n v="0.56745000000000001"/>
    <x v="4"/>
  </r>
  <r>
    <s v="DZI-35365-596"/>
    <x v="493"/>
    <x v="1"/>
    <x v="11"/>
    <x v="760"/>
    <x v="760"/>
    <s v="oskermen3@hatena.ne.jp"/>
    <s v="+1 (405) 615-0298"/>
    <x v="101"/>
    <x v="0"/>
    <x v="0"/>
    <s v="E-M-0.2"/>
    <x v="1"/>
    <x v="0"/>
    <x v="0"/>
    <n v="0.2"/>
    <n v="4.125"/>
    <x v="112"/>
    <n v="0.45374999999999999"/>
    <n v="0.90749999999999997"/>
    <x v="3"/>
  </r>
  <r>
    <s v="XIR-88982-743"/>
    <x v="614"/>
    <x v="1"/>
    <x v="2"/>
    <x v="775"/>
    <x v="775"/>
    <s v="ddrewittnf@mapquest.com"/>
    <s v="+1 (571) 504-1175"/>
    <x v="117"/>
    <x v="0"/>
    <x v="0"/>
    <s v="E-M-0.2"/>
    <x v="1"/>
    <x v="0"/>
    <x v="0"/>
    <n v="0.2"/>
    <n v="4.125"/>
    <x v="112"/>
    <n v="0.45374999999999999"/>
    <n v="0.90749999999999997"/>
    <x v="3"/>
  </r>
  <r>
    <s v="VUC-72395-865"/>
    <x v="151"/>
    <x v="1"/>
    <x v="7"/>
    <x v="776"/>
    <x v="776"/>
    <s v="agladhillng@stanford.edu"/>
    <s v="+1 (410) 991-5601"/>
    <x v="192"/>
    <x v="0"/>
    <x v="0"/>
    <s v="A-D-0.5"/>
    <x v="2"/>
    <x v="2"/>
    <x v="5"/>
    <n v="0.5"/>
    <n v="5.97"/>
    <x v="27"/>
    <n v="0.5373"/>
    <n v="3.2237999999999998"/>
    <x v="2"/>
  </r>
  <r>
    <s v="BQJ-44755-910"/>
    <x v="489"/>
    <x v="3"/>
    <x v="10"/>
    <x v="777"/>
    <x v="777"/>
    <s v="mlorineznh@whitehouse.gov"/>
    <s v="UNKNOWN"/>
    <x v="98"/>
    <x v="0"/>
    <x v="1"/>
    <s v="E-D-2.5"/>
    <x v="1"/>
    <x v="2"/>
    <x v="5"/>
    <n v="2.5"/>
    <n v="27.945"/>
    <x v="164"/>
    <n v="3.07395"/>
    <n v="18.4437"/>
    <x v="1"/>
  </r>
  <r>
    <s v="JKC-64636-831"/>
    <x v="615"/>
    <x v="2"/>
    <x v="2"/>
    <x v="778"/>
    <x v="778"/>
    <s v="UNKNOWN"/>
    <s v="+1 (404) 514-8311"/>
    <x v="227"/>
    <x v="0"/>
    <x v="0"/>
    <s v="A-M-2.5"/>
    <x v="2"/>
    <x v="0"/>
    <x v="0"/>
    <n v="2.5"/>
    <n v="25.874999999999996"/>
    <x v="95"/>
    <n v="2.3287499999999994"/>
    <n v="4.6574999999999989"/>
    <x v="2"/>
  </r>
  <r>
    <s v="ZKI-78561-066"/>
    <x v="616"/>
    <x v="1"/>
    <x v="0"/>
    <x v="779"/>
    <x v="779"/>
    <s v="mvannj@wikipedia.org"/>
    <s v="UNKNOWN"/>
    <x v="351"/>
    <x v="0"/>
    <x v="0"/>
    <s v="A-D-0.2"/>
    <x v="2"/>
    <x v="2"/>
    <x v="3"/>
    <n v="0.2"/>
    <n v="2.9849999999999999"/>
    <x v="169"/>
    <n v="0.26865"/>
    <n v="0.80594999999999994"/>
    <x v="2"/>
  </r>
  <r>
    <s v="IMP-12563-728"/>
    <x v="578"/>
    <x v="0"/>
    <x v="4"/>
    <x v="780"/>
    <x v="780"/>
    <s v="UNKNOWN"/>
    <s v="+1 (432) 765-8747"/>
    <x v="67"/>
    <x v="0"/>
    <x v="1"/>
    <s v="E-L-0.5"/>
    <x v="1"/>
    <x v="1"/>
    <x v="5"/>
    <n v="0.5"/>
    <n v="8.91"/>
    <x v="119"/>
    <n v="0.98009999999999997"/>
    <n v="5.8805999999999994"/>
    <x v="1"/>
  </r>
  <r>
    <s v="MZL-81126-390"/>
    <x v="617"/>
    <x v="2"/>
    <x v="6"/>
    <x v="781"/>
    <x v="781"/>
    <s v="jethelstonnl@creativecommons.org"/>
    <s v="+1 (954) 385-3551"/>
    <x v="352"/>
    <x v="0"/>
    <x v="0"/>
    <s v="A-L-0.2"/>
    <x v="2"/>
    <x v="1"/>
    <x v="5"/>
    <n v="0.2"/>
    <n v="3.8849999999999998"/>
    <x v="102"/>
    <n v="0.34964999999999996"/>
    <n v="2.0978999999999997"/>
    <x v="2"/>
  </r>
  <r>
    <s v="MZL-81126-390"/>
    <x v="617"/>
    <x v="2"/>
    <x v="6"/>
    <x v="781"/>
    <x v="781"/>
    <s v="jethelstonnl@creativecommons.org"/>
    <s v="+1 (954) 385-3551"/>
    <x v="352"/>
    <x v="0"/>
    <x v="0"/>
    <s v="A-M-0.2"/>
    <x v="2"/>
    <x v="0"/>
    <x v="0"/>
    <n v="0.2"/>
    <n v="3.375"/>
    <x v="52"/>
    <n v="0.30374999999999996"/>
    <n v="0.60749999999999993"/>
    <x v="8"/>
  </r>
  <r>
    <s v="TVF-57766-608"/>
    <x v="155"/>
    <x v="3"/>
    <x v="6"/>
    <x v="782"/>
    <x v="782"/>
    <s v="peberznn@woothemes.com"/>
    <s v="+1 (530) 938-1204"/>
    <x v="231"/>
    <x v="0"/>
    <x v="0"/>
    <s v="L-D-0.5"/>
    <x v="3"/>
    <x v="2"/>
    <x v="2"/>
    <n v="0.5"/>
    <n v="7.77"/>
    <x v="41"/>
    <n v="1.0101"/>
    <n v="1.0101"/>
    <x v="4"/>
  </r>
  <r>
    <s v="RUX-37995-892"/>
    <x v="461"/>
    <x v="1"/>
    <x v="11"/>
    <x v="783"/>
    <x v="783"/>
    <s v="bgaishno@altervista.org"/>
    <s v="UNKNOWN"/>
    <x v="79"/>
    <x v="0"/>
    <x v="0"/>
    <s v="L-D-2.5"/>
    <x v="3"/>
    <x v="2"/>
    <x v="4"/>
    <n v="2.5"/>
    <n v="29.784999999999997"/>
    <x v="129"/>
    <n v="3.8720499999999998"/>
    <n v="15.488199999999999"/>
    <x v="4"/>
  </r>
  <r>
    <s v="AVK-76526-953"/>
    <x v="87"/>
    <x v="1"/>
    <x v="6"/>
    <x v="784"/>
    <x v="784"/>
    <s v="ldantonnp@miitbeian.gov.cn"/>
    <s v="UNKNOWN"/>
    <x v="87"/>
    <x v="0"/>
    <x v="1"/>
    <s v="A-D-1"/>
    <x v="2"/>
    <x v="2"/>
    <x v="0"/>
    <n v="1"/>
    <n v="9.9499999999999993"/>
    <x v="0"/>
    <n v="0.89549999999999985"/>
    <n v="1.7909999999999997"/>
    <x v="2"/>
  </r>
  <r>
    <s v="RIU-02231-623"/>
    <x v="618"/>
    <x v="1"/>
    <x v="11"/>
    <x v="785"/>
    <x v="785"/>
    <s v="smorrallnq@answers.com"/>
    <s v="+1 (304) 897-5422"/>
    <x v="27"/>
    <x v="0"/>
    <x v="0"/>
    <s v="R-L-0.5"/>
    <x v="0"/>
    <x v="1"/>
    <x v="1"/>
    <n v="0.5"/>
    <n v="7.169999999999999"/>
    <x v="66"/>
    <n v="0.43019999999999992"/>
    <n v="2.1509999999999998"/>
    <x v="0"/>
  </r>
  <r>
    <s v="WFK-99317-827"/>
    <x v="619"/>
    <x v="0"/>
    <x v="1"/>
    <x v="786"/>
    <x v="786"/>
    <s v="dcrownshawnr@photobucket.com"/>
    <s v="+1 (610) 576-4733"/>
    <x v="311"/>
    <x v="0"/>
    <x v="1"/>
    <s v="L-D-2.5"/>
    <x v="3"/>
    <x v="2"/>
    <x v="3"/>
    <n v="2.5"/>
    <n v="29.784999999999997"/>
    <x v="49"/>
    <n v="3.8720499999999998"/>
    <n v="11.616149999999999"/>
    <x v="4"/>
  </r>
  <r>
    <s v="SFD-00372-284"/>
    <x v="440"/>
    <x v="3"/>
    <x v="2"/>
    <x v="760"/>
    <x v="760"/>
    <s v="oskermen3@hatena.ne.jp"/>
    <s v="+1 (405) 615-0298"/>
    <x v="101"/>
    <x v="0"/>
    <x v="0"/>
    <s v="L-M-0.2"/>
    <x v="3"/>
    <x v="0"/>
    <x v="0"/>
    <n v="0.2"/>
    <n v="4.3650000000000002"/>
    <x v="31"/>
    <n v="0.56745000000000001"/>
    <n v="1.1349"/>
    <x v="4"/>
  </r>
  <r>
    <s v="SXC-62166-515"/>
    <x v="489"/>
    <x v="3"/>
    <x v="10"/>
    <x v="787"/>
    <x v="787"/>
    <s v="jreddochnt@sun.com"/>
    <s v="+1 (863) 742-5292"/>
    <x v="344"/>
    <x v="0"/>
    <x v="1"/>
    <s v="R-L-2.5"/>
    <x v="0"/>
    <x v="1"/>
    <x v="1"/>
    <n v="2.5"/>
    <n v="27.484999999999996"/>
    <x v="187"/>
    <n v="1.6490999999999998"/>
    <n v="8.2454999999999998"/>
    <x v="0"/>
  </r>
  <r>
    <s v="YIE-87008-621"/>
    <x v="620"/>
    <x v="0"/>
    <x v="1"/>
    <x v="788"/>
    <x v="788"/>
    <s v="stitleynu@whitehouse.gov"/>
    <s v="+1 (701) 350-6149"/>
    <x v="97"/>
    <x v="0"/>
    <x v="1"/>
    <s v="L-M-0.5"/>
    <x v="3"/>
    <x v="0"/>
    <x v="4"/>
    <n v="0.5"/>
    <n v="8.73"/>
    <x v="190"/>
    <n v="1.1349"/>
    <n v="4.5396000000000001"/>
    <x v="4"/>
  </r>
  <r>
    <s v="HRM-94548-288"/>
    <x v="621"/>
    <x v="0"/>
    <x v="0"/>
    <x v="789"/>
    <x v="789"/>
    <s v="rsimaonv@simplemachines.org"/>
    <s v="+1 (479) 898-5090"/>
    <x v="321"/>
    <x v="0"/>
    <x v="1"/>
    <s v="A-L-2.5"/>
    <x v="2"/>
    <x v="1"/>
    <x v="5"/>
    <n v="2.5"/>
    <n v="29.784999999999997"/>
    <x v="39"/>
    <n v="2.6806499999999995"/>
    <n v="16.083899999999996"/>
    <x v="8"/>
  </r>
  <r>
    <s v="UJG-34731-295"/>
    <x v="374"/>
    <x v="2"/>
    <x v="5"/>
    <x v="790"/>
    <x v="790"/>
    <s v="UNKNOWN"/>
    <s v="+1 (863) 977-9033"/>
    <x v="269"/>
    <x v="0"/>
    <x v="1"/>
    <s v="A-M-2.5"/>
    <x v="2"/>
    <x v="0"/>
    <x v="2"/>
    <n v="2.5"/>
    <n v="25.874999999999996"/>
    <x v="145"/>
    <n v="2.3287499999999994"/>
    <n v="2.3287499999999994"/>
    <x v="2"/>
  </r>
  <r>
    <s v="TWD-70988-853"/>
    <x v="345"/>
    <x v="0"/>
    <x v="9"/>
    <x v="791"/>
    <x v="791"/>
    <s v="nchisholmnx@example.com"/>
    <s v="+1 (865) 228-1100"/>
    <x v="203"/>
    <x v="0"/>
    <x v="0"/>
    <s v="L-D-1"/>
    <x v="3"/>
    <x v="2"/>
    <x v="5"/>
    <n v="1"/>
    <n v="12.95"/>
    <x v="17"/>
    <n v="1.6835"/>
    <n v="10.100999999999999"/>
    <x v="4"/>
  </r>
  <r>
    <s v="CIX-22904-641"/>
    <x v="622"/>
    <x v="0"/>
    <x v="0"/>
    <x v="792"/>
    <x v="792"/>
    <s v="goatsny@live.com"/>
    <s v="+1 (213) 813-1072"/>
    <x v="6"/>
    <x v="0"/>
    <x v="0"/>
    <s v="R-M-1"/>
    <x v="0"/>
    <x v="0"/>
    <x v="2"/>
    <n v="1"/>
    <n v="9.9499999999999993"/>
    <x v="138"/>
    <n v="0.59699999999999998"/>
    <n v="0.59699999999999998"/>
    <x v="0"/>
  </r>
  <r>
    <s v="DLV-65840-759"/>
    <x v="623"/>
    <x v="2"/>
    <x v="5"/>
    <x v="793"/>
    <x v="793"/>
    <s v="mbirkinnz@java.com"/>
    <s v="+1 (954) 431-7206"/>
    <x v="218"/>
    <x v="0"/>
    <x v="0"/>
    <s v="L-M-1"/>
    <x v="3"/>
    <x v="0"/>
    <x v="0"/>
    <n v="1"/>
    <n v="14.55"/>
    <x v="194"/>
    <n v="1.8915000000000002"/>
    <n v="3.7830000000000004"/>
    <x v="4"/>
  </r>
  <r>
    <s v="RXN-55491-201"/>
    <x v="354"/>
    <x v="0"/>
    <x v="7"/>
    <x v="794"/>
    <x v="794"/>
    <s v="rpysono0@constantcontact.com"/>
    <s v="+353 (836) 436-1472"/>
    <x v="328"/>
    <x v="1"/>
    <x v="1"/>
    <s v="R-L-0.2"/>
    <x v="0"/>
    <x v="1"/>
    <x v="5"/>
    <n v="0.2"/>
    <n v="3.5849999999999995"/>
    <x v="137"/>
    <n v="0.21509999999999996"/>
    <n v="1.2905999999999997"/>
    <x v="11"/>
  </r>
  <r>
    <s v="UHK-63283-868"/>
    <x v="624"/>
    <x v="2"/>
    <x v="8"/>
    <x v="795"/>
    <x v="795"/>
    <s v="mmacconnechieo9@reuters.com"/>
    <s v="+1 (304) 620-6008"/>
    <x v="27"/>
    <x v="0"/>
    <x v="0"/>
    <s v="A-M-0.5"/>
    <x v="2"/>
    <x v="0"/>
    <x v="2"/>
    <n v="0.5"/>
    <n v="6.75"/>
    <x v="52"/>
    <n v="0.60749999999999993"/>
    <n v="0.60749999999999993"/>
    <x v="8"/>
  </r>
  <r>
    <s v="PJC-31401-893"/>
    <x v="561"/>
    <x v="1"/>
    <x v="4"/>
    <x v="796"/>
    <x v="796"/>
    <s v="rtreachero2@usa.gov"/>
    <s v="+353 (552) 867-2244"/>
    <x v="353"/>
    <x v="1"/>
    <x v="1"/>
    <s v="A-D-0.5"/>
    <x v="2"/>
    <x v="2"/>
    <x v="3"/>
    <n v="0.5"/>
    <n v="5.97"/>
    <x v="8"/>
    <n v="0.5373"/>
    <n v="1.6118999999999999"/>
    <x v="2"/>
  </r>
  <r>
    <s v="HHO-79903-185"/>
    <x v="42"/>
    <x v="2"/>
    <x v="3"/>
    <x v="797"/>
    <x v="797"/>
    <s v="bfattorinio3@quantcast.com"/>
    <s v="UNKNOWN"/>
    <x v="354"/>
    <x v="1"/>
    <x v="0"/>
    <s v="A-L-2.5"/>
    <x v="2"/>
    <x v="1"/>
    <x v="2"/>
    <n v="2.5"/>
    <n v="29.784999999999997"/>
    <x v="91"/>
    <n v="2.6806499999999995"/>
    <n v="2.6806499999999995"/>
    <x v="2"/>
  </r>
  <r>
    <s v="YWM-07310-594"/>
    <x v="267"/>
    <x v="0"/>
    <x v="6"/>
    <x v="798"/>
    <x v="798"/>
    <s v="mpalleskeo4@nyu.edu"/>
    <s v="+1 (561) 371-1596"/>
    <x v="171"/>
    <x v="0"/>
    <x v="0"/>
    <s v="E-M-0.5"/>
    <x v="1"/>
    <x v="0"/>
    <x v="1"/>
    <n v="0.5"/>
    <n v="8.25"/>
    <x v="1"/>
    <n v="0.90749999999999997"/>
    <n v="4.5374999999999996"/>
    <x v="1"/>
  </r>
  <r>
    <s v="FHD-94983-982"/>
    <x v="625"/>
    <x v="3"/>
    <x v="4"/>
    <x v="799"/>
    <x v="799"/>
    <s v="UNKNOWN"/>
    <s v="+1 (916) 300-4433"/>
    <x v="155"/>
    <x v="0"/>
    <x v="0"/>
    <s v="R-M-0.5"/>
    <x v="0"/>
    <x v="0"/>
    <x v="3"/>
    <n v="0.5"/>
    <n v="5.97"/>
    <x v="8"/>
    <n v="0.35819999999999996"/>
    <n v="1.0745999999999998"/>
    <x v="6"/>
  </r>
  <r>
    <s v="WQK-10857-119"/>
    <x v="616"/>
    <x v="1"/>
    <x v="0"/>
    <x v="800"/>
    <x v="800"/>
    <s v="fantcliffeo6@amazon.co.jp"/>
    <s v="+353 (581) 217-6697"/>
    <x v="22"/>
    <x v="1"/>
    <x v="0"/>
    <s v="E-D-0.5"/>
    <x v="1"/>
    <x v="2"/>
    <x v="2"/>
    <n v="0.5"/>
    <n v="7.29"/>
    <x v="35"/>
    <n v="0.80190000000000006"/>
    <n v="0.80190000000000006"/>
    <x v="3"/>
  </r>
  <r>
    <s v="DXA-50313-073"/>
    <x v="626"/>
    <x v="0"/>
    <x v="3"/>
    <x v="801"/>
    <x v="801"/>
    <s v="pmatignono7@harvard.edu"/>
    <s v="+44 (792) 626-3977"/>
    <x v="355"/>
    <x v="2"/>
    <x v="0"/>
    <s v="E-L-1"/>
    <x v="1"/>
    <x v="1"/>
    <x v="0"/>
    <n v="1"/>
    <n v="14.85"/>
    <x v="195"/>
    <n v="1.6335"/>
    <n v="3.2669999999999999"/>
    <x v="3"/>
  </r>
  <r>
    <s v="ONW-00560-570"/>
    <x v="52"/>
    <x v="0"/>
    <x v="10"/>
    <x v="802"/>
    <x v="802"/>
    <s v="cweondo8@theglobeandmail.com"/>
    <s v="+1 (828) 335-1268"/>
    <x v="228"/>
    <x v="0"/>
    <x v="1"/>
    <s v="A-M-1"/>
    <x v="2"/>
    <x v="0"/>
    <x v="0"/>
    <n v="1"/>
    <n v="11.25"/>
    <x v="122"/>
    <n v="1.0125"/>
    <n v="2.0249999999999999"/>
    <x v="2"/>
  </r>
  <r>
    <s v="BRJ-19414-277"/>
    <x v="622"/>
    <x v="0"/>
    <x v="0"/>
    <x v="795"/>
    <x v="795"/>
    <s v="mmacconnechieo9@reuters.com"/>
    <s v="+1 (304) 620-6008"/>
    <x v="27"/>
    <x v="0"/>
    <x v="0"/>
    <s v="R-M-0.2"/>
    <x v="0"/>
    <x v="0"/>
    <x v="4"/>
    <n v="0.2"/>
    <n v="2.9849999999999999"/>
    <x v="22"/>
    <n v="0.17909999999999998"/>
    <n v="0.71639999999999993"/>
    <x v="7"/>
  </r>
  <r>
    <s v="MIQ-16322-908"/>
    <x v="627"/>
    <x v="0"/>
    <x v="3"/>
    <x v="803"/>
    <x v="803"/>
    <s v="jskentelberyoa@paypal.com"/>
    <s v="+1 (713) 976-5419"/>
    <x v="13"/>
    <x v="0"/>
    <x v="1"/>
    <s v="A-L-1"/>
    <x v="2"/>
    <x v="1"/>
    <x v="0"/>
    <n v="1"/>
    <n v="12.95"/>
    <x v="109"/>
    <n v="1.1655"/>
    <n v="2.331"/>
    <x v="2"/>
  </r>
  <r>
    <s v="MVO-39328-830"/>
    <x v="628"/>
    <x v="1"/>
    <x v="10"/>
    <x v="804"/>
    <x v="804"/>
    <s v="ocomberob@goo.gl"/>
    <s v="+353 (947) 836-2302"/>
    <x v="82"/>
    <x v="1"/>
    <x v="1"/>
    <s v="L-M-0.5"/>
    <x v="3"/>
    <x v="0"/>
    <x v="1"/>
    <n v="0.5"/>
    <n v="8.73"/>
    <x v="34"/>
    <n v="1.1349"/>
    <n v="5.6745000000000001"/>
    <x v="10"/>
  </r>
  <r>
    <s v="MVO-39328-830"/>
    <x v="628"/>
    <x v="1"/>
    <x v="10"/>
    <x v="804"/>
    <x v="804"/>
    <s v="ocomberob@goo.gl"/>
    <s v="+353 (947) 836-2302"/>
    <x v="82"/>
    <x v="1"/>
    <x v="1"/>
    <s v="A-L-0.5"/>
    <x v="2"/>
    <x v="1"/>
    <x v="5"/>
    <n v="0.5"/>
    <n v="7.77"/>
    <x v="162"/>
    <n v="0.69929999999999992"/>
    <n v="4.1957999999999993"/>
    <x v="2"/>
  </r>
  <r>
    <s v="NTJ-88319-746"/>
    <x v="629"/>
    <x v="1"/>
    <x v="3"/>
    <x v="805"/>
    <x v="805"/>
    <s v="ztramelod@netlog.com"/>
    <s v="+1 (862) 925-5943"/>
    <x v="55"/>
    <x v="0"/>
    <x v="1"/>
    <s v="L-L-0.5"/>
    <x v="3"/>
    <x v="1"/>
    <x v="3"/>
    <n v="0.5"/>
    <n v="9.51"/>
    <x v="32"/>
    <n v="1.2363"/>
    <n v="3.7088999999999999"/>
    <x v="10"/>
  </r>
  <r>
    <s v="LCY-24377-948"/>
    <x v="630"/>
    <x v="1"/>
    <x v="5"/>
    <x v="806"/>
    <x v="806"/>
    <s v="UNKNOWN"/>
    <s v="+1 (206) 705-3979"/>
    <x v="208"/>
    <x v="0"/>
    <x v="0"/>
    <s v="R-L-2.5"/>
    <x v="0"/>
    <x v="1"/>
    <x v="2"/>
    <n v="2.5"/>
    <n v="27.484999999999996"/>
    <x v="142"/>
    <n v="1.6490999999999998"/>
    <n v="1.6490999999999998"/>
    <x v="0"/>
  </r>
  <r>
    <s v="FWD-85967-769"/>
    <x v="631"/>
    <x v="0"/>
    <x v="1"/>
    <x v="807"/>
    <x v="807"/>
    <s v="UNKNOWN"/>
    <s v="+1 (303) 606-9146"/>
    <x v="19"/>
    <x v="0"/>
    <x v="1"/>
    <s v="E-D-0.2"/>
    <x v="1"/>
    <x v="2"/>
    <x v="3"/>
    <n v="0.2"/>
    <n v="3.645"/>
    <x v="47"/>
    <n v="0.40095000000000003"/>
    <n v="1.2028500000000002"/>
    <x v="5"/>
  </r>
  <r>
    <s v="KTO-53793-109"/>
    <x v="229"/>
    <x v="0"/>
    <x v="11"/>
    <x v="808"/>
    <x v="808"/>
    <s v="chatfullog@ebay.com"/>
    <s v="+1 (815) 382-1966"/>
    <x v="356"/>
    <x v="0"/>
    <x v="1"/>
    <s v="R-L-0.2"/>
    <x v="0"/>
    <x v="1"/>
    <x v="0"/>
    <n v="0.2"/>
    <n v="3.5849999999999995"/>
    <x v="53"/>
    <n v="0.21509999999999996"/>
    <n v="0.43019999999999992"/>
    <x v="7"/>
  </r>
  <r>
    <s v="OCK-89033-348"/>
    <x v="632"/>
    <x v="1"/>
    <x v="6"/>
    <x v="809"/>
    <x v="809"/>
    <s v="UNKNOWN"/>
    <s v="+1 (406) 972-9050"/>
    <x v="332"/>
    <x v="0"/>
    <x v="0"/>
    <s v="A-L-0.2"/>
    <x v="2"/>
    <x v="1"/>
    <x v="5"/>
    <n v="0.2"/>
    <n v="3.8849999999999998"/>
    <x v="102"/>
    <n v="0.34964999999999996"/>
    <n v="2.0978999999999997"/>
    <x v="2"/>
  </r>
  <r>
    <s v="GPZ-36017-366"/>
    <x v="633"/>
    <x v="0"/>
    <x v="2"/>
    <x v="810"/>
    <x v="810"/>
    <s v="kmarrisonoq@dropbox.com"/>
    <s v="+1 (303) 808-6803"/>
    <x v="29"/>
    <x v="0"/>
    <x v="0"/>
    <s v="A-D-2.5"/>
    <x v="2"/>
    <x v="2"/>
    <x v="1"/>
    <n v="2.5"/>
    <n v="22.884999999999998"/>
    <x v="15"/>
    <n v="2.0596499999999995"/>
    <n v="10.298249999999998"/>
    <x v="2"/>
  </r>
  <r>
    <s v="BZP-33213-637"/>
    <x v="95"/>
    <x v="3"/>
    <x v="5"/>
    <x v="811"/>
    <x v="811"/>
    <s v="lagnolooj@pinterest.com"/>
    <s v="+1 (918) 228-6949"/>
    <x v="134"/>
    <x v="0"/>
    <x v="0"/>
    <s v="A-M-2.5"/>
    <x v="2"/>
    <x v="0"/>
    <x v="3"/>
    <n v="2.5"/>
    <n v="25.874999999999996"/>
    <x v="57"/>
    <n v="2.3287499999999994"/>
    <n v="6.9862499999999983"/>
    <x v="2"/>
  </r>
  <r>
    <s v="WFH-21507-708"/>
    <x v="521"/>
    <x v="3"/>
    <x v="8"/>
    <x v="812"/>
    <x v="812"/>
    <s v="dkiddyok@fda.gov"/>
    <s v="+1 (209) 103-3933"/>
    <x v="74"/>
    <x v="0"/>
    <x v="0"/>
    <s v="R-D-0.5"/>
    <x v="0"/>
    <x v="2"/>
    <x v="2"/>
    <n v="0.5"/>
    <n v="5.3699999999999992"/>
    <x v="147"/>
    <n v="0.32219999999999993"/>
    <n v="0.32219999999999993"/>
    <x v="7"/>
  </r>
  <r>
    <s v="HST-96923-073"/>
    <x v="76"/>
    <x v="0"/>
    <x v="2"/>
    <x v="813"/>
    <x v="813"/>
    <s v="hpetroulisol@state.tx.us"/>
    <s v="+353 (783) 893-0842"/>
    <x v="357"/>
    <x v="1"/>
    <x v="1"/>
    <s v="R-D-2.5"/>
    <x v="0"/>
    <x v="2"/>
    <x v="5"/>
    <n v="2.5"/>
    <n v="20.584999999999997"/>
    <x v="99"/>
    <n v="1.2350999999999999"/>
    <n v="7.4105999999999987"/>
    <x v="11"/>
  </r>
  <r>
    <s v="ENN-79947-323"/>
    <x v="634"/>
    <x v="1"/>
    <x v="11"/>
    <x v="814"/>
    <x v="814"/>
    <s v="mschollom@taobao.com"/>
    <s v="+1 (415) 613-5939"/>
    <x v="204"/>
    <x v="0"/>
    <x v="1"/>
    <s v="L-M-0.5"/>
    <x v="3"/>
    <x v="0"/>
    <x v="0"/>
    <n v="0.5"/>
    <n v="8.73"/>
    <x v="92"/>
    <n v="1.1349"/>
    <n v="2.2698"/>
    <x v="4"/>
  </r>
  <r>
    <s v="BHA-47429-889"/>
    <x v="635"/>
    <x v="3"/>
    <x v="1"/>
    <x v="815"/>
    <x v="815"/>
    <s v="kfersonon@g.co"/>
    <s v="+1 (251) 291-1195"/>
    <x v="351"/>
    <x v="0"/>
    <x v="1"/>
    <s v="E-L-0.2"/>
    <x v="1"/>
    <x v="1"/>
    <x v="3"/>
    <n v="0.2"/>
    <n v="4.4550000000000001"/>
    <x v="77"/>
    <n v="0.49004999999999999"/>
    <n v="1.4701499999999998"/>
    <x v="1"/>
  </r>
  <r>
    <s v="SZY-63017-318"/>
    <x v="636"/>
    <x v="1"/>
    <x v="8"/>
    <x v="816"/>
    <x v="816"/>
    <s v="bkellowayoo@omniture.com"/>
    <s v="+1 (415) 757-3377"/>
    <x v="204"/>
    <x v="0"/>
    <x v="0"/>
    <s v="A-L-0.2"/>
    <x v="2"/>
    <x v="1"/>
    <x v="0"/>
    <n v="0.2"/>
    <n v="3.8849999999999998"/>
    <x v="41"/>
    <n v="0.34964999999999996"/>
    <n v="0.69929999999999992"/>
    <x v="2"/>
  </r>
  <r>
    <s v="LCU-93317-340"/>
    <x v="637"/>
    <x v="0"/>
    <x v="1"/>
    <x v="817"/>
    <x v="817"/>
    <s v="soliffeop@yellowbook.com"/>
    <s v="+1 (212) 198-9134"/>
    <x v="168"/>
    <x v="0"/>
    <x v="0"/>
    <s v="R-D-0.2"/>
    <x v="0"/>
    <x v="2"/>
    <x v="2"/>
    <n v="0.2"/>
    <n v="2.6849999999999996"/>
    <x v="97"/>
    <n v="0.16109999999999997"/>
    <n v="0.16109999999999997"/>
    <x v="7"/>
  </r>
  <r>
    <s v="UOM-71431-481"/>
    <x v="182"/>
    <x v="2"/>
    <x v="6"/>
    <x v="810"/>
    <x v="810"/>
    <s v="kmarrisonoq@dropbox.com"/>
    <s v="+1 (303) 808-6803"/>
    <x v="29"/>
    <x v="0"/>
    <x v="0"/>
    <s v="R-D-2.5"/>
    <x v="0"/>
    <x v="2"/>
    <x v="2"/>
    <n v="2.5"/>
    <n v="20.584999999999997"/>
    <x v="123"/>
    <n v="1.2350999999999999"/>
    <n v="1.2350999999999999"/>
    <x v="0"/>
  </r>
  <r>
    <s v="PJH-42618-877"/>
    <x v="479"/>
    <x v="1"/>
    <x v="0"/>
    <x v="818"/>
    <x v="818"/>
    <s v="cdolohuntyor@dailymail.co.uk"/>
    <s v="+1 (619) 353-0412"/>
    <x v="236"/>
    <x v="0"/>
    <x v="0"/>
    <s v="A-D-2.5"/>
    <x v="2"/>
    <x v="2"/>
    <x v="1"/>
    <n v="2.5"/>
    <n v="22.884999999999998"/>
    <x v="15"/>
    <n v="2.0596499999999995"/>
    <n v="10.298249999999998"/>
    <x v="2"/>
  </r>
  <r>
    <s v="XED-90333-402"/>
    <x v="638"/>
    <x v="0"/>
    <x v="1"/>
    <x v="819"/>
    <x v="819"/>
    <s v="pvasilenkoos@addtoany.com"/>
    <s v="+44 (116) 714-6469"/>
    <x v="229"/>
    <x v="2"/>
    <x v="1"/>
    <s v="E-M-0.2"/>
    <x v="1"/>
    <x v="0"/>
    <x v="1"/>
    <n v="0.2"/>
    <n v="4.125"/>
    <x v="132"/>
    <n v="0.45374999999999999"/>
    <n v="2.2687499999999998"/>
    <x v="1"/>
  </r>
  <r>
    <s v="IKK-62234-199"/>
    <x v="639"/>
    <x v="2"/>
    <x v="6"/>
    <x v="820"/>
    <x v="820"/>
    <s v="rschankelborgot@ameblo.jp"/>
    <s v="UNKNOWN"/>
    <x v="291"/>
    <x v="0"/>
    <x v="0"/>
    <s v="L-L-0.5"/>
    <x v="3"/>
    <x v="1"/>
    <x v="5"/>
    <n v="0.5"/>
    <n v="9.51"/>
    <x v="30"/>
    <n v="1.2363"/>
    <n v="7.4177999999999997"/>
    <x v="10"/>
  </r>
  <r>
    <s v="KAW-95195-329"/>
    <x v="640"/>
    <x v="3"/>
    <x v="2"/>
    <x v="821"/>
    <x v="821"/>
    <s v="UNKNOWN"/>
    <s v="+353 (724) 224-5556"/>
    <x v="358"/>
    <x v="1"/>
    <x v="0"/>
    <s v="R-D-2.5"/>
    <x v="0"/>
    <x v="2"/>
    <x v="4"/>
    <n v="2.5"/>
    <n v="20.584999999999997"/>
    <x v="18"/>
    <n v="1.2350999999999999"/>
    <n v="4.9403999999999995"/>
    <x v="0"/>
  </r>
  <r>
    <s v="QDO-57268-842"/>
    <x v="612"/>
    <x v="1"/>
    <x v="11"/>
    <x v="822"/>
    <x v="822"/>
    <s v="UNKNOWN"/>
    <s v="+1 (718) 461-3002"/>
    <x v="15"/>
    <x v="0"/>
    <x v="1"/>
    <s v="E-M-2.5"/>
    <x v="1"/>
    <x v="0"/>
    <x v="1"/>
    <n v="2.5"/>
    <n v="31.624999999999996"/>
    <x v="196"/>
    <n v="3.4787499999999998"/>
    <n v="17.393749999999997"/>
    <x v="3"/>
  </r>
  <r>
    <s v="IIZ-24416-212"/>
    <x v="641"/>
    <x v="1"/>
    <x v="5"/>
    <x v="823"/>
    <x v="823"/>
    <s v="bcargenow@geocities.jp"/>
    <s v="+1 (253) 509-6510"/>
    <x v="208"/>
    <x v="0"/>
    <x v="0"/>
    <s v="R-D-0.5"/>
    <x v="0"/>
    <x v="2"/>
    <x v="5"/>
    <n v="0.5"/>
    <n v="5.3699999999999992"/>
    <x v="111"/>
    <n v="0.32219999999999993"/>
    <n v="1.9331999999999996"/>
    <x v="11"/>
  </r>
  <r>
    <s v="AWP-11469-510"/>
    <x v="36"/>
    <x v="3"/>
    <x v="8"/>
    <x v="824"/>
    <x v="824"/>
    <s v="rsticklerox@printfriendly.com"/>
    <s v="+44 (830) 367-6129"/>
    <x v="38"/>
    <x v="2"/>
    <x v="1"/>
    <s v="E-D-1"/>
    <x v="1"/>
    <x v="2"/>
    <x v="0"/>
    <n v="1"/>
    <n v="12.15"/>
    <x v="76"/>
    <n v="1.3365"/>
    <n v="2.673"/>
    <x v="3"/>
  </r>
  <r>
    <s v="KXA-27983-918"/>
    <x v="642"/>
    <x v="3"/>
    <x v="0"/>
    <x v="825"/>
    <x v="825"/>
    <s v="UNKNOWN"/>
    <s v="+1 (269) 398-0766"/>
    <x v="359"/>
    <x v="0"/>
    <x v="1"/>
    <s v="R-L-0.5"/>
    <x v="0"/>
    <x v="1"/>
    <x v="1"/>
    <n v="0.5"/>
    <n v="7.169999999999999"/>
    <x v="66"/>
    <n v="0.43019999999999992"/>
    <n v="2.1509999999999998"/>
    <x v="0"/>
  </r>
  <r>
    <s v="VKQ-39009-292"/>
    <x v="219"/>
    <x v="1"/>
    <x v="11"/>
    <x v="822"/>
    <x v="822"/>
    <s v="UNKNOWN"/>
    <s v="+1 (718) 461-3002"/>
    <x v="15"/>
    <x v="0"/>
    <x v="1"/>
    <s v="L-M-1"/>
    <x v="3"/>
    <x v="0"/>
    <x v="1"/>
    <n v="1"/>
    <n v="14.55"/>
    <x v="45"/>
    <n v="1.8915000000000002"/>
    <n v="9.4575000000000014"/>
    <x v="12"/>
  </r>
  <r>
    <s v="PDB-98743-282"/>
    <x v="643"/>
    <x v="2"/>
    <x v="4"/>
    <x v="826"/>
    <x v="826"/>
    <s v="UNKNOWN"/>
    <s v="+353 (239) 716-2717"/>
    <x v="360"/>
    <x v="1"/>
    <x v="1"/>
    <s v="L-L-1"/>
    <x v="3"/>
    <x v="1"/>
    <x v="3"/>
    <n v="1"/>
    <n v="15.85"/>
    <x v="46"/>
    <n v="2.0605000000000002"/>
    <n v="6.1815000000000007"/>
    <x v="12"/>
  </r>
  <r>
    <s v="SXW-34014-556"/>
    <x v="644"/>
    <x v="1"/>
    <x v="4"/>
    <x v="827"/>
    <x v="827"/>
    <s v="djevonp1@ibm.com"/>
    <s v="+1 (832) 733-7027"/>
    <x v="13"/>
    <x v="0"/>
    <x v="0"/>
    <s v="R-L-0.2"/>
    <x v="0"/>
    <x v="1"/>
    <x v="2"/>
    <n v="0.2"/>
    <n v="3.5849999999999995"/>
    <x v="60"/>
    <n v="0.21509999999999996"/>
    <n v="0.21509999999999996"/>
    <x v="7"/>
  </r>
  <r>
    <s v="QOJ-38788-727"/>
    <x v="136"/>
    <x v="0"/>
    <x v="1"/>
    <x v="828"/>
    <x v="828"/>
    <s v="hrannerp2@omniture.com"/>
    <s v="+1 (513) 635-0251"/>
    <x v="159"/>
    <x v="0"/>
    <x v="1"/>
    <s v="E-M-2.5"/>
    <x v="1"/>
    <x v="0"/>
    <x v="1"/>
    <n v="2.5"/>
    <n v="31.624999999999996"/>
    <x v="196"/>
    <n v="3.4787499999999998"/>
    <n v="17.393749999999997"/>
    <x v="3"/>
  </r>
  <r>
    <s v="TGF-38649-658"/>
    <x v="645"/>
    <x v="3"/>
    <x v="6"/>
    <x v="829"/>
    <x v="829"/>
    <s v="bimriep3@addtoany.com"/>
    <s v="+1 (559) 761-5288"/>
    <x v="74"/>
    <x v="0"/>
    <x v="1"/>
    <s v="L-M-0.5"/>
    <x v="3"/>
    <x v="0"/>
    <x v="0"/>
    <n v="0.5"/>
    <n v="8.73"/>
    <x v="92"/>
    <n v="1.1349"/>
    <n v="2.2698"/>
    <x v="4"/>
  </r>
  <r>
    <s v="EAI-25194-209"/>
    <x v="646"/>
    <x v="1"/>
    <x v="0"/>
    <x v="830"/>
    <x v="830"/>
    <s v="dsopperp4@eventbrite.com"/>
    <s v="+1 (612) 870-1604"/>
    <x v="50"/>
    <x v="0"/>
    <x v="1"/>
    <s v="A-L-2.5"/>
    <x v="2"/>
    <x v="1"/>
    <x v="1"/>
    <n v="2.5"/>
    <n v="29.784999999999997"/>
    <x v="74"/>
    <n v="2.6806499999999995"/>
    <n v="13.403249999999998"/>
    <x v="2"/>
  </r>
  <r>
    <s v="IJK-34441-720"/>
    <x v="647"/>
    <x v="0"/>
    <x v="8"/>
    <x v="831"/>
    <x v="831"/>
    <s v="UNKNOWN"/>
    <s v="+1 (915) 776-4578"/>
    <x v="87"/>
    <x v="0"/>
    <x v="0"/>
    <s v="A-M-0.5"/>
    <x v="2"/>
    <x v="0"/>
    <x v="5"/>
    <n v="0.5"/>
    <n v="6.75"/>
    <x v="61"/>
    <n v="0.60749999999999993"/>
    <n v="3.6449999999999996"/>
    <x v="8"/>
  </r>
  <r>
    <s v="ZMC-00336-619"/>
    <x v="591"/>
    <x v="2"/>
    <x v="4"/>
    <x v="832"/>
    <x v="832"/>
    <s v="lledgleyp6@de.vu"/>
    <s v="+1 (515) 261-2295"/>
    <x v="111"/>
    <x v="0"/>
    <x v="0"/>
    <s v="A-M-0.5"/>
    <x v="2"/>
    <x v="0"/>
    <x v="4"/>
    <n v="0.5"/>
    <n v="6.75"/>
    <x v="25"/>
    <n v="0.60749999999999993"/>
    <n v="2.4299999999999997"/>
    <x v="8"/>
  </r>
  <r>
    <s v="UPX-54529-618"/>
    <x v="648"/>
    <x v="1"/>
    <x v="0"/>
    <x v="833"/>
    <x v="833"/>
    <s v="tmenaryp7@phoca.cz"/>
    <s v="+1 (971) 467-6353"/>
    <x v="12"/>
    <x v="0"/>
    <x v="1"/>
    <s v="L-D-1"/>
    <x v="3"/>
    <x v="2"/>
    <x v="3"/>
    <n v="1"/>
    <n v="12.95"/>
    <x v="5"/>
    <n v="1.6835"/>
    <n v="5.0504999999999995"/>
    <x v="4"/>
  </r>
  <r>
    <s v="DLX-01059-899"/>
    <x v="191"/>
    <x v="3"/>
    <x v="4"/>
    <x v="834"/>
    <x v="834"/>
    <s v="gciccottip8@so-net.ne.jp"/>
    <s v="+1 (832) 392-5010"/>
    <x v="13"/>
    <x v="0"/>
    <x v="1"/>
    <s v="R-L-1"/>
    <x v="0"/>
    <x v="1"/>
    <x v="1"/>
    <n v="1"/>
    <n v="11.95"/>
    <x v="143"/>
    <n v="0.71699999999999997"/>
    <n v="3.585"/>
    <x v="7"/>
  </r>
  <r>
    <s v="MEK-85120-243"/>
    <x v="649"/>
    <x v="2"/>
    <x v="6"/>
    <x v="835"/>
    <x v="835"/>
    <s v="UNKNOWN"/>
    <s v="+1 (919) 456-9860"/>
    <x v="285"/>
    <x v="0"/>
    <x v="1"/>
    <s v="R-L-0.2"/>
    <x v="0"/>
    <x v="1"/>
    <x v="3"/>
    <n v="0.2"/>
    <n v="3.5849999999999995"/>
    <x v="127"/>
    <n v="0.21509999999999996"/>
    <n v="0.64529999999999987"/>
    <x v="11"/>
  </r>
  <r>
    <s v="NFI-37188-246"/>
    <x v="553"/>
    <x v="1"/>
    <x v="0"/>
    <x v="836"/>
    <x v="836"/>
    <s v="wjallinpa@pcworld.com"/>
    <s v="+1 (617) 201-1702"/>
    <x v="35"/>
    <x v="0"/>
    <x v="1"/>
    <s v="A-D-2.5"/>
    <x v="2"/>
    <x v="2"/>
    <x v="4"/>
    <n v="2.5"/>
    <n v="22.884999999999998"/>
    <x v="21"/>
    <n v="2.0596499999999995"/>
    <n v="8.2385999999999981"/>
    <x v="8"/>
  </r>
  <r>
    <s v="BXH-62195-013"/>
    <x v="584"/>
    <x v="1"/>
    <x v="11"/>
    <x v="837"/>
    <x v="837"/>
    <s v="mbogeypb@thetimes.co.uk"/>
    <s v="+1 (202) 479-4238"/>
    <x v="41"/>
    <x v="0"/>
    <x v="0"/>
    <s v="A-M-1"/>
    <x v="2"/>
    <x v="0"/>
    <x v="4"/>
    <n v="1"/>
    <n v="11.25"/>
    <x v="157"/>
    <n v="1.0125"/>
    <n v="4.05"/>
    <x v="2"/>
  </r>
  <r>
    <s v="YLK-78851-470"/>
    <x v="650"/>
    <x v="0"/>
    <x v="0"/>
    <x v="838"/>
    <x v="838"/>
    <s v="UNKNOWN"/>
    <s v="+1 (518) 905-1184"/>
    <x v="140"/>
    <x v="0"/>
    <x v="0"/>
    <s v="R-M-2.5"/>
    <x v="0"/>
    <x v="0"/>
    <x v="5"/>
    <n v="2.5"/>
    <n v="22.884999999999998"/>
    <x v="170"/>
    <n v="1.3730999999999998"/>
    <n v="8.2385999999999981"/>
    <x v="6"/>
  </r>
  <r>
    <s v="DXY-76225-633"/>
    <x v="121"/>
    <x v="1"/>
    <x v="2"/>
    <x v="839"/>
    <x v="839"/>
    <s v="mcobbledickpd@ucsd.edu"/>
    <s v="+1 (520) 567-8210"/>
    <x v="31"/>
    <x v="0"/>
    <x v="1"/>
    <s v="A-M-0.5"/>
    <x v="2"/>
    <x v="0"/>
    <x v="2"/>
    <n v="0.5"/>
    <n v="6.75"/>
    <x v="52"/>
    <n v="0.60749999999999993"/>
    <n v="0.60749999999999993"/>
    <x v="8"/>
  </r>
  <r>
    <s v="UHP-24614-199"/>
    <x v="472"/>
    <x v="2"/>
    <x v="6"/>
    <x v="840"/>
    <x v="840"/>
    <s v="alewrype@whitehouse.gov"/>
    <s v="+1 (334) 368-9435"/>
    <x v="124"/>
    <x v="0"/>
    <x v="1"/>
    <s v="A-M-1"/>
    <x v="2"/>
    <x v="0"/>
    <x v="4"/>
    <n v="1"/>
    <n v="11.25"/>
    <x v="157"/>
    <n v="1.0125"/>
    <n v="4.05"/>
    <x v="2"/>
  </r>
  <r>
    <s v="HBY-35655-049"/>
    <x v="594"/>
    <x v="3"/>
    <x v="5"/>
    <x v="841"/>
    <x v="841"/>
    <s v="ihesselpf@ox.ac.uk"/>
    <s v="+1 (907) 873-3538"/>
    <x v="361"/>
    <x v="0"/>
    <x v="0"/>
    <s v="E-D-2.5"/>
    <x v="1"/>
    <x v="2"/>
    <x v="3"/>
    <n v="2.5"/>
    <n v="27.945"/>
    <x v="171"/>
    <n v="3.07395"/>
    <n v="9.2218499999999999"/>
    <x v="1"/>
  </r>
  <r>
    <s v="DCE-22886-861"/>
    <x v="89"/>
    <x v="1"/>
    <x v="8"/>
    <x v="842"/>
    <x v="842"/>
    <s v="UNKNOWN"/>
    <s v="UNKNOWN"/>
    <x v="244"/>
    <x v="1"/>
    <x v="0"/>
    <s v="E-D-0.2"/>
    <x v="1"/>
    <x v="2"/>
    <x v="2"/>
    <n v="0.2"/>
    <n v="3.645"/>
    <x v="186"/>
    <n v="0.40095000000000003"/>
    <n v="0.40095000000000003"/>
    <x v="3"/>
  </r>
  <r>
    <s v="QTG-93823-843"/>
    <x v="651"/>
    <x v="2"/>
    <x v="4"/>
    <x v="843"/>
    <x v="843"/>
    <s v="csorrellph@amazon.com"/>
    <s v="+44 (160) 225-1993"/>
    <x v="184"/>
    <x v="2"/>
    <x v="1"/>
    <s v="A-M-0.5"/>
    <x v="2"/>
    <x v="0"/>
    <x v="2"/>
    <n v="0.5"/>
    <n v="6.75"/>
    <x v="52"/>
    <n v="0.60749999999999993"/>
    <n v="0.60749999999999993"/>
    <x v="8"/>
  </r>
  <r>
    <s v="QTG-93823-843"/>
    <x v="651"/>
    <x v="2"/>
    <x v="4"/>
    <x v="843"/>
    <x v="843"/>
    <s v="csorrellph@amazon.com"/>
    <s v="+44 (160) 225-1993"/>
    <x v="184"/>
    <x v="2"/>
    <x v="1"/>
    <s v="E-D-0.5"/>
    <x v="1"/>
    <x v="2"/>
    <x v="3"/>
    <n v="0.5"/>
    <n v="7.29"/>
    <x v="6"/>
    <n v="0.80190000000000006"/>
    <n v="2.4057000000000004"/>
    <x v="5"/>
  </r>
  <r>
    <s v="WFT-16178-396"/>
    <x v="249"/>
    <x v="3"/>
    <x v="9"/>
    <x v="844"/>
    <x v="844"/>
    <s v="qheavysidepj@unc.edu"/>
    <s v="+1 (859) 572-4305"/>
    <x v="193"/>
    <x v="0"/>
    <x v="0"/>
    <s v="R-D-0.2"/>
    <x v="0"/>
    <x v="2"/>
    <x v="1"/>
    <n v="0.2"/>
    <n v="2.6849999999999996"/>
    <x v="148"/>
    <n v="0.16109999999999997"/>
    <n v="0.80549999999999988"/>
    <x v="0"/>
  </r>
  <r>
    <s v="ERC-54560-934"/>
    <x v="652"/>
    <x v="2"/>
    <x v="5"/>
    <x v="845"/>
    <x v="845"/>
    <s v="hreuvenpk@whitehouse.gov"/>
    <s v="+1 (616) 851-0525"/>
    <x v="16"/>
    <x v="0"/>
    <x v="1"/>
    <s v="R-D-2.5"/>
    <x v="0"/>
    <x v="2"/>
    <x v="5"/>
    <n v="2.5"/>
    <n v="20.584999999999997"/>
    <x v="99"/>
    <n v="1.2350999999999999"/>
    <n v="7.4105999999999987"/>
    <x v="11"/>
  </r>
  <r>
    <s v="RUK-78200-416"/>
    <x v="653"/>
    <x v="1"/>
    <x v="11"/>
    <x v="846"/>
    <x v="846"/>
    <s v="mattwoolpl@nba.com"/>
    <s v="+1 (515) 821-3701"/>
    <x v="111"/>
    <x v="0"/>
    <x v="1"/>
    <s v="L-D-0.2"/>
    <x v="3"/>
    <x v="2"/>
    <x v="0"/>
    <n v="0.2"/>
    <n v="3.8849999999999998"/>
    <x v="41"/>
    <n v="0.50505"/>
    <n v="1.0101"/>
    <x v="4"/>
  </r>
  <r>
    <s v="KHK-13105-388"/>
    <x v="177"/>
    <x v="2"/>
    <x v="8"/>
    <x v="847"/>
    <x v="847"/>
    <s v="UNKNOWN"/>
    <s v="UNKNOWN"/>
    <x v="325"/>
    <x v="0"/>
    <x v="0"/>
    <s v="A-M-1"/>
    <x v="2"/>
    <x v="0"/>
    <x v="5"/>
    <n v="1"/>
    <n v="11.25"/>
    <x v="173"/>
    <n v="1.0125"/>
    <n v="6.0749999999999993"/>
    <x v="8"/>
  </r>
  <r>
    <s v="NJR-03699-189"/>
    <x v="22"/>
    <x v="0"/>
    <x v="7"/>
    <x v="848"/>
    <x v="848"/>
    <s v="gwynespn@dagondesign.com"/>
    <s v="+1 (512) 118-8603"/>
    <x v="79"/>
    <x v="0"/>
    <x v="1"/>
    <s v="E-D-2.5"/>
    <x v="1"/>
    <x v="2"/>
    <x v="2"/>
    <n v="2.5"/>
    <n v="27.945"/>
    <x v="140"/>
    <n v="3.07395"/>
    <n v="3.07395"/>
    <x v="3"/>
  </r>
  <r>
    <s v="PJV-20427-019"/>
    <x v="508"/>
    <x v="1"/>
    <x v="0"/>
    <x v="849"/>
    <x v="849"/>
    <s v="cmaccourtpo@amazon.com"/>
    <s v="UNKNOWN"/>
    <x v="327"/>
    <x v="0"/>
    <x v="1"/>
    <s v="A-L-2.5"/>
    <x v="2"/>
    <x v="1"/>
    <x v="3"/>
    <n v="2.5"/>
    <n v="29.784999999999997"/>
    <x v="49"/>
    <n v="2.6806499999999995"/>
    <n v="8.0419499999999982"/>
    <x v="8"/>
  </r>
  <r>
    <s v="UGK-07613-982"/>
    <x v="654"/>
    <x v="2"/>
    <x v="2"/>
    <x v="822"/>
    <x v="822"/>
    <s v="UNKNOWN"/>
    <s v="+1 (718) 461-3002"/>
    <x v="15"/>
    <x v="0"/>
    <x v="1"/>
    <s v="A-M-0.5"/>
    <x v="2"/>
    <x v="0"/>
    <x v="3"/>
    <n v="0.5"/>
    <n v="6.75"/>
    <x v="16"/>
    <n v="0.60749999999999993"/>
    <n v="1.8224999999999998"/>
    <x v="8"/>
  </r>
  <r>
    <s v="OLA-68289-577"/>
    <x v="524"/>
    <x v="3"/>
    <x v="1"/>
    <x v="850"/>
    <x v="850"/>
    <s v="ewilsonepq@eepurl.com"/>
    <s v="+1 (202) 969-6382"/>
    <x v="41"/>
    <x v="0"/>
    <x v="0"/>
    <s v="A-M-0.5"/>
    <x v="2"/>
    <x v="0"/>
    <x v="1"/>
    <n v="0.5"/>
    <n v="6.75"/>
    <x v="65"/>
    <n v="0.60749999999999993"/>
    <n v="3.0374999999999996"/>
    <x v="8"/>
  </r>
  <r>
    <s v="TNR-84447-052"/>
    <x v="655"/>
    <x v="0"/>
    <x v="4"/>
    <x v="851"/>
    <x v="851"/>
    <s v="dduffiepr@time.com"/>
    <s v="+1 (971) 936-3214"/>
    <x v="12"/>
    <x v="0"/>
    <x v="1"/>
    <s v="E-D-2.5"/>
    <x v="1"/>
    <x v="2"/>
    <x v="4"/>
    <n v="2.5"/>
    <n v="27.945"/>
    <x v="150"/>
    <n v="3.07395"/>
    <n v="12.2958"/>
    <x v="3"/>
  </r>
  <r>
    <s v="FBZ-64200-586"/>
    <x v="523"/>
    <x v="2"/>
    <x v="2"/>
    <x v="852"/>
    <x v="852"/>
    <s v="mmatiasekps@ucoz.ru"/>
    <s v="UNKNOWN"/>
    <x v="15"/>
    <x v="0"/>
    <x v="0"/>
    <s v="E-M-2.5"/>
    <x v="1"/>
    <x v="0"/>
    <x v="0"/>
    <n v="2.5"/>
    <n v="31.624999999999996"/>
    <x v="40"/>
    <n v="3.4787499999999998"/>
    <n v="6.9574999999999996"/>
    <x v="3"/>
  </r>
  <r>
    <s v="OBN-66334-505"/>
    <x v="656"/>
    <x v="3"/>
    <x v="11"/>
    <x v="853"/>
    <x v="853"/>
    <s v="jcamillopt@shinystat.com"/>
    <s v="+1 (202) 572-0994"/>
    <x v="41"/>
    <x v="0"/>
    <x v="0"/>
    <s v="E-L-0.2"/>
    <x v="1"/>
    <x v="1"/>
    <x v="0"/>
    <n v="0.2"/>
    <n v="4.4550000000000001"/>
    <x v="161"/>
    <n v="0.49004999999999999"/>
    <n v="0.98009999999999997"/>
    <x v="3"/>
  </r>
  <r>
    <s v="NXM-89323-646"/>
    <x v="657"/>
    <x v="0"/>
    <x v="6"/>
    <x v="854"/>
    <x v="854"/>
    <s v="kphilbrickpu@cdc.gov"/>
    <s v="UNKNOWN"/>
    <x v="41"/>
    <x v="0"/>
    <x v="0"/>
    <s v="E-D-1"/>
    <x v="1"/>
    <x v="2"/>
    <x v="2"/>
    <n v="1"/>
    <n v="12.15"/>
    <x v="87"/>
    <n v="1.3365"/>
    <n v="1.3365"/>
    <x v="3"/>
  </r>
  <r>
    <s v="NHI-23264-055"/>
    <x v="658"/>
    <x v="2"/>
    <x v="10"/>
    <x v="855"/>
    <x v="855"/>
    <s v="UNKNOWN"/>
    <s v="UNKNOWN"/>
    <x v="311"/>
    <x v="0"/>
    <x v="0"/>
    <s v="A-D-0.5"/>
    <x v="2"/>
    <x v="2"/>
    <x v="4"/>
    <n v="0.5"/>
    <n v="5.97"/>
    <x v="86"/>
    <n v="0.5373"/>
    <n v="2.1492"/>
    <x v="9"/>
  </r>
  <r>
    <s v="EQH-53569-934"/>
    <x v="659"/>
    <x v="3"/>
    <x v="7"/>
    <x v="856"/>
    <x v="856"/>
    <s v="bsillispw@istockphoto.com"/>
    <s v="+1 (305) 267-4961"/>
    <x v="218"/>
    <x v="0"/>
    <x v="1"/>
    <s v="E-M-1"/>
    <x v="1"/>
    <x v="0"/>
    <x v="4"/>
    <n v="1"/>
    <n v="13.75"/>
    <x v="193"/>
    <n v="1.5125"/>
    <n v="6.05"/>
    <x v="3"/>
  </r>
  <r>
    <s v="XKK-06692-189"/>
    <x v="558"/>
    <x v="1"/>
    <x v="9"/>
    <x v="857"/>
    <x v="857"/>
    <s v="UNKNOWN"/>
    <s v="+1 (405) 369-5173"/>
    <x v="101"/>
    <x v="0"/>
    <x v="0"/>
    <s v="R-D-1"/>
    <x v="0"/>
    <x v="2"/>
    <x v="3"/>
    <n v="1"/>
    <n v="8.9499999999999993"/>
    <x v="166"/>
    <n v="0.53699999999999992"/>
    <n v="1.6109999999999998"/>
    <x v="7"/>
  </r>
  <r>
    <s v="BYP-16005-016"/>
    <x v="660"/>
    <x v="1"/>
    <x v="3"/>
    <x v="858"/>
    <x v="858"/>
    <s v="rcuttspy@techcrunch.com"/>
    <s v="+1 (815) 758-8653"/>
    <x v="356"/>
    <x v="0"/>
    <x v="1"/>
    <s v="R-M-2.5"/>
    <x v="0"/>
    <x v="0"/>
    <x v="1"/>
    <n v="2.5"/>
    <n v="22.884999999999998"/>
    <x v="15"/>
    <n v="1.3730999999999998"/>
    <n v="6.865499999999999"/>
    <x v="7"/>
  </r>
  <r>
    <s v="LWS-13938-905"/>
    <x v="661"/>
    <x v="3"/>
    <x v="11"/>
    <x v="859"/>
    <x v="859"/>
    <s v="mdelvespz@nature.com"/>
    <s v="+1 (334) 881-9178"/>
    <x v="124"/>
    <x v="0"/>
    <x v="0"/>
    <s v="A-M-2.5"/>
    <x v="2"/>
    <x v="0"/>
    <x v="5"/>
    <n v="2.5"/>
    <n v="25.874999999999996"/>
    <x v="71"/>
    <n v="2.3287499999999994"/>
    <n v="13.972499999999997"/>
    <x v="2"/>
  </r>
  <r>
    <s v="OLH-95722-362"/>
    <x v="662"/>
    <x v="1"/>
    <x v="7"/>
    <x v="860"/>
    <x v="860"/>
    <s v="dgrittonq0@nydailynews.com"/>
    <s v="+1 (626) 968-5148"/>
    <x v="148"/>
    <x v="0"/>
    <x v="0"/>
    <s v="L-D-0.5"/>
    <x v="3"/>
    <x v="2"/>
    <x v="3"/>
    <n v="0.5"/>
    <n v="7.77"/>
    <x v="102"/>
    <n v="1.0101"/>
    <n v="3.0303"/>
    <x v="4"/>
  </r>
  <r>
    <s v="OLH-95722-362"/>
    <x v="662"/>
    <x v="1"/>
    <x v="7"/>
    <x v="860"/>
    <x v="860"/>
    <s v="dgrittonq0@nydailynews.com"/>
    <s v="+1 (626) 968-5148"/>
    <x v="148"/>
    <x v="0"/>
    <x v="0"/>
    <s v="R-M-2.5"/>
    <x v="0"/>
    <x v="0"/>
    <x v="4"/>
    <n v="2.5"/>
    <n v="22.884999999999998"/>
    <x v="21"/>
    <n v="1.3730999999999998"/>
    <n v="5.4923999999999991"/>
    <x v="7"/>
  </r>
  <r>
    <s v="KCW-50949-318"/>
    <x v="184"/>
    <x v="0"/>
    <x v="9"/>
    <x v="861"/>
    <x v="861"/>
    <s v="dgutq2@umich.edu"/>
    <s v="+1 (281) 648-9915"/>
    <x v="13"/>
    <x v="0"/>
    <x v="0"/>
    <s v="E-L-1"/>
    <x v="1"/>
    <x v="1"/>
    <x v="1"/>
    <n v="1"/>
    <n v="14.85"/>
    <x v="159"/>
    <n v="1.6335"/>
    <n v="8.1675000000000004"/>
    <x v="3"/>
  </r>
  <r>
    <s v="JGZ-16947-591"/>
    <x v="663"/>
    <x v="1"/>
    <x v="10"/>
    <x v="862"/>
    <x v="862"/>
    <s v="wpummeryq3@topsy.com"/>
    <s v="+1 (231) 416-9594"/>
    <x v="362"/>
    <x v="0"/>
    <x v="1"/>
    <s v="L-L-0.2"/>
    <x v="3"/>
    <x v="1"/>
    <x v="5"/>
    <n v="0.2"/>
    <n v="4.7549999999999999"/>
    <x v="32"/>
    <n v="0.61814999999999998"/>
    <n v="3.7088999999999999"/>
    <x v="10"/>
  </r>
  <r>
    <s v="LXS-63326-144"/>
    <x v="334"/>
    <x v="1"/>
    <x v="5"/>
    <x v="863"/>
    <x v="863"/>
    <s v="gsiudaq4@nytimes.com"/>
    <s v="+1 (202) 315-8135"/>
    <x v="41"/>
    <x v="0"/>
    <x v="0"/>
    <s v="R-L-0.5"/>
    <x v="0"/>
    <x v="1"/>
    <x v="0"/>
    <n v="0.5"/>
    <n v="7.169999999999999"/>
    <x v="79"/>
    <n v="0.43019999999999992"/>
    <n v="0.86039999999999983"/>
    <x v="7"/>
  </r>
  <r>
    <s v="CZG-86544-655"/>
    <x v="664"/>
    <x v="2"/>
    <x v="8"/>
    <x v="864"/>
    <x v="864"/>
    <s v="hcrowneq5@wufoo.com"/>
    <s v="+353 (476) 525-5512"/>
    <x v="363"/>
    <x v="1"/>
    <x v="0"/>
    <s v="A-L-0.5"/>
    <x v="2"/>
    <x v="1"/>
    <x v="0"/>
    <n v="0.5"/>
    <n v="7.77"/>
    <x v="42"/>
    <n v="0.69929999999999992"/>
    <n v="1.3985999999999998"/>
    <x v="2"/>
  </r>
  <r>
    <s v="WFV-88138-247"/>
    <x v="24"/>
    <x v="1"/>
    <x v="0"/>
    <x v="865"/>
    <x v="865"/>
    <s v="vpawseyq6@tiny.cc"/>
    <s v="+1 (478) 568-4944"/>
    <x v="126"/>
    <x v="0"/>
    <x v="1"/>
    <s v="R-L-1"/>
    <x v="0"/>
    <x v="1"/>
    <x v="3"/>
    <n v="1"/>
    <n v="11.95"/>
    <x v="66"/>
    <n v="0.71699999999999997"/>
    <n v="2.1509999999999998"/>
    <x v="0"/>
  </r>
  <r>
    <s v="RFG-28227-288"/>
    <x v="12"/>
    <x v="2"/>
    <x v="1"/>
    <x v="866"/>
    <x v="866"/>
    <s v="awaterhouseq7@istockphoto.com"/>
    <s v="+1 (318) 129-0806"/>
    <x v="212"/>
    <x v="0"/>
    <x v="1"/>
    <s v="A-L-0.5"/>
    <x v="2"/>
    <x v="1"/>
    <x v="5"/>
    <n v="0.5"/>
    <n v="7.77"/>
    <x v="162"/>
    <n v="0.69929999999999992"/>
    <n v="4.1957999999999993"/>
    <x v="2"/>
  </r>
  <r>
    <s v="QAK-77286-758"/>
    <x v="105"/>
    <x v="3"/>
    <x v="3"/>
    <x v="867"/>
    <x v="867"/>
    <s v="fhaughianq8@1688.com"/>
    <s v="+1 (253) 974-5538"/>
    <x v="174"/>
    <x v="0"/>
    <x v="1"/>
    <s v="R-L-0.5"/>
    <x v="0"/>
    <x v="1"/>
    <x v="1"/>
    <n v="0.5"/>
    <n v="7.169999999999999"/>
    <x v="66"/>
    <n v="0.43019999999999992"/>
    <n v="2.1509999999999998"/>
    <x v="0"/>
  </r>
  <r>
    <s v="CZD-56716-840"/>
    <x v="665"/>
    <x v="0"/>
    <x v="10"/>
    <x v="868"/>
    <x v="868"/>
    <s v="UNKNOWN"/>
    <s v="+1 (915) 920-9318"/>
    <x v="87"/>
    <x v="0"/>
    <x v="1"/>
    <s v="L-D-2.5"/>
    <x v="3"/>
    <x v="2"/>
    <x v="4"/>
    <n v="2.5"/>
    <n v="29.784999999999997"/>
    <x v="129"/>
    <n v="3.8720499999999998"/>
    <n v="15.488199999999999"/>
    <x v="4"/>
  </r>
  <r>
    <s v="UBI-59229-277"/>
    <x v="44"/>
    <x v="0"/>
    <x v="0"/>
    <x v="869"/>
    <x v="869"/>
    <s v="UNKNOWN"/>
    <s v="+1 (205) 866-7629"/>
    <x v="38"/>
    <x v="0"/>
    <x v="1"/>
    <s v="L-D-0.5"/>
    <x v="3"/>
    <x v="2"/>
    <x v="3"/>
    <n v="0.5"/>
    <n v="7.77"/>
    <x v="102"/>
    <n v="1.0101"/>
    <n v="3.0303"/>
    <x v="4"/>
  </r>
  <r>
    <s v="WJJ-37489-898"/>
    <x v="171"/>
    <x v="1"/>
    <x v="8"/>
    <x v="870"/>
    <x v="870"/>
    <s v="rfaltinqb@topsy.com"/>
    <s v="UNKNOWN"/>
    <x v="105"/>
    <x v="1"/>
    <x v="1"/>
    <s v="A-M-1"/>
    <x v="2"/>
    <x v="0"/>
    <x v="2"/>
    <n v="1"/>
    <n v="11.25"/>
    <x v="23"/>
    <n v="1.0125"/>
    <n v="1.0125"/>
    <x v="2"/>
  </r>
  <r>
    <s v="ORX-57454-917"/>
    <x v="328"/>
    <x v="1"/>
    <x v="0"/>
    <x v="871"/>
    <x v="871"/>
    <s v="gcheekeqc@sitemeter.com"/>
    <s v="+44 (677) 694-1404"/>
    <x v="282"/>
    <x v="2"/>
    <x v="0"/>
    <s v="E-D-2.5"/>
    <x v="1"/>
    <x v="2"/>
    <x v="3"/>
    <n v="2.5"/>
    <n v="27.945"/>
    <x v="171"/>
    <n v="3.07395"/>
    <n v="9.2218499999999999"/>
    <x v="1"/>
  </r>
  <r>
    <s v="GRB-68838-629"/>
    <x v="648"/>
    <x v="1"/>
    <x v="0"/>
    <x v="872"/>
    <x v="872"/>
    <s v="grattqd@phpbb.com"/>
    <s v="+353 (878) 618-9723"/>
    <x v="364"/>
    <x v="1"/>
    <x v="1"/>
    <s v="R-L-2.5"/>
    <x v="0"/>
    <x v="1"/>
    <x v="4"/>
    <n v="2.5"/>
    <n v="27.484999999999996"/>
    <x v="108"/>
    <n v="1.6490999999999998"/>
    <n v="6.5963999999999992"/>
    <x v="0"/>
  </r>
  <r>
    <s v="SHT-04865-419"/>
    <x v="666"/>
    <x v="2"/>
    <x v="5"/>
    <x v="873"/>
    <x v="873"/>
    <s v="UNKNOWN"/>
    <s v="+1 (302) 159-1841"/>
    <x v="325"/>
    <x v="0"/>
    <x v="0"/>
    <s v="R-L-0.2"/>
    <x v="0"/>
    <x v="1"/>
    <x v="4"/>
    <n v="0.2"/>
    <n v="3.5849999999999995"/>
    <x v="79"/>
    <n v="0.21509999999999996"/>
    <n v="0.86039999999999983"/>
    <x v="7"/>
  </r>
  <r>
    <s v="UQI-28177-865"/>
    <x v="577"/>
    <x v="3"/>
    <x v="0"/>
    <x v="874"/>
    <x v="874"/>
    <s v="ieberleinqf@hc360.com"/>
    <s v="+1 (717) 323-3451"/>
    <x v="225"/>
    <x v="0"/>
    <x v="1"/>
    <s v="R-L-0.2"/>
    <x v="0"/>
    <x v="1"/>
    <x v="5"/>
    <n v="0.2"/>
    <n v="3.5849999999999995"/>
    <x v="137"/>
    <n v="0.21509999999999996"/>
    <n v="1.2905999999999997"/>
    <x v="11"/>
  </r>
  <r>
    <s v="OIB-13664-879"/>
    <x v="114"/>
    <x v="1"/>
    <x v="3"/>
    <x v="875"/>
    <x v="875"/>
    <s v="jdrengqg@uiuc.edu"/>
    <s v="+353 (350) 974-1489"/>
    <x v="363"/>
    <x v="1"/>
    <x v="0"/>
    <s v="A-M-1"/>
    <x v="2"/>
    <x v="0"/>
    <x v="0"/>
    <n v="1"/>
    <n v="11.25"/>
    <x v="122"/>
    <n v="1.0125"/>
    <n v="2.0249999999999999"/>
    <x v="2"/>
  </r>
  <r>
    <s v="PJS-30996-485"/>
    <x v="4"/>
    <x v="2"/>
    <x v="4"/>
    <x v="857"/>
    <x v="857"/>
    <s v="UNKNOWN"/>
    <s v="+1 (405) 369-5173"/>
    <x v="101"/>
    <x v="0"/>
    <x v="0"/>
    <s v="A-L-0.2"/>
    <x v="2"/>
    <x v="1"/>
    <x v="2"/>
    <n v="0.2"/>
    <n v="3.8849999999999998"/>
    <x v="84"/>
    <n v="0.34964999999999996"/>
    <n v="0.34964999999999996"/>
    <x v="2"/>
  </r>
  <r>
    <s v="HEL-86709-449"/>
    <x v="667"/>
    <x v="2"/>
    <x v="1"/>
    <x v="857"/>
    <x v="857"/>
    <s v="UNKNOWN"/>
    <s v="+1 (405) 369-5173"/>
    <x v="101"/>
    <x v="0"/>
    <x v="0"/>
    <s v="E-D-2.5"/>
    <x v="1"/>
    <x v="2"/>
    <x v="2"/>
    <n v="2.5"/>
    <n v="27.945"/>
    <x v="140"/>
    <n v="3.07395"/>
    <n v="3.07395"/>
    <x v="3"/>
  </r>
  <r>
    <s v="NCH-55389-562"/>
    <x v="110"/>
    <x v="0"/>
    <x v="8"/>
    <x v="857"/>
    <x v="857"/>
    <s v="UNKNOWN"/>
    <s v="+1 (405) 369-5173"/>
    <x v="101"/>
    <x v="0"/>
    <x v="0"/>
    <s v="E-L-2.5"/>
    <x v="1"/>
    <x v="1"/>
    <x v="1"/>
    <n v="2.5"/>
    <n v="34.154999999999994"/>
    <x v="11"/>
    <n v="3.7570499999999996"/>
    <n v="18.785249999999998"/>
    <x v="3"/>
  </r>
  <r>
    <s v="NCH-55389-562"/>
    <x v="110"/>
    <x v="0"/>
    <x v="8"/>
    <x v="857"/>
    <x v="857"/>
    <s v="UNKNOWN"/>
    <s v="+1 (405) 369-5173"/>
    <x v="101"/>
    <x v="0"/>
    <x v="0"/>
    <s v="R-L-2.5"/>
    <x v="0"/>
    <x v="1"/>
    <x v="0"/>
    <n v="2.5"/>
    <n v="27.484999999999996"/>
    <x v="4"/>
    <n v="1.6490999999999998"/>
    <n v="3.2981999999999996"/>
    <x v="0"/>
  </r>
  <r>
    <s v="NCH-55389-562"/>
    <x v="110"/>
    <x v="0"/>
    <x v="8"/>
    <x v="857"/>
    <x v="857"/>
    <s v="UNKNOWN"/>
    <s v="+1 (405) 369-5173"/>
    <x v="101"/>
    <x v="0"/>
    <x v="0"/>
    <s v="E-L-1"/>
    <x v="1"/>
    <x v="1"/>
    <x v="2"/>
    <n v="1"/>
    <n v="14.85"/>
    <x v="151"/>
    <n v="1.6335"/>
    <n v="1.6335"/>
    <x v="3"/>
  </r>
  <r>
    <s v="NCH-55389-562"/>
    <x v="110"/>
    <x v="0"/>
    <x v="8"/>
    <x v="857"/>
    <x v="857"/>
    <s v="UNKNOWN"/>
    <s v="+1 (405) 369-5173"/>
    <x v="101"/>
    <x v="0"/>
    <x v="0"/>
    <s v="A-L-0.2"/>
    <x v="2"/>
    <x v="1"/>
    <x v="0"/>
    <n v="0.2"/>
    <n v="3.8849999999999998"/>
    <x v="41"/>
    <n v="0.34964999999999996"/>
    <n v="0.69929999999999992"/>
    <x v="2"/>
  </r>
  <r>
    <s v="GUG-45603-775"/>
    <x v="668"/>
    <x v="2"/>
    <x v="10"/>
    <x v="876"/>
    <x v="876"/>
    <s v="rstrathernqn@devhub.com"/>
    <s v="UNKNOWN"/>
    <x v="28"/>
    <x v="0"/>
    <x v="0"/>
    <s v="L-L-0.2"/>
    <x v="3"/>
    <x v="1"/>
    <x v="1"/>
    <n v="0.2"/>
    <n v="4.7549999999999999"/>
    <x v="29"/>
    <n v="0.61814999999999998"/>
    <n v="3.0907499999999999"/>
    <x v="4"/>
  </r>
  <r>
    <s v="KJB-98240-098"/>
    <x v="422"/>
    <x v="2"/>
    <x v="4"/>
    <x v="877"/>
    <x v="877"/>
    <s v="cmiguelqo@exblog.jp"/>
    <s v="+1 (240) 449-8992"/>
    <x v="365"/>
    <x v="0"/>
    <x v="0"/>
    <s v="L-L-1"/>
    <x v="3"/>
    <x v="1"/>
    <x v="1"/>
    <n v="1"/>
    <n v="15.85"/>
    <x v="180"/>
    <n v="2.0605000000000002"/>
    <n v="10.302500000000002"/>
    <x v="12"/>
  </r>
  <r>
    <s v="JMS-48374-462"/>
    <x v="669"/>
    <x v="3"/>
    <x v="11"/>
    <x v="878"/>
    <x v="878"/>
    <s v="UNKNOWN"/>
    <s v="+1 (518) 618-9919"/>
    <x v="140"/>
    <x v="0"/>
    <x v="0"/>
    <s v="A-D-2.5"/>
    <x v="2"/>
    <x v="2"/>
    <x v="0"/>
    <n v="2.5"/>
    <n v="22.884999999999998"/>
    <x v="135"/>
    <n v="2.0596499999999995"/>
    <n v="4.1192999999999991"/>
    <x v="8"/>
  </r>
  <r>
    <s v="YIT-15877-117"/>
    <x v="670"/>
    <x v="2"/>
    <x v="8"/>
    <x v="879"/>
    <x v="879"/>
    <s v="mrocksqq@exblog.jp"/>
    <s v="+353 (731) 124-0228"/>
    <x v="366"/>
    <x v="1"/>
    <x v="0"/>
    <s v="R-D-1"/>
    <x v="0"/>
    <x v="2"/>
    <x v="2"/>
    <n v="1"/>
    <n v="8.9499999999999993"/>
    <x v="192"/>
    <n v="0.53699999999999992"/>
    <n v="0.53699999999999992"/>
    <x v="7"/>
  </r>
  <r>
    <s v="YVK-82679-655"/>
    <x v="341"/>
    <x v="1"/>
    <x v="4"/>
    <x v="880"/>
    <x v="880"/>
    <s v="yburrellsqr@vinaora.com"/>
    <s v="+1 (859) 101-4742"/>
    <x v="193"/>
    <x v="0"/>
    <x v="0"/>
    <s v="R-M-0.5"/>
    <x v="0"/>
    <x v="0"/>
    <x v="4"/>
    <n v="0.5"/>
    <n v="5.97"/>
    <x v="86"/>
    <n v="0.35819999999999996"/>
    <n v="1.4327999999999999"/>
    <x v="7"/>
  </r>
  <r>
    <s v="TYH-81940-054"/>
    <x v="671"/>
    <x v="3"/>
    <x v="10"/>
    <x v="881"/>
    <x v="881"/>
    <s v="cgoodrumqs@goodreads.com"/>
    <s v="+1 (619) 944-5888"/>
    <x v="236"/>
    <x v="0"/>
    <x v="1"/>
    <s v="E-L-0.2"/>
    <x v="1"/>
    <x v="1"/>
    <x v="1"/>
    <n v="0.2"/>
    <n v="4.4550000000000001"/>
    <x v="110"/>
    <n v="0.49004999999999999"/>
    <n v="2.45025"/>
    <x v="5"/>
  </r>
  <r>
    <s v="HTY-30660-254"/>
    <x v="672"/>
    <x v="0"/>
    <x v="0"/>
    <x v="882"/>
    <x v="882"/>
    <s v="jjefferysqt@blog.com"/>
    <s v="UNKNOWN"/>
    <x v="6"/>
    <x v="0"/>
    <x v="0"/>
    <s v="R-M-1"/>
    <x v="0"/>
    <x v="0"/>
    <x v="3"/>
    <n v="1"/>
    <n v="9.9499999999999993"/>
    <x v="44"/>
    <n v="0.59699999999999998"/>
    <n v="1.7909999999999999"/>
    <x v="0"/>
  </r>
  <r>
    <s v="GPW-43956-761"/>
    <x v="673"/>
    <x v="0"/>
    <x v="4"/>
    <x v="883"/>
    <x v="883"/>
    <s v="bwardellqu@adobe.com"/>
    <s v="+1 (347) 311-2289"/>
    <x v="130"/>
    <x v="0"/>
    <x v="0"/>
    <s v="E-L-0.5"/>
    <x v="1"/>
    <x v="1"/>
    <x v="5"/>
    <n v="0.5"/>
    <n v="8.91"/>
    <x v="119"/>
    <n v="0.98009999999999997"/>
    <n v="5.8805999999999994"/>
    <x v="1"/>
  </r>
  <r>
    <s v="DWY-56352-412"/>
    <x v="674"/>
    <x v="1"/>
    <x v="10"/>
    <x v="884"/>
    <x v="884"/>
    <s v="zwalisiakqv@ucsd.edu"/>
    <s v="+353 (848) 172-8155"/>
    <x v="367"/>
    <x v="1"/>
    <x v="0"/>
    <s v="R-D-0.2"/>
    <x v="0"/>
    <x v="2"/>
    <x v="2"/>
    <n v="0.2"/>
    <n v="2.6849999999999996"/>
    <x v="97"/>
    <n v="0.16109999999999997"/>
    <n v="0.16109999999999997"/>
    <x v="7"/>
  </r>
  <r>
    <s v="PUH-55647-976"/>
    <x v="675"/>
    <x v="2"/>
    <x v="6"/>
    <x v="885"/>
    <x v="885"/>
    <s v="wleopoldqw@blogspot.com"/>
    <s v="+1 (352) 173-9191"/>
    <x v="368"/>
    <x v="0"/>
    <x v="1"/>
    <s v="R-M-0.2"/>
    <x v="0"/>
    <x v="0"/>
    <x v="0"/>
    <n v="0.2"/>
    <n v="2.9849999999999999"/>
    <x v="9"/>
    <n v="0.17909999999999998"/>
    <n v="0.35819999999999996"/>
    <x v="7"/>
  </r>
  <r>
    <s v="DTB-71371-705"/>
    <x v="539"/>
    <x v="0"/>
    <x v="2"/>
    <x v="886"/>
    <x v="886"/>
    <s v="cshaldersqx@cisco.com"/>
    <s v="+1 (305) 787-2810"/>
    <x v="120"/>
    <x v="0"/>
    <x v="0"/>
    <s v="L-D-1"/>
    <x v="3"/>
    <x v="2"/>
    <x v="2"/>
    <n v="1"/>
    <n v="12.95"/>
    <x v="2"/>
    <n v="1.6835"/>
    <n v="1.6835"/>
    <x v="4"/>
  </r>
  <r>
    <s v="ZDC-64769-740"/>
    <x v="676"/>
    <x v="0"/>
    <x v="0"/>
    <x v="887"/>
    <x v="887"/>
    <s v="UNKNOWN"/>
    <s v="+1 (865) 959-4075"/>
    <x v="279"/>
    <x v="0"/>
    <x v="1"/>
    <s v="E-M-0.5"/>
    <x v="1"/>
    <x v="0"/>
    <x v="2"/>
    <n v="0.5"/>
    <n v="8.25"/>
    <x v="112"/>
    <n v="0.90749999999999997"/>
    <n v="0.90749999999999997"/>
    <x v="3"/>
  </r>
  <r>
    <s v="TED-81959-419"/>
    <x v="677"/>
    <x v="0"/>
    <x v="3"/>
    <x v="888"/>
    <x v="888"/>
    <s v="nfurberqz@jugem.jp"/>
    <s v="+1 (817) 813-2784"/>
    <x v="57"/>
    <x v="0"/>
    <x v="1"/>
    <s v="A-L-2.5"/>
    <x v="2"/>
    <x v="1"/>
    <x v="1"/>
    <n v="2.5"/>
    <n v="29.784999999999997"/>
    <x v="74"/>
    <n v="2.6806499999999995"/>
    <n v="13.403249999999998"/>
    <x v="2"/>
  </r>
  <r>
    <s v="FDO-25756-141"/>
    <x v="629"/>
    <x v="1"/>
    <x v="3"/>
    <x v="889"/>
    <x v="889"/>
    <s v="UNKNOWN"/>
    <s v="+353 (706) 448-6304"/>
    <x v="324"/>
    <x v="1"/>
    <x v="0"/>
    <s v="A-L-2.5"/>
    <x v="2"/>
    <x v="1"/>
    <x v="3"/>
    <n v="2.5"/>
    <n v="29.784999999999997"/>
    <x v="49"/>
    <n v="2.6806499999999995"/>
    <n v="8.0419499999999982"/>
    <x v="8"/>
  </r>
  <r>
    <s v="HKN-31467-517"/>
    <x v="662"/>
    <x v="1"/>
    <x v="7"/>
    <x v="890"/>
    <x v="890"/>
    <s v="ckeaver1@ucoz.com"/>
    <s v="+1 (850) 410-9647"/>
    <x v="48"/>
    <x v="0"/>
    <x v="1"/>
    <s v="L-M-1"/>
    <x v="3"/>
    <x v="0"/>
    <x v="5"/>
    <n v="1"/>
    <n v="14.55"/>
    <x v="75"/>
    <n v="1.8915000000000002"/>
    <n v="11.349"/>
    <x v="10"/>
  </r>
  <r>
    <s v="POF-29666-012"/>
    <x v="102"/>
    <x v="0"/>
    <x v="8"/>
    <x v="891"/>
    <x v="891"/>
    <s v="sroseboroughr2@virginia.edu"/>
    <s v="+1 (253) 735-5179"/>
    <x v="174"/>
    <x v="0"/>
    <x v="0"/>
    <s v="R-D-0.5"/>
    <x v="0"/>
    <x v="2"/>
    <x v="2"/>
    <n v="0.5"/>
    <n v="5.3699999999999992"/>
    <x v="147"/>
    <n v="0.32219999999999993"/>
    <n v="0.32219999999999993"/>
    <x v="7"/>
  </r>
  <r>
    <s v="IRX-59256-644"/>
    <x v="678"/>
    <x v="1"/>
    <x v="9"/>
    <x v="892"/>
    <x v="892"/>
    <s v="ckingwellr3@squarespace.com"/>
    <s v="+353 (182) 469-0985"/>
    <x v="369"/>
    <x v="1"/>
    <x v="0"/>
    <s v="A-D-0.2"/>
    <x v="2"/>
    <x v="2"/>
    <x v="3"/>
    <n v="0.2"/>
    <n v="2.9849999999999999"/>
    <x v="169"/>
    <n v="0.26865"/>
    <n v="0.80594999999999994"/>
    <x v="2"/>
  </r>
  <r>
    <s v="LTN-89139-350"/>
    <x v="679"/>
    <x v="0"/>
    <x v="1"/>
    <x v="893"/>
    <x v="893"/>
    <s v="kcantor4@gmpg.org"/>
    <s v="+1 (260) 735-9621"/>
    <x v="51"/>
    <x v="0"/>
    <x v="0"/>
    <s v="R-L-2.5"/>
    <x v="0"/>
    <x v="1"/>
    <x v="1"/>
    <n v="2.5"/>
    <n v="27.484999999999996"/>
    <x v="187"/>
    <n v="1.6490999999999998"/>
    <n v="8.2454999999999998"/>
    <x v="0"/>
  </r>
  <r>
    <s v="TXF-79780-017"/>
    <x v="112"/>
    <x v="3"/>
    <x v="2"/>
    <x v="894"/>
    <x v="894"/>
    <s v="mblakemorer5@nsw.gov.au"/>
    <s v="+1 (806) 227-6812"/>
    <x v="279"/>
    <x v="0"/>
    <x v="1"/>
    <s v="R-L-1"/>
    <x v="0"/>
    <x v="1"/>
    <x v="1"/>
    <n v="1"/>
    <n v="11.95"/>
    <x v="143"/>
    <n v="0.71699999999999997"/>
    <n v="3.585"/>
    <x v="7"/>
  </r>
  <r>
    <s v="ALM-80762-974"/>
    <x v="55"/>
    <x v="3"/>
    <x v="6"/>
    <x v="890"/>
    <x v="890"/>
    <s v="ckeaver1@ucoz.com"/>
    <s v="+1 (850) 410-9647"/>
    <x v="48"/>
    <x v="0"/>
    <x v="1"/>
    <s v="A-L-0.5"/>
    <x v="2"/>
    <x v="1"/>
    <x v="3"/>
    <n v="0.5"/>
    <n v="7.77"/>
    <x v="102"/>
    <n v="0.69929999999999992"/>
    <n v="2.0978999999999997"/>
    <x v="2"/>
  </r>
  <r>
    <s v="NXF-15738-707"/>
    <x v="680"/>
    <x v="3"/>
    <x v="4"/>
    <x v="895"/>
    <x v="895"/>
    <s v="UNKNOWN"/>
    <s v="+1 (301) 396-9701"/>
    <x v="370"/>
    <x v="0"/>
    <x v="1"/>
    <s v="R-D-0.5"/>
    <x v="0"/>
    <x v="2"/>
    <x v="0"/>
    <n v="0.5"/>
    <n v="5.3699999999999992"/>
    <x v="175"/>
    <n v="0.32219999999999993"/>
    <n v="0.64439999999999986"/>
    <x v="7"/>
  </r>
  <r>
    <s v="MVV-19034-198"/>
    <x v="94"/>
    <x v="3"/>
    <x v="5"/>
    <x v="896"/>
    <x v="896"/>
    <s v="UNKNOWN"/>
    <s v="+1 (608) 138-8374"/>
    <x v="238"/>
    <x v="0"/>
    <x v="0"/>
    <s v="E-D-2.5"/>
    <x v="1"/>
    <x v="2"/>
    <x v="5"/>
    <n v="2.5"/>
    <n v="27.945"/>
    <x v="164"/>
    <n v="3.07395"/>
    <n v="18.4437"/>
    <x v="1"/>
  </r>
  <r>
    <s v="KUX-19632-830"/>
    <x v="160"/>
    <x v="1"/>
    <x v="2"/>
    <x v="897"/>
    <x v="897"/>
    <s v="cbernardotr9@wix.com"/>
    <s v="+1 (936) 783-5732"/>
    <x v="371"/>
    <x v="0"/>
    <x v="0"/>
    <s v="E-D-0.2"/>
    <x v="1"/>
    <x v="2"/>
    <x v="5"/>
    <n v="0.2"/>
    <n v="3.645"/>
    <x v="6"/>
    <n v="0.40095000000000003"/>
    <n v="2.4057000000000004"/>
    <x v="5"/>
  </r>
  <r>
    <s v="SNZ-44595-152"/>
    <x v="681"/>
    <x v="2"/>
    <x v="3"/>
    <x v="898"/>
    <x v="898"/>
    <s v="kkemeryra@t.co"/>
    <s v="+1 (817) 407-3513"/>
    <x v="177"/>
    <x v="0"/>
    <x v="0"/>
    <s v="R-L-1"/>
    <x v="0"/>
    <x v="1"/>
    <x v="0"/>
    <n v="1"/>
    <n v="11.95"/>
    <x v="178"/>
    <n v="0.71699999999999997"/>
    <n v="1.4339999999999999"/>
    <x v="7"/>
  </r>
  <r>
    <s v="GQA-37241-629"/>
    <x v="502"/>
    <x v="3"/>
    <x v="4"/>
    <x v="899"/>
    <x v="899"/>
    <s v="fparlotrb@forbes.com"/>
    <s v="+1 (614) 706-1246"/>
    <x v="61"/>
    <x v="0"/>
    <x v="0"/>
    <s v="A-M-0.2"/>
    <x v="2"/>
    <x v="0"/>
    <x v="0"/>
    <n v="0.2"/>
    <n v="3.375"/>
    <x v="52"/>
    <n v="0.30374999999999996"/>
    <n v="0.60749999999999993"/>
    <x v="8"/>
  </r>
  <r>
    <s v="WVV-79948-067"/>
    <x v="682"/>
    <x v="1"/>
    <x v="4"/>
    <x v="900"/>
    <x v="900"/>
    <s v="rcheakrc@tripadvisor.com"/>
    <s v="UNKNOWN"/>
    <x v="372"/>
    <x v="1"/>
    <x v="0"/>
    <s v="E-M-2.5"/>
    <x v="1"/>
    <x v="0"/>
    <x v="2"/>
    <n v="2.5"/>
    <n v="31.624999999999996"/>
    <x v="176"/>
    <n v="3.4787499999999998"/>
    <n v="3.4787499999999998"/>
    <x v="3"/>
  </r>
  <r>
    <s v="LHX-81117-166"/>
    <x v="683"/>
    <x v="1"/>
    <x v="9"/>
    <x v="901"/>
    <x v="901"/>
    <s v="kogeneayrd@utexas.edu"/>
    <s v="+1 (303) 637-0326"/>
    <x v="24"/>
    <x v="0"/>
    <x v="1"/>
    <s v="R-L-1"/>
    <x v="0"/>
    <x v="1"/>
    <x v="4"/>
    <n v="1"/>
    <n v="11.95"/>
    <x v="62"/>
    <n v="0.71699999999999997"/>
    <n v="2.8679999999999999"/>
    <x v="7"/>
  </r>
  <r>
    <s v="GCD-75444-320"/>
    <x v="594"/>
    <x v="3"/>
    <x v="5"/>
    <x v="902"/>
    <x v="902"/>
    <s v="cayrere@symantec.com"/>
    <s v="+1 (386) 573-2575"/>
    <x v="373"/>
    <x v="0"/>
    <x v="1"/>
    <s v="L-M-2.5"/>
    <x v="3"/>
    <x v="0"/>
    <x v="2"/>
    <n v="2.5"/>
    <n v="33.464999999999996"/>
    <x v="116"/>
    <n v="4.3504499999999995"/>
    <n v="4.3504499999999995"/>
    <x v="4"/>
  </r>
  <r>
    <s v="SGA-30059-217"/>
    <x v="389"/>
    <x v="1"/>
    <x v="10"/>
    <x v="903"/>
    <x v="903"/>
    <s v="lkynetonrf@macromedia.com"/>
    <s v="+44 (618) 634-9365"/>
    <x v="258"/>
    <x v="2"/>
    <x v="0"/>
    <s v="A-D-0.5"/>
    <x v="2"/>
    <x v="2"/>
    <x v="1"/>
    <n v="0.5"/>
    <n v="5.97"/>
    <x v="44"/>
    <n v="0.5373"/>
    <n v="2.6865000000000001"/>
    <x v="9"/>
  </r>
  <r>
    <s v="GNL-98714-885"/>
    <x v="583"/>
    <x v="3"/>
    <x v="6"/>
    <x v="904"/>
    <x v="904"/>
    <s v="UNKNOWN"/>
    <s v="+44 (123) 755-7484"/>
    <x v="374"/>
    <x v="2"/>
    <x v="0"/>
    <s v="R-M-1"/>
    <x v="0"/>
    <x v="0"/>
    <x v="3"/>
    <n v="1"/>
    <n v="9.9499999999999993"/>
    <x v="44"/>
    <n v="0.59699999999999998"/>
    <n v="1.7909999999999999"/>
    <x v="0"/>
  </r>
  <r>
    <s v="OQA-93249-841"/>
    <x v="647"/>
    <x v="0"/>
    <x v="8"/>
    <x v="905"/>
    <x v="905"/>
    <s v="UNKNOWN"/>
    <s v="+1 (636) 143-8338"/>
    <x v="10"/>
    <x v="0"/>
    <x v="0"/>
    <s v="A-M-2.5"/>
    <x v="2"/>
    <x v="0"/>
    <x v="5"/>
    <n v="2.5"/>
    <n v="25.874999999999996"/>
    <x v="71"/>
    <n v="2.3287499999999994"/>
    <n v="13.972499999999997"/>
    <x v="2"/>
  </r>
  <r>
    <s v="DUV-12075-132"/>
    <x v="366"/>
    <x v="2"/>
    <x v="1"/>
    <x v="906"/>
    <x v="906"/>
    <s v="UNKNOWN"/>
    <s v="+1 (479) 204-9111"/>
    <x v="321"/>
    <x v="0"/>
    <x v="1"/>
    <s v="E-D-0.2"/>
    <x v="1"/>
    <x v="2"/>
    <x v="1"/>
    <n v="0.2"/>
    <n v="3.645"/>
    <x v="94"/>
    <n v="0.40095000000000003"/>
    <n v="2.00475"/>
    <x v="1"/>
  </r>
  <r>
    <s v="DUV-12075-132"/>
    <x v="366"/>
    <x v="2"/>
    <x v="1"/>
    <x v="906"/>
    <x v="906"/>
    <s v="UNKNOWN"/>
    <s v="+1 (479) 204-9111"/>
    <x v="321"/>
    <x v="0"/>
    <x v="1"/>
    <s v="L-D-0.5"/>
    <x v="3"/>
    <x v="2"/>
    <x v="0"/>
    <n v="0.5"/>
    <n v="7.77"/>
    <x v="42"/>
    <n v="1.0101"/>
    <n v="2.0202"/>
    <x v="4"/>
  </r>
  <r>
    <s v="KPO-24942-184"/>
    <x v="684"/>
    <x v="1"/>
    <x v="6"/>
    <x v="907"/>
    <x v="907"/>
    <s v="UNKNOWN"/>
    <s v="+353 (252) 896-2096"/>
    <x v="248"/>
    <x v="1"/>
    <x v="1"/>
    <s v="L-L-2.5"/>
    <x v="3"/>
    <x v="1"/>
    <x v="3"/>
    <n v="2.5"/>
    <n v="36.454999999999998"/>
    <x v="63"/>
    <n v="4.7391499999999995"/>
    <n v="14.217449999999999"/>
    <x v="4"/>
  </r>
  <r>
    <s v="SRJ-79353-838"/>
    <x v="506"/>
    <x v="1"/>
    <x v="9"/>
    <x v="908"/>
    <x v="908"/>
    <s v="UNKNOWN"/>
    <s v="+1 (215) 872-6809"/>
    <x v="11"/>
    <x v="0"/>
    <x v="1"/>
    <s v="A-L-1"/>
    <x v="2"/>
    <x v="1"/>
    <x v="5"/>
    <n v="1"/>
    <n v="12.95"/>
    <x v="17"/>
    <n v="1.1655"/>
    <n v="6.9930000000000003"/>
    <x v="9"/>
  </r>
  <r>
    <s v="XBV-40336-071"/>
    <x v="685"/>
    <x v="1"/>
    <x v="10"/>
    <x v="909"/>
    <x v="909"/>
    <s v="UNKNOWN"/>
    <s v="+353 (693) 290-4775"/>
    <x v="243"/>
    <x v="1"/>
    <x v="1"/>
    <s v="A-D-0.2"/>
    <x v="2"/>
    <x v="2"/>
    <x v="3"/>
    <n v="0.2"/>
    <n v="2.9849999999999999"/>
    <x v="169"/>
    <n v="0.26865"/>
    <n v="0.80594999999999994"/>
    <x v="2"/>
  </r>
  <r>
    <s v="RLM-96511-467"/>
    <x v="191"/>
    <x v="3"/>
    <x v="4"/>
    <x v="910"/>
    <x v="910"/>
    <s v="jtewelsonrn@samsung.com"/>
    <s v="+1 (469) 573-8379"/>
    <x v="68"/>
    <x v="0"/>
    <x v="1"/>
    <s v="R-L-2.5"/>
    <x v="0"/>
    <x v="1"/>
    <x v="2"/>
    <n v="2.5"/>
    <n v="27.484999999999996"/>
    <x v="142"/>
    <n v="1.6490999999999998"/>
    <n v="1.6490999999999998"/>
    <x v="0"/>
  </r>
  <r>
    <s v="AEZ-13242-456"/>
    <x v="686"/>
    <x v="2"/>
    <x v="5"/>
    <x v="906"/>
    <x v="906"/>
    <s v="UNKNOWN"/>
    <s v="+1 (479) 204-9111"/>
    <x v="321"/>
    <x v="0"/>
    <x v="1"/>
    <s v="R-M-0.5"/>
    <x v="0"/>
    <x v="0"/>
    <x v="1"/>
    <n v="0.5"/>
    <n v="5.97"/>
    <x v="44"/>
    <n v="0.35819999999999996"/>
    <n v="1.7909999999999999"/>
    <x v="0"/>
  </r>
  <r>
    <s v="UME-75640-698"/>
    <x v="687"/>
    <x v="0"/>
    <x v="7"/>
    <x v="906"/>
    <x v="906"/>
    <s v="UNKNOWN"/>
    <s v="+1 (479) 204-9111"/>
    <x v="321"/>
    <x v="0"/>
    <x v="1"/>
    <s v="A-M-0.5"/>
    <x v="2"/>
    <x v="0"/>
    <x v="4"/>
    <n v="0.5"/>
    <n v="6.75"/>
    <x v="25"/>
    <n v="0.60749999999999993"/>
    <n v="2.4299999999999997"/>
    <x v="8"/>
  </r>
  <r>
    <s v="GJC-66474-557"/>
    <x v="629"/>
    <x v="1"/>
    <x v="3"/>
    <x v="911"/>
    <x v="911"/>
    <s v="njennyrq@bigcartel.com"/>
    <s v="+1 (562) 679-4750"/>
    <x v="127"/>
    <x v="0"/>
    <x v="1"/>
    <s v="A-D-1"/>
    <x v="2"/>
    <x v="2"/>
    <x v="2"/>
    <n v="1"/>
    <n v="9.9499999999999993"/>
    <x v="138"/>
    <n v="0.89549999999999985"/>
    <n v="0.89549999999999985"/>
    <x v="2"/>
  </r>
  <r>
    <s v="IRV-20769-219"/>
    <x v="688"/>
    <x v="3"/>
    <x v="7"/>
    <x v="912"/>
    <x v="912"/>
    <s v="UNKNOWN"/>
    <s v="+44 (810) 927-9266"/>
    <x v="282"/>
    <x v="2"/>
    <x v="0"/>
    <s v="E-M-0.2"/>
    <x v="1"/>
    <x v="0"/>
    <x v="3"/>
    <n v="0.2"/>
    <n v="4.125"/>
    <x v="24"/>
    <n v="0.45374999999999999"/>
    <n v="1.361250000000000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A2:O991V-37451-860"/>
    <d v="2019-09-05T00:00:00"/>
    <s v="2019"/>
    <s v="September"/>
    <s v="17670-51384-MA"/>
    <s v="Aloisia Allner"/>
    <s v="aallner0@lulu.com"/>
    <s v="+1 (862) 817-0124"/>
    <s v="Paterson"/>
    <s v="United States"/>
    <s v="Yes"/>
    <s v="R-M-1"/>
    <s v="Robusta"/>
    <s v="Medium"/>
    <n v="2"/>
    <n v="1"/>
    <n v="9.9499999999999993"/>
    <n v="19.899999999999999"/>
    <n v="0.59699999999999998"/>
    <n v="1.194"/>
    <n v="6.0000000000000009"/>
  </r>
  <r>
    <s v="QEV-37451-860"/>
    <d v="2019-09-05T00:00:00"/>
    <s v="2019"/>
    <s v="September"/>
    <s v="17670-51384-MA"/>
    <s v="Aloisia Allner"/>
    <s v="aallner0@lulu.com"/>
    <s v="+1 (862) 817-0124"/>
    <s v="Paterson"/>
    <s v="United States"/>
    <s v="Yes"/>
    <s v="E-M-0.5"/>
    <s v="Excelsa"/>
    <s v="Medium"/>
    <n v="5"/>
    <n v="0.5"/>
    <n v="8.25"/>
    <n v="41.25"/>
    <n v="0.90749999999999997"/>
    <n v="4.5374999999999996"/>
    <n v="10.999999999999998"/>
  </r>
  <r>
    <s v="FAA-43335-268"/>
    <d v="2021-06-17T00:00:00"/>
    <s v="2021"/>
    <s v="June"/>
    <s v="21125-22134-PX"/>
    <s v="Jami Redholes"/>
    <s v="jredholes2@tmall.com"/>
    <s v="+1 (210) 986-6806"/>
    <s v="San Antonio"/>
    <s v="United States"/>
    <s v="Yes"/>
    <s v="A-L-1"/>
    <s v="Arabica"/>
    <s v="Light"/>
    <n v="1"/>
    <n v="1"/>
    <n v="12.95"/>
    <n v="12.95"/>
    <n v="1.1655"/>
    <n v="1.1655"/>
    <n v="9"/>
  </r>
  <r>
    <s v="KAC-83089-793"/>
    <d v="2021-07-15T00:00:00"/>
    <s v="2021"/>
    <s v="July"/>
    <s v="23806-46781-OU"/>
    <s v="Christoffer O' Shea"/>
    <s v="UNKNOWN"/>
    <s v="+353 (698) 362-9201"/>
    <s v="Cill Airne"/>
    <s v="Ireland"/>
    <s v="No"/>
    <s v="E-M-1"/>
    <s v="Excelsa"/>
    <s v="Medium"/>
    <n v="2"/>
    <n v="1"/>
    <n v="13.75"/>
    <n v="27.5"/>
    <n v="1.5125"/>
    <n v="3.0249999999999999"/>
    <n v="11"/>
  </r>
  <r>
    <s v="KAC-83089-793"/>
    <d v="2021-07-15T00:00:00"/>
    <s v="2021"/>
    <s v="July"/>
    <s v="23806-46781-OU"/>
    <s v="Christoffer O' Shea"/>
    <s v="UNKNOWN"/>
    <s v="+353 (698) 362-9201"/>
    <s v="Cill Airne"/>
    <s v="Ireland"/>
    <s v="No"/>
    <s v="R-L-2.5"/>
    <s v="Robusta"/>
    <s v="Light"/>
    <n v="2"/>
    <n v="2.5"/>
    <n v="27.484999999999996"/>
    <n v="54.969999999999992"/>
    <n v="1.6490999999999998"/>
    <n v="3.2981999999999996"/>
    <n v="6.0000000000000009"/>
  </r>
  <r>
    <s v="CVP-18956-553"/>
    <d v="2021-08-04T00:00:00"/>
    <s v="2021"/>
    <s v="August"/>
    <s v="86561-91660-RB"/>
    <s v="Beryle Cottier"/>
    <s v="UNKNOWN"/>
    <s v="+1 (570) 289-7473"/>
    <s v="Scranton"/>
    <s v="United States"/>
    <s v="No"/>
    <s v="L-D-1"/>
    <s v="Liberica"/>
    <s v="Dark"/>
    <n v="3"/>
    <n v="1"/>
    <n v="12.95"/>
    <n v="38.849999999999994"/>
    <n v="1.6835"/>
    <n v="5.0504999999999995"/>
    <n v="13"/>
  </r>
  <r>
    <s v="IPP-31994-879"/>
    <d v="2022-01-21T00:00:00"/>
    <s v="2022"/>
    <s v="January"/>
    <s v="65223-29612-CB"/>
    <s v="Shaylynn Lobe"/>
    <s v="slobe6@nifty.com"/>
    <s v="+1 (937) 954-4541"/>
    <s v="Dayton"/>
    <s v="United States"/>
    <s v="Yes"/>
    <s v="E-D-0.5"/>
    <s v="Excelsa"/>
    <s v="Dark"/>
    <n v="3"/>
    <n v="0.5"/>
    <n v="7.29"/>
    <n v="21.87"/>
    <n v="0.80190000000000006"/>
    <n v="2.4057000000000004"/>
    <n v="11.000000000000002"/>
  </r>
  <r>
    <s v="SNZ-65340-705"/>
    <d v="2022-05-20T00:00:00"/>
    <s v="2022"/>
    <s v="May"/>
    <s v="21134-81676-FR"/>
    <s v="Melvin Wharfe"/>
    <s v="UNKNOWN"/>
    <s v="+353 (507) 574-3034"/>
    <s v="Kill"/>
    <s v="Ireland"/>
    <s v="Yes"/>
    <s v="L-L-0.2"/>
    <s v="Liberica"/>
    <s v="Light"/>
    <n v="1"/>
    <n v="0.2"/>
    <n v="4.7549999999999999"/>
    <n v="4.7549999999999999"/>
    <n v="0.61814999999999998"/>
    <n v="0.61814999999999998"/>
    <n v="13"/>
  </r>
  <r>
    <s v="EZT-46571-659"/>
    <d v="2019-01-02T00:00:00"/>
    <s v="2019"/>
    <s v="January"/>
    <s v="03396-68805-ZC"/>
    <s v="Guthrey Petracci"/>
    <s v="gpetracci8@livejournal.com"/>
    <s v="+1 (310) 868-1842"/>
    <s v="Los Angeles"/>
    <s v="United States"/>
    <s v="No"/>
    <s v="R-M-0.5"/>
    <s v="Robusta"/>
    <s v="Medium"/>
    <n v="3"/>
    <n v="0.5"/>
    <n v="5.97"/>
    <n v="17.91"/>
    <n v="0.35819999999999996"/>
    <n v="1.0745999999999998"/>
    <n v="5.9999999999999982"/>
  </r>
  <r>
    <s v="NWQ-70061-912"/>
    <d v="2019-09-05T00:00:00"/>
    <s v="2019"/>
    <s v="September"/>
    <s v="61021-27840-ZN"/>
    <s v="Rodger Raven"/>
    <s v="rraven9@ed.gov"/>
    <s v="+1 (213) 263-0288"/>
    <s v="Los Angeles"/>
    <s v="United States"/>
    <s v="No"/>
    <s v="R-M-0.5"/>
    <s v="Robusta"/>
    <s v="Medium"/>
    <n v="1"/>
    <n v="0.5"/>
    <n v="5.97"/>
    <n v="5.97"/>
    <n v="0.35819999999999996"/>
    <n v="0.35819999999999996"/>
    <n v="6"/>
  </r>
  <r>
    <s v="BKK-47233-845"/>
    <d v="2021-03-08T00:00:00"/>
    <s v="2021"/>
    <s v="March"/>
    <s v="76239-90137-UQ"/>
    <s v="Ferrell Ferber"/>
    <s v="fferbera@businesswire.com"/>
    <s v="+1 (408) 383-5302"/>
    <s v="San Jose"/>
    <s v="United States"/>
    <s v="No"/>
    <s v="A-D-1"/>
    <s v="Arabica"/>
    <s v="Dark"/>
    <n v="4"/>
    <n v="1"/>
    <n v="9.9499999999999993"/>
    <n v="39.799999999999997"/>
    <n v="0.89549999999999985"/>
    <n v="3.5819999999999994"/>
    <n v="9"/>
  </r>
  <r>
    <s v="VQR-01002-970"/>
    <d v="2020-10-28T00:00:00"/>
    <s v="2020"/>
    <s v="October"/>
    <s v="49315-21985-BB"/>
    <s v="Duky Phizackerly"/>
    <s v="dphizackerlyb@utexas.edu"/>
    <s v="+1 (408) 533-6012"/>
    <s v="San Jose"/>
    <s v="United States"/>
    <s v="Yes"/>
    <s v="E-L-2.5"/>
    <s v="Excelsa"/>
    <s v="Light"/>
    <n v="5"/>
    <n v="2.5"/>
    <n v="34.154999999999994"/>
    <n v="170.77499999999998"/>
    <n v="3.7570499999999996"/>
    <n v="18.785249999999998"/>
    <n v="11"/>
  </r>
  <r>
    <s v="SZW-48378-399"/>
    <d v="2022-07-02T00:00:00"/>
    <s v="2022"/>
    <s v="July"/>
    <s v="34136-36674-OM"/>
    <s v="Rosaleen Scholar"/>
    <s v="rscholarc@nyu.edu"/>
    <s v="+1 (804) 420-0420"/>
    <s v="Richmond"/>
    <s v="United States"/>
    <s v="No"/>
    <s v="R-M-1"/>
    <s v="Robusta"/>
    <s v="Medium"/>
    <n v="5"/>
    <n v="1"/>
    <n v="9.9499999999999993"/>
    <n v="49.75"/>
    <n v="0.59699999999999998"/>
    <n v="2.9849999999999999"/>
    <n v="6"/>
  </r>
  <r>
    <s v="ITA-87418-783"/>
    <d v="2020-05-22T00:00:00"/>
    <s v="2020"/>
    <s v="May"/>
    <s v="39396-12890-PE"/>
    <s v="Terence Vanyutin"/>
    <s v="tvanyutind@wix.com"/>
    <s v="UNKNOWN"/>
    <s v="Migrate"/>
    <s v="United States"/>
    <s v="No"/>
    <s v="R-D-2.5"/>
    <s v="Robusta"/>
    <s v="Dark"/>
    <n v="2"/>
    <n v="2.5"/>
    <n v="20.584999999999997"/>
    <n v="41.169999999999995"/>
    <n v="1.2350999999999999"/>
    <n v="2.4701999999999997"/>
    <n v="6.0000000000000009"/>
  </r>
  <r>
    <s v="GNZ-46006-527"/>
    <d v="2022-04-05T00:00:00"/>
    <s v="2022"/>
    <s v="April"/>
    <s v="95875-73336-RG"/>
    <s v="Patrice Trobe"/>
    <s v="ptrobee@wunderground.com"/>
    <s v="+1 (314) 240-7896"/>
    <s v="Saint Louis"/>
    <s v="United States"/>
    <s v="Yes"/>
    <s v="L-D-0.2"/>
    <s v="Liberica"/>
    <s v="Dark"/>
    <n v="3"/>
    <n v="0.2"/>
    <n v="3.8849999999999998"/>
    <n v="11.654999999999999"/>
    <n v="0.50505"/>
    <n v="1.51515"/>
    <n v="13"/>
  </r>
  <r>
    <s v="FYQ-78248-319"/>
    <d v="2022-06-07T00:00:00"/>
    <s v="2022"/>
    <s v="June"/>
    <s v="25473-43727-BY"/>
    <s v="Llywellyn Oscroft"/>
    <s v="loscroftf@ebay.co.uk"/>
    <s v="UNKNOWN"/>
    <s v="Philadelphia"/>
    <s v="United States"/>
    <s v="No"/>
    <s v="R-M-2.5"/>
    <s v="Robusta"/>
    <s v="Medium"/>
    <n v="5"/>
    <n v="2.5"/>
    <n v="22.884999999999998"/>
    <n v="114.42499999999998"/>
    <n v="1.3730999999999998"/>
    <n v="6.865499999999999"/>
    <n v="6"/>
  </r>
  <r>
    <s v="VAU-44387-624"/>
    <d v="2019-03-20T00:00:00"/>
    <s v="2019"/>
    <s v="March"/>
    <s v="99643-51048-IQ"/>
    <s v="Minni Alabaster"/>
    <s v="malabasterg@hexun.com"/>
    <s v="+1 (971) 483-6255"/>
    <s v="Portland"/>
    <s v="United States"/>
    <s v="No"/>
    <s v="A-M-0.2"/>
    <s v="Arabica"/>
    <s v="Medium"/>
    <n v="6"/>
    <n v="0.2"/>
    <n v="3.375"/>
    <n v="20.25"/>
    <n v="0.30374999999999996"/>
    <n v="1.8224999999999998"/>
    <n v="8.9999999999999982"/>
  </r>
  <r>
    <s v="RDW-33155-159"/>
    <d v="2019-10-19T00:00:00"/>
    <s v="2019"/>
    <s v="October"/>
    <s v="62173-15287-CU"/>
    <s v="Rhianon Broxup"/>
    <s v="rbroxuph@jimdo.com"/>
    <s v="+1 (713) 663-1338"/>
    <s v="Houston"/>
    <s v="United States"/>
    <s v="No"/>
    <s v="A-L-1"/>
    <s v="Arabica"/>
    <s v="Light"/>
    <n v="6"/>
    <n v="1"/>
    <n v="12.95"/>
    <n v="77.699999999999989"/>
    <n v="1.1655"/>
    <n v="6.9930000000000003"/>
    <n v="9.0000000000000018"/>
  </r>
  <r>
    <s v="TDZ-59011-211"/>
    <d v="2019-06-13T00:00:00"/>
    <s v="2019"/>
    <s v="June"/>
    <s v="57611-05522-ST"/>
    <s v="Pall Redford"/>
    <s v="predfordi@ow.ly"/>
    <s v="UNKNOWN"/>
    <s v="Caherconlish"/>
    <s v="Ireland"/>
    <s v="Yes"/>
    <s v="R-D-2.5"/>
    <s v="Robusta"/>
    <s v="Dark"/>
    <n v="4"/>
    <n v="2.5"/>
    <n v="20.584999999999997"/>
    <n v="82.339999999999989"/>
    <n v="1.2350999999999999"/>
    <n v="4.9403999999999995"/>
    <n v="6.0000000000000009"/>
  </r>
  <r>
    <s v="IDU-25793-399"/>
    <d v="2020-12-04T00:00:00"/>
    <s v="2020"/>
    <s v="December"/>
    <s v="76664-37050-DT"/>
    <s v="Aurea Corradino"/>
    <s v="acorradinoj@harvard.edu"/>
    <s v="+1 (646) 202-5965"/>
    <s v="New York City"/>
    <s v="United States"/>
    <s v="Yes"/>
    <s v="A-M-0.2"/>
    <s v="Arabica"/>
    <s v="Medium"/>
    <n v="5"/>
    <n v="0.2"/>
    <n v="3.375"/>
    <n v="16.875"/>
    <n v="0.30374999999999996"/>
    <n v="1.5187499999999998"/>
    <n v="8.9999999999999982"/>
  </r>
  <r>
    <s v="IDU-25793-399"/>
    <d v="2020-12-04T00:00:00"/>
    <s v="2020"/>
    <s v="December"/>
    <s v="76664-37050-DT"/>
    <s v="Aurea Corradino"/>
    <s v="acorradinoj@harvard.edu"/>
    <s v="+1 (646) 202-5965"/>
    <s v="New York City"/>
    <s v="United States"/>
    <s v="Yes"/>
    <s v="E-D-0.2"/>
    <s v="Excelsa"/>
    <s v="Dark"/>
    <n v="4"/>
    <n v="0.2"/>
    <n v="3.645"/>
    <n v="14.58"/>
    <n v="0.40095000000000003"/>
    <n v="1.6038000000000001"/>
    <n v="11"/>
  </r>
  <r>
    <s v="NUO-20013-488"/>
    <d v="2020-12-04T00:00:00"/>
    <s v="2020"/>
    <s v="December"/>
    <s v="03090-88267-BQ"/>
    <s v="Avrit Davidowsky"/>
    <s v="adavidowskyl@netvibes.com"/>
    <s v="+1 (616) 481-9962"/>
    <s v="Grand Rapids"/>
    <s v="United States"/>
    <s v="No"/>
    <s v="A-D-0.2"/>
    <s v="Arabica"/>
    <s v="Dark"/>
    <n v="6"/>
    <n v="0.2"/>
    <n v="2.9849999999999999"/>
    <n v="17.91"/>
    <n v="0.26865"/>
    <n v="1.6118999999999999"/>
    <n v="9"/>
  </r>
  <r>
    <s v="UQU-65630-479"/>
    <d v="2021-01-22T00:00:00"/>
    <s v="2021"/>
    <s v="January"/>
    <s v="37651-47492-NC"/>
    <s v="Annabel Antuk"/>
    <s v="aantukm@kickstarter.com"/>
    <s v="+1 (941) 740-6268"/>
    <s v="Punta Gorda"/>
    <s v="United States"/>
    <s v="Yes"/>
    <s v="R-M-2.5"/>
    <s v="Robusta"/>
    <s v="Medium"/>
    <n v="4"/>
    <n v="2.5"/>
    <n v="22.884999999999998"/>
    <n v="91.539999999999992"/>
    <n v="1.3730999999999998"/>
    <n v="5.4923999999999991"/>
    <n v="6"/>
  </r>
  <r>
    <s v="FEO-11834-332"/>
    <d v="2022-02-11T00:00:00"/>
    <s v="2022"/>
    <s v="February"/>
    <s v="95399-57205-HI"/>
    <s v="Iorgo Kleinert"/>
    <s v="ikleinertn@timesonline.co.uk"/>
    <s v="+1 (360) 352-6598"/>
    <s v="Vancouver"/>
    <s v="United States"/>
    <s v="Yes"/>
    <s v="A-D-0.2"/>
    <s v="Arabica"/>
    <s v="Dark"/>
    <n v="4"/>
    <n v="0.2"/>
    <n v="2.9849999999999999"/>
    <n v="11.94"/>
    <n v="0.26865"/>
    <n v="1.0746"/>
    <n v="9.0000000000000018"/>
  </r>
  <r>
    <s v="TKY-71558-096"/>
    <d v="2021-09-15T00:00:00"/>
    <s v="2021"/>
    <s v="September"/>
    <s v="24010-66714-HW"/>
    <s v="Chrisy Blofeld"/>
    <s v="cblofeldo@amazon.co.uk"/>
    <s v="+1 (303) 936-3357"/>
    <s v="Englewood"/>
    <s v="United States"/>
    <s v="No"/>
    <s v="A-M-1"/>
    <s v="Arabica"/>
    <s v="Medium"/>
    <n v="1"/>
    <n v="1"/>
    <n v="11.25"/>
    <n v="11.25"/>
    <n v="1.0125"/>
    <n v="1.0125"/>
    <n v="9"/>
  </r>
  <r>
    <s v="OXY-65322-253"/>
    <d v="2020-10-24T00:00:00"/>
    <s v="2020"/>
    <s v="October"/>
    <s v="07591-92789-UA"/>
    <s v="Culley Farris"/>
    <s v="UNKNOWN"/>
    <s v="+1 (941) 267-4822"/>
    <s v="Punta Gorda"/>
    <s v="United States"/>
    <s v="Yes"/>
    <s v="E-M-0.2"/>
    <s v="Excelsa"/>
    <s v="Medium"/>
    <n v="3"/>
    <n v="0.2"/>
    <n v="4.125"/>
    <n v="12.375"/>
    <n v="0.45374999999999999"/>
    <n v="1.3612500000000001"/>
    <n v="11"/>
  </r>
  <r>
    <s v="EVP-43500-491"/>
    <d v="2019-02-20T00:00:00"/>
    <s v="2019"/>
    <s v="February"/>
    <s v="49231-44455-IC"/>
    <s v="Selene Shales"/>
    <s v="sshalesq@umich.edu"/>
    <s v="+1 (707) 881-5004"/>
    <s v="Petaluma"/>
    <s v="United States"/>
    <s v="Yes"/>
    <s v="A-M-0.5"/>
    <s v="Arabica"/>
    <s v="Medium"/>
    <n v="4"/>
    <n v="0.5"/>
    <n v="6.75"/>
    <n v="27"/>
    <n v="0.60749999999999993"/>
    <n v="2.4299999999999997"/>
    <n v="8.9999999999999982"/>
  </r>
  <r>
    <s v="WAG-26945-689"/>
    <d v="2019-10-08T00:00:00"/>
    <s v="2019"/>
    <s v="October"/>
    <s v="50124-88608-EO"/>
    <s v="Vivie Danneil"/>
    <s v="vdanneilr@mtv.com"/>
    <s v="+353 (751) 346-0399"/>
    <s v="Tralee"/>
    <s v="Ireland"/>
    <s v="No"/>
    <s v="A-M-0.2"/>
    <s v="Arabica"/>
    <s v="Medium"/>
    <n v="5"/>
    <n v="0.2"/>
    <n v="3.375"/>
    <n v="16.875"/>
    <n v="0.30374999999999996"/>
    <n v="1.5187499999999998"/>
    <n v="8.9999999999999982"/>
  </r>
  <r>
    <s v="CHE-78995-767"/>
    <d v="2022-08-02T00:00:00"/>
    <s v="2022"/>
    <s v="August"/>
    <s v="00888-74814-UZ"/>
    <s v="Theresita Newbury"/>
    <s v="tnewburys@usda.gov"/>
    <s v="+353 (803) 587-0026"/>
    <s v="Clonskeagh"/>
    <s v="Ireland"/>
    <s v="No"/>
    <s v="A-D-0.5"/>
    <s v="Arabica"/>
    <s v="Dark"/>
    <n v="3"/>
    <n v="0.5"/>
    <n v="5.97"/>
    <n v="17.91"/>
    <n v="0.5373"/>
    <n v="1.6118999999999999"/>
    <n v="9"/>
  </r>
  <r>
    <s v="RYZ-14633-602"/>
    <d v="2019-02-20T00:00:00"/>
    <s v="2019"/>
    <s v="February"/>
    <s v="14158-30713-OB"/>
    <s v="Mozelle Calcutt"/>
    <s v="mcalcuttt@baidu.com"/>
    <s v="+353 (928) 869-1762"/>
    <s v="Rathwire"/>
    <s v="Ireland"/>
    <s v="Yes"/>
    <s v="A-D-1"/>
    <s v="Arabica"/>
    <s v="Dark"/>
    <n v="4"/>
    <n v="1"/>
    <n v="9.9499999999999993"/>
    <n v="39.799999999999997"/>
    <n v="0.89549999999999985"/>
    <n v="3.5819999999999994"/>
    <n v="9"/>
  </r>
  <r>
    <s v="WOQ-36015-429"/>
    <d v="2021-09-25T00:00:00"/>
    <s v="2021"/>
    <s v="September"/>
    <s v="51427-89175-QJ"/>
    <s v="Adrian Swaine"/>
    <s v="UNKNOWN"/>
    <s v="+1 (303) 486-9517"/>
    <s v="Aurora"/>
    <s v="United States"/>
    <s v="No"/>
    <s v="L-M-0.2"/>
    <s v="Liberica"/>
    <s v="Medium"/>
    <n v="5"/>
    <n v="0.2"/>
    <n v="4.3650000000000002"/>
    <n v="21.825000000000003"/>
    <n v="0.56745000000000001"/>
    <n v="2.83725"/>
    <n v="12.999999999999998"/>
  </r>
  <r>
    <s v="WOQ-36015-429"/>
    <d v="2021-09-25T00:00:00"/>
    <s v="2021"/>
    <s v="September"/>
    <s v="51427-89175-QJ"/>
    <s v="Adrian Swaine"/>
    <s v="UNKNOWN"/>
    <s v="+1 (303) 486-9517"/>
    <s v="Aurora"/>
    <s v="United States"/>
    <s v="No"/>
    <s v="A-D-0.5"/>
    <s v="Arabica"/>
    <s v="Dark"/>
    <n v="6"/>
    <n v="0.5"/>
    <n v="5.97"/>
    <n v="35.82"/>
    <n v="0.5373"/>
    <n v="3.2237999999999998"/>
    <n v="9"/>
  </r>
  <r>
    <s v="WOQ-36015-429"/>
    <d v="2021-09-25T00:00:00"/>
    <s v="2021"/>
    <s v="September"/>
    <s v="51427-89175-QJ"/>
    <s v="Adrian Swaine"/>
    <s v="UNKNOWN"/>
    <s v="+1 (303) 486-9517"/>
    <s v="Aurora"/>
    <s v="United States"/>
    <s v="No"/>
    <s v="L-M-0.5"/>
    <s v="Liberica"/>
    <s v="Medium"/>
    <n v="6"/>
    <n v="0.5"/>
    <n v="8.73"/>
    <n v="52.38"/>
    <n v="1.1349"/>
    <n v="6.8094000000000001"/>
    <n v="13"/>
  </r>
  <r>
    <s v="SCT-60553-454"/>
    <d v="2021-07-17T00:00:00"/>
    <s v="2021"/>
    <s v="July"/>
    <s v="39123-12846-YJ"/>
    <s v="Gallard Gatheral"/>
    <s v="ggatheralx@123-reg.co.uk"/>
    <s v="UNKNOWN"/>
    <s v="Grand Forks"/>
    <s v="United States"/>
    <s v="No"/>
    <s v="L-L-0.2"/>
    <s v="Liberica"/>
    <s v="Light"/>
    <n v="5"/>
    <n v="0.2"/>
    <n v="4.7549999999999999"/>
    <n v="23.774999999999999"/>
    <n v="0.61814999999999998"/>
    <n v="3.0907499999999999"/>
    <n v="13"/>
  </r>
  <r>
    <s v="GFK-52063-244"/>
    <d v="2020-06-29T00:00:00"/>
    <s v="2020"/>
    <s v="June"/>
    <s v="44981-99666-XB"/>
    <s v="Una Welberry"/>
    <s v="uwelberryy@ebay.co.uk"/>
    <s v="+44 (392) 503-8132"/>
    <s v="Upton"/>
    <s v="United Kingdom"/>
    <s v="Yes"/>
    <s v="L-L-0.5"/>
    <s v="Liberica"/>
    <s v="Light"/>
    <n v="6"/>
    <n v="0.5"/>
    <n v="9.51"/>
    <n v="57.06"/>
    <n v="1.2363"/>
    <n v="7.4177999999999997"/>
    <n v="12.999999999999998"/>
  </r>
  <r>
    <s v="AMM-79521-378"/>
    <d v="2021-06-01T00:00:00"/>
    <s v="2021"/>
    <s v="June"/>
    <s v="24825-51803-CQ"/>
    <s v="Faber Eilhart"/>
    <s v="feilhartz@who.int"/>
    <s v="+1 (304) 510-6095"/>
    <s v="Charleston"/>
    <s v="United States"/>
    <s v="No"/>
    <s v="A-D-0.5"/>
    <s v="Arabica"/>
    <s v="Dark"/>
    <n v="6"/>
    <n v="0.5"/>
    <n v="5.97"/>
    <n v="35.82"/>
    <n v="0.5373"/>
    <n v="3.2237999999999998"/>
    <n v="9"/>
  </r>
  <r>
    <s v="QUQ-90580-772"/>
    <d v="2021-02-06T00:00:00"/>
    <s v="2021"/>
    <s v="February"/>
    <s v="77634-13918-GJ"/>
    <s v="Zorina Ponting"/>
    <s v="zponting10@altervista.org"/>
    <s v="+1 (501) 172-1476"/>
    <s v="Little Rock"/>
    <s v="United States"/>
    <s v="No"/>
    <s v="L-M-0.2"/>
    <s v="Liberica"/>
    <s v="Medium"/>
    <n v="2"/>
    <n v="0.2"/>
    <n v="4.3650000000000002"/>
    <n v="8.73"/>
    <n v="0.56745000000000001"/>
    <n v="1.1349"/>
    <n v="13"/>
  </r>
  <r>
    <s v="LGD-24408-274"/>
    <d v="2019-04-25T00:00:00"/>
    <s v="2019"/>
    <s v="April"/>
    <s v="13694-25001-LX"/>
    <s v="Silvio Strase"/>
    <s v="sstrase11@booking.com"/>
    <s v="+1 (303) 579-8015"/>
    <s v="Denver"/>
    <s v="United States"/>
    <s v="No"/>
    <s v="L-L-0.5"/>
    <s v="Liberica"/>
    <s v="Light"/>
    <n v="3"/>
    <n v="0.5"/>
    <n v="9.51"/>
    <n v="28.53"/>
    <n v="1.2363"/>
    <n v="3.7088999999999999"/>
    <n v="12.999999999999998"/>
  </r>
  <r>
    <s v="HCT-95608-959"/>
    <d v="2020-04-25T00:00:00"/>
    <s v="2020"/>
    <s v="April"/>
    <s v="08523-01791-TI"/>
    <s v="Dorie de la Tremoille"/>
    <s v="dde12@unesco.org"/>
    <s v="+1 (612) 492-5160"/>
    <s v="Minneapolis"/>
    <s v="United States"/>
    <s v="No"/>
    <s v="R-M-2.5"/>
    <s v="Robusta"/>
    <s v="Medium"/>
    <n v="5"/>
    <n v="2.5"/>
    <n v="22.884999999999998"/>
    <n v="114.42499999999998"/>
    <n v="1.3730999999999998"/>
    <n v="6.865499999999999"/>
    <n v="6"/>
  </r>
  <r>
    <s v="OFX-99147-470"/>
    <d v="2021-11-24T00:00:00"/>
    <s v="2021"/>
    <s v="November"/>
    <s v="49860-68865-AB"/>
    <s v="Hy Zanetto"/>
    <s v="UNKNOWN"/>
    <s v="UNKNOWN"/>
    <s v="Tucson"/>
    <s v="United States"/>
    <s v="Yes"/>
    <s v="R-M-1"/>
    <s v="Robusta"/>
    <s v="Medium"/>
    <n v="6"/>
    <n v="1"/>
    <n v="9.9499999999999993"/>
    <n v="59.699999999999996"/>
    <n v="0.59699999999999998"/>
    <n v="3.5819999999999999"/>
    <n v="6.0000000000000009"/>
  </r>
  <r>
    <s v="LUO-37559-016"/>
    <d v="2021-04-19T00:00:00"/>
    <s v="2021"/>
    <s v="April"/>
    <s v="21240-83132-SP"/>
    <s v="Jessica McNess"/>
    <s v="UNKNOWN"/>
    <s v="+1 (504) 545-1478"/>
    <s v="New Orleans"/>
    <s v="United States"/>
    <s v="No"/>
    <s v="L-M-1"/>
    <s v="Liberica"/>
    <s v="Medium"/>
    <n v="3"/>
    <n v="1"/>
    <n v="14.55"/>
    <n v="43.650000000000006"/>
    <n v="1.8915000000000002"/>
    <n v="5.6745000000000001"/>
    <n v="12.999999999999998"/>
  </r>
  <r>
    <s v="XWC-20610-167"/>
    <d v="2022-07-07T00:00:00"/>
    <s v="2022"/>
    <s v="July"/>
    <s v="08350-81623-TF"/>
    <s v="Lorenzo Yeoland"/>
    <s v="lyeoland15@pbs.org"/>
    <s v="+1 (860) 576-2887"/>
    <s v="Hartford"/>
    <s v="United States"/>
    <s v="Yes"/>
    <s v="E-D-0.2"/>
    <s v="Excelsa"/>
    <s v="Dark"/>
    <n v="2"/>
    <n v="0.2"/>
    <n v="3.645"/>
    <n v="7.29"/>
    <n v="0.40095000000000003"/>
    <n v="0.80190000000000006"/>
    <n v="11"/>
  </r>
  <r>
    <s v="GPU-79113-136"/>
    <d v="2019-05-22T00:00:00"/>
    <s v="2019"/>
    <s v="May"/>
    <s v="73284-01385-SJ"/>
    <s v="Abigail Tolworthy"/>
    <s v="atolworthy16@toplist.cz"/>
    <s v="+1 (801) 722-4425"/>
    <s v="Ogden"/>
    <s v="United States"/>
    <s v="Yes"/>
    <s v="R-D-0.2"/>
    <s v="Robusta"/>
    <s v="Dark"/>
    <n v="3"/>
    <n v="0.2"/>
    <n v="2.6849999999999996"/>
    <n v="8.0549999999999997"/>
    <n v="0.16109999999999997"/>
    <n v="0.4832999999999999"/>
    <n v="5.9999999999999991"/>
  </r>
  <r>
    <s v="ULR-52653-960"/>
    <d v="2021-10-04T00:00:00"/>
    <s v="2021"/>
    <s v="October"/>
    <s v="04152-34436-IE"/>
    <s v="Maurie Bartol"/>
    <s v="UNKNOWN"/>
    <s v="+1 (617) 493-7594"/>
    <s v="Boston"/>
    <s v="United States"/>
    <s v="No"/>
    <s v="L-L-2.5"/>
    <s v="Liberica"/>
    <s v="Light"/>
    <n v="2"/>
    <n v="2.5"/>
    <n v="36.454999999999998"/>
    <n v="72.91"/>
    <n v="4.7391499999999995"/>
    <n v="9.4782999999999991"/>
    <n v="13"/>
  </r>
  <r>
    <s v="HPI-42308-142"/>
    <d v="2020-04-11T00:00:00"/>
    <s v="2020"/>
    <s v="April"/>
    <s v="06631-86965-XP"/>
    <s v="Olag Baudassi"/>
    <s v="obaudassi18@seesaa.net"/>
    <s v="+1 (585) 356-6251"/>
    <s v="Rochester"/>
    <s v="United States"/>
    <s v="Yes"/>
    <s v="E-M-0.5"/>
    <s v="Excelsa"/>
    <s v="Medium"/>
    <n v="2"/>
    <n v="0.5"/>
    <n v="8.25"/>
    <n v="16.5"/>
    <n v="0.90749999999999997"/>
    <n v="1.8149999999999999"/>
    <n v="11"/>
  </r>
  <r>
    <s v="XHI-30227-581"/>
    <d v="2022-01-31T00:00:00"/>
    <s v="2022"/>
    <s v="January"/>
    <s v="54619-08558-ZU"/>
    <s v="Petey Kingsbury"/>
    <s v="pkingsbury19@comcast.net"/>
    <s v="+1 (917) 705-8224"/>
    <s v="Bronx"/>
    <s v="United States"/>
    <s v="No"/>
    <s v="L-D-2.5"/>
    <s v="Liberica"/>
    <s v="Dark"/>
    <n v="6"/>
    <n v="2.5"/>
    <n v="29.784999999999997"/>
    <n v="178.70999999999998"/>
    <n v="3.8720499999999998"/>
    <n v="23.232299999999999"/>
    <n v="13"/>
  </r>
  <r>
    <s v="DJH-05202-380"/>
    <d v="2019-11-07T00:00:00"/>
    <s v="2019"/>
    <s v="November"/>
    <s v="85589-17020-CX"/>
    <s v="Donna Baskeyfied"/>
    <s v="UNKNOWN"/>
    <s v="+1 (205) 923-1460"/>
    <s v="Birmingham"/>
    <s v="United States"/>
    <s v="Yes"/>
    <s v="E-M-2.5"/>
    <s v="Excelsa"/>
    <s v="Medium"/>
    <n v="2"/>
    <n v="2.5"/>
    <n v="31.624999999999996"/>
    <n v="63.249999999999993"/>
    <n v="3.4787499999999998"/>
    <n v="6.9574999999999996"/>
    <n v="11"/>
  </r>
  <r>
    <s v="VMW-26889-781"/>
    <d v="2019-06-28T00:00:00"/>
    <s v="2019"/>
    <s v="June"/>
    <s v="36078-91009-WU"/>
    <s v="Arda Curley"/>
    <s v="acurley1b@hao123.com"/>
    <s v="+1 (760) 840-3808"/>
    <s v="San Bernardino"/>
    <s v="United States"/>
    <s v="Yes"/>
    <s v="A-L-0.2"/>
    <s v="Arabica"/>
    <s v="Light"/>
    <n v="2"/>
    <n v="0.2"/>
    <n v="3.8849999999999998"/>
    <n v="7.77"/>
    <n v="0.34964999999999996"/>
    <n v="0.69929999999999992"/>
    <n v="9"/>
  </r>
  <r>
    <s v="DBU-81099-586"/>
    <d v="2020-09-11T00:00:00"/>
    <s v="2020"/>
    <s v="September"/>
    <s v="15770-27099-GX"/>
    <s v="Raynor McGilvary"/>
    <s v="rmcgilvary1c@tamu.edu"/>
    <s v="UNKNOWN"/>
    <s v="Norfolk"/>
    <s v="United States"/>
    <s v="No"/>
    <s v="A-D-2.5"/>
    <s v="Arabica"/>
    <s v="Dark"/>
    <n v="4"/>
    <n v="2.5"/>
    <n v="22.884999999999998"/>
    <n v="91.539999999999992"/>
    <n v="2.0596499999999995"/>
    <n v="8.2385999999999981"/>
    <n v="8.9999999999999982"/>
  </r>
  <r>
    <s v="PQA-54820-810"/>
    <d v="2022-08-17T00:00:00"/>
    <s v="2022"/>
    <s v="August"/>
    <s v="91460-04823-BX"/>
    <s v="Isis Pikett"/>
    <s v="ipikett1d@xinhuanet.com"/>
    <s v="+1 (202) 871-9039"/>
    <s v="Washington"/>
    <s v="United States"/>
    <s v="No"/>
    <s v="A-L-1"/>
    <s v="Arabica"/>
    <s v="Light"/>
    <n v="3"/>
    <n v="1"/>
    <n v="12.95"/>
    <n v="38.849999999999994"/>
    <n v="1.1655"/>
    <n v="3.4965000000000002"/>
    <n v="9.0000000000000018"/>
  </r>
  <r>
    <s v="XKB-41924-202"/>
    <d v="2022-08-19T00:00:00"/>
    <s v="2022"/>
    <s v="August"/>
    <s v="45089-52817-WN"/>
    <s v="Inger Bouldon"/>
    <s v="ibouldon1e@gizmodo.com"/>
    <s v="+1 (754) 391-4736"/>
    <s v="Fort Lauderdale"/>
    <s v="United States"/>
    <s v="No"/>
    <s v="L-D-0.5"/>
    <s v="Liberica"/>
    <s v="Dark"/>
    <n v="2"/>
    <n v="0.5"/>
    <n v="7.77"/>
    <n v="15.54"/>
    <n v="1.0101"/>
    <n v="2.0202"/>
    <n v="13"/>
  </r>
  <r>
    <s v="DWZ-69106-473"/>
    <d v="2019-05-15T00:00:00"/>
    <s v="2019"/>
    <s v="May"/>
    <s v="76447-50326-IC"/>
    <s v="Karry Flanders"/>
    <s v="kflanders1f@over-blog.com"/>
    <s v="+353 (467) 720-7274"/>
    <s v="Crumlin"/>
    <s v="Ireland"/>
    <s v="Yes"/>
    <s v="L-L-2.5"/>
    <s v="Liberica"/>
    <s v="Light"/>
    <n v="4"/>
    <n v="2.5"/>
    <n v="36.454999999999998"/>
    <n v="145.82"/>
    <n v="4.7391499999999995"/>
    <n v="18.956599999999998"/>
    <n v="13"/>
  </r>
  <r>
    <s v="YHV-68700-050"/>
    <d v="2019-09-11T00:00:00"/>
    <s v="2019"/>
    <s v="September"/>
    <s v="26333-67911-OL"/>
    <s v="Hartley Mattioli"/>
    <s v="hmattioli1g@webmd.com"/>
    <s v="UNKNOWN"/>
    <s v="Kinloch"/>
    <s v="United Kingdom"/>
    <s v="No"/>
    <s v="R-M-0.5"/>
    <s v="Robusta"/>
    <s v="Medium"/>
    <n v="5"/>
    <n v="0.5"/>
    <n v="5.97"/>
    <n v="29.849999999999998"/>
    <n v="0.35819999999999996"/>
    <n v="1.7909999999999999"/>
    <n v="6.0000000000000009"/>
  </r>
  <r>
    <s v="YHV-68700-050"/>
    <d v="2019-09-11T00:00:00"/>
    <s v="2019"/>
    <s v="September"/>
    <s v="26333-67911-OL"/>
    <s v="Hartley Mattioli"/>
    <s v="hmattioli1g@webmd.com"/>
    <s v="UNKNOWN"/>
    <s v="Kinloch"/>
    <s v="United Kingdom"/>
    <s v="No"/>
    <s v="L-L-2.5"/>
    <s v="Liberica"/>
    <s v="Light"/>
    <n v="2"/>
    <n v="2.5"/>
    <n v="36.454999999999998"/>
    <n v="72.91"/>
    <n v="4.7391499999999995"/>
    <n v="9.4782999999999991"/>
    <n v="13"/>
  </r>
  <r>
    <s v="KRB-88066-642"/>
    <d v="2021-03-16T00:00:00"/>
    <s v="2021"/>
    <s v="March"/>
    <s v="22107-86640-SB"/>
    <s v="Archambault Gillard"/>
    <s v="agillard1i@issuu.com"/>
    <s v="+1 (419) 663-2236"/>
    <s v="Toledo"/>
    <s v="United States"/>
    <s v="No"/>
    <s v="L-M-1"/>
    <s v="Liberica"/>
    <s v="Medium"/>
    <n v="5"/>
    <n v="1"/>
    <n v="14.55"/>
    <n v="72.75"/>
    <n v="1.8915000000000002"/>
    <n v="9.4575000000000014"/>
    <n v="13.000000000000004"/>
  </r>
  <r>
    <s v="LQU-08404-173"/>
    <d v="2020-12-03T00:00:00"/>
    <s v="2020"/>
    <s v="December"/>
    <s v="09960-34242-LZ"/>
    <s v="Salomo Cushworth"/>
    <s v="UNKNOWN"/>
    <s v="+1 (609) 409-7044"/>
    <s v="Trenton"/>
    <s v="United States"/>
    <s v="No"/>
    <s v="L-L-1"/>
    <s v="Liberica"/>
    <s v="Light"/>
    <n v="3"/>
    <n v="1"/>
    <n v="15.85"/>
    <n v="47.55"/>
    <n v="2.0605000000000002"/>
    <n v="6.1815000000000007"/>
    <n v="13.000000000000004"/>
  </r>
  <r>
    <s v="CWK-60159-881"/>
    <d v="2020-01-27T00:00:00"/>
    <s v="2020"/>
    <s v="January"/>
    <s v="04671-85591-RT"/>
    <s v="Theda Grizard"/>
    <s v="tgrizard1k@odnoklassniki.ru"/>
    <s v="+1 (813) 243-2150"/>
    <s v="Tampa"/>
    <s v="United States"/>
    <s v="Yes"/>
    <s v="E-D-0.2"/>
    <s v="Excelsa"/>
    <s v="Dark"/>
    <n v="3"/>
    <n v="0.2"/>
    <n v="3.645"/>
    <n v="10.935"/>
    <n v="0.40095000000000003"/>
    <n v="1.2028500000000002"/>
    <n v="11.000000000000002"/>
  </r>
  <r>
    <s v="EEG-74197-843"/>
    <d v="2022-07-17T00:00:00"/>
    <s v="2022"/>
    <s v="July"/>
    <s v="25729-68859-UA"/>
    <s v="Rozele Relton"/>
    <s v="rrelton1l@stanford.edu"/>
    <s v="+1 (850) 626-1181"/>
    <s v="Pensacola"/>
    <s v="United States"/>
    <s v="No"/>
    <s v="E-L-1"/>
    <s v="Excelsa"/>
    <s v="Light"/>
    <n v="4"/>
    <n v="1"/>
    <n v="14.85"/>
    <n v="59.4"/>
    <n v="1.6335"/>
    <n v="6.5339999999999998"/>
    <n v="11"/>
  </r>
  <r>
    <s v="UCZ-59708-525"/>
    <d v="2022-03-04T00:00:00"/>
    <s v="2022"/>
    <s v="March"/>
    <s v="05501-86351-NX"/>
    <s v="Willa Rolling"/>
    <s v="UNKNOWN"/>
    <s v="+1 (813) 759-3534"/>
    <s v="Zephyrhills"/>
    <s v="United States"/>
    <s v="Yes"/>
    <s v="L-D-2.5"/>
    <s v="Liberica"/>
    <s v="Dark"/>
    <n v="3"/>
    <n v="2.5"/>
    <n v="29.784999999999997"/>
    <n v="89.35499999999999"/>
    <n v="3.8720499999999998"/>
    <n v="11.616149999999999"/>
    <n v="13"/>
  </r>
  <r>
    <s v="HUB-47311-849"/>
    <d v="2021-12-07T00:00:00"/>
    <s v="2021"/>
    <s v="December"/>
    <s v="04521-04300-OK"/>
    <s v="Stanislaus Gilroy"/>
    <s v="sgilroy1n@eepurl.com"/>
    <s v="UNKNOWN"/>
    <s v="Saint Paul"/>
    <s v="United States"/>
    <s v="Yes"/>
    <s v="L-M-0.5"/>
    <s v="Liberica"/>
    <s v="Medium"/>
    <n v="3"/>
    <n v="0.5"/>
    <n v="8.73"/>
    <n v="26.19"/>
    <n v="1.1349"/>
    <n v="3.4047000000000001"/>
    <n v="13"/>
  </r>
  <r>
    <s v="WYM-17686-694"/>
    <d v="2021-02-25T00:00:00"/>
    <s v="2021"/>
    <s v="February"/>
    <s v="58689-55264-VK"/>
    <s v="Correy Cottingham"/>
    <s v="ccottingham1o@wikipedia.org"/>
    <s v="+1 (260) 764-1820"/>
    <s v="Fort Wayne"/>
    <s v="United States"/>
    <s v="No"/>
    <s v="A-D-2.5"/>
    <s v="Arabica"/>
    <s v="Dark"/>
    <n v="5"/>
    <n v="2.5"/>
    <n v="22.884999999999998"/>
    <n v="114.42499999999998"/>
    <n v="2.0596499999999995"/>
    <n v="10.298249999999998"/>
    <n v="9"/>
  </r>
  <r>
    <s v="ZYQ-15797-695"/>
    <d v="2019-02-25T00:00:00"/>
    <s v="2019"/>
    <s v="February"/>
    <s v="79436-73011-MM"/>
    <s v="Pammi Endacott"/>
    <s v="UNKNOWN"/>
    <s v="+44 (177) 260-5076"/>
    <s v="Wootton"/>
    <s v="United Kingdom"/>
    <s v="Yes"/>
    <s v="R-D-0.5"/>
    <s v="Robusta"/>
    <s v="Dark"/>
    <n v="5"/>
    <n v="0.5"/>
    <n v="5.3699999999999992"/>
    <n v="26.849999999999994"/>
    <n v="0.32219999999999993"/>
    <n v="1.6109999999999998"/>
    <n v="6.0000000000000009"/>
  </r>
  <r>
    <s v="EEJ-16185-108"/>
    <d v="2019-02-09T00:00:00"/>
    <s v="2019"/>
    <s v="February"/>
    <s v="65552-60476-KY"/>
    <s v="Nona Linklater"/>
    <s v="UNKNOWN"/>
    <s v="+1 (239) 347-9766"/>
    <s v="Naples"/>
    <s v="United States"/>
    <s v="Yes"/>
    <s v="L-L-0.2"/>
    <s v="Liberica"/>
    <s v="Light"/>
    <n v="5"/>
    <n v="0.2"/>
    <n v="4.7549999999999999"/>
    <n v="23.774999999999999"/>
    <n v="0.61814999999999998"/>
    <n v="3.0907499999999999"/>
    <n v="13"/>
  </r>
  <r>
    <s v="RWR-77888-800"/>
    <d v="2020-02-07T00:00:00"/>
    <s v="2020"/>
    <s v="February"/>
    <s v="69904-02729-YS"/>
    <s v="Annadiane Dykes"/>
    <s v="adykes1r@eventbrite.com"/>
    <s v="+1 (312) 111-6203"/>
    <s v="Chicago"/>
    <s v="United States"/>
    <s v="No"/>
    <s v="A-M-0.5"/>
    <s v="Arabica"/>
    <s v="Medium"/>
    <n v="1"/>
    <n v="0.5"/>
    <n v="6.75"/>
    <n v="6.75"/>
    <n v="0.60749999999999993"/>
    <n v="0.60749999999999993"/>
    <n v="8.9999999999999982"/>
  </r>
  <r>
    <s v="LHN-75209-742"/>
    <d v="2020-03-23T00:00:00"/>
    <s v="2020"/>
    <s v="March"/>
    <s v="01433-04270-AX"/>
    <s v="Felecia Dodgson"/>
    <s v="UNKNOWN"/>
    <s v="+1 (973) 434-8662"/>
    <s v="Newark"/>
    <s v="United States"/>
    <s v="Yes"/>
    <s v="R-M-0.5"/>
    <s v="Robusta"/>
    <s v="Medium"/>
    <n v="6"/>
    <n v="0.5"/>
    <n v="5.97"/>
    <n v="35.82"/>
    <n v="0.35819999999999996"/>
    <n v="2.1491999999999996"/>
    <n v="5.9999999999999982"/>
  </r>
  <r>
    <s v="TIR-71396-998"/>
    <d v="2022-03-06T00:00:00"/>
    <s v="2022"/>
    <s v="March"/>
    <s v="14204-14186-LA"/>
    <s v="Angelia Cockrem"/>
    <s v="acockrem1t@engadget.com"/>
    <s v="+1 (571) 316-8217"/>
    <s v="Vienna"/>
    <s v="United States"/>
    <s v="Yes"/>
    <s v="R-D-2.5"/>
    <s v="Robusta"/>
    <s v="Dark"/>
    <n v="4"/>
    <n v="2.5"/>
    <n v="20.584999999999997"/>
    <n v="82.339999999999989"/>
    <n v="1.2350999999999999"/>
    <n v="4.9403999999999995"/>
    <n v="6.0000000000000009"/>
  </r>
  <r>
    <s v="RXF-37618-213"/>
    <d v="2022-04-15T00:00:00"/>
    <s v="2022"/>
    <s v="April"/>
    <s v="32948-34398-HC"/>
    <s v="Belvia Umpleby"/>
    <s v="bumpleby1u@soundcloud.com"/>
    <s v="+1 (682) 627-0888"/>
    <s v="Fort Worth"/>
    <s v="United States"/>
    <s v="Yes"/>
    <s v="R-L-0.5"/>
    <s v="Robusta"/>
    <s v="Light"/>
    <n v="1"/>
    <n v="0.5"/>
    <n v="7.169999999999999"/>
    <n v="7.169999999999999"/>
    <n v="0.43019999999999992"/>
    <n v="0.43019999999999992"/>
    <n v="6"/>
  </r>
  <r>
    <s v="ANM-16388-634"/>
    <d v="2021-11-19T00:00:00"/>
    <s v="2021"/>
    <s v="November"/>
    <s v="77343-52608-FF"/>
    <s v="Nat Saleway"/>
    <s v="nsaleway1v@dedecms.com"/>
    <s v="+1 (323) 473-0294"/>
    <s v="Burbank"/>
    <s v="United States"/>
    <s v="No"/>
    <s v="L-L-0.2"/>
    <s v="Liberica"/>
    <s v="Light"/>
    <n v="2"/>
    <n v="0.2"/>
    <n v="4.7549999999999999"/>
    <n v="9.51"/>
    <n v="0.61814999999999998"/>
    <n v="1.2363"/>
    <n v="13"/>
  </r>
  <r>
    <s v="WYL-29300-070"/>
    <d v="2019-10-16T00:00:00"/>
    <s v="2019"/>
    <s v="October"/>
    <s v="42770-36274-QA"/>
    <s v="Hayward Goulter"/>
    <s v="hgoulter1w@abc.net.au"/>
    <s v="+1 (423) 764-7751"/>
    <s v="Kingsport"/>
    <s v="United States"/>
    <s v="No"/>
    <s v="R-M-0.2"/>
    <s v="Robusta"/>
    <s v="Medium"/>
    <n v="1"/>
    <n v="0.2"/>
    <n v="2.9849999999999999"/>
    <n v="2.9849999999999999"/>
    <n v="0.17909999999999998"/>
    <n v="0.17909999999999998"/>
    <n v="6"/>
  </r>
  <r>
    <s v="JHW-74554-805"/>
    <d v="2019-11-26T00:00:00"/>
    <s v="2019"/>
    <s v="November"/>
    <s v="14103-58987-ZU"/>
    <s v="Gay Rizzello"/>
    <s v="grizzello1x@symantec.com"/>
    <s v="+44 (247) 225-8003"/>
    <s v="Liverpool"/>
    <s v="United Kingdom"/>
    <s v="Yes"/>
    <s v="R-M-1"/>
    <s v="Robusta"/>
    <s v="Medium"/>
    <n v="6"/>
    <n v="1"/>
    <n v="9.9499999999999993"/>
    <n v="59.699999999999996"/>
    <n v="0.59699999999999998"/>
    <n v="3.5819999999999999"/>
    <n v="6.0000000000000009"/>
  </r>
  <r>
    <s v="KYS-27063-603"/>
    <d v="2019-06-30T00:00:00"/>
    <s v="2019"/>
    <s v="June"/>
    <s v="69958-32065-SW"/>
    <s v="Shannon List"/>
    <s v="slist1y@mapquest.com"/>
    <s v="+1 (614) 279-9816"/>
    <s v="Columbus"/>
    <s v="United States"/>
    <s v="No"/>
    <s v="E-L-2.5"/>
    <s v="Excelsa"/>
    <s v="Light"/>
    <n v="4"/>
    <n v="2.5"/>
    <n v="34.154999999999994"/>
    <n v="136.61999999999998"/>
    <n v="3.7570499999999996"/>
    <n v="15.028199999999998"/>
    <n v="11"/>
  </r>
  <r>
    <s v="GAZ-58626-277"/>
    <d v="2021-01-04T00:00:00"/>
    <s v="2021"/>
    <s v="January"/>
    <s v="69533-84907-FA"/>
    <s v="Shirlene Edmondson"/>
    <s v="sedmondson1z@theguardian.com"/>
    <s v="+353 (248) 428-7978"/>
    <s v="Newmarket on Fergus"/>
    <s v="Ireland"/>
    <s v="No"/>
    <s v="L-L-0.2"/>
    <s v="Liberica"/>
    <s v="Light"/>
    <n v="2"/>
    <n v="0.2"/>
    <n v="4.7549999999999999"/>
    <n v="9.51"/>
    <n v="0.61814999999999998"/>
    <n v="1.2363"/>
    <n v="13"/>
  </r>
  <r>
    <s v="RPJ-37787-335"/>
    <d v="2020-10-27T00:00:00"/>
    <s v="2020"/>
    <s v="October"/>
    <s v="76005-95461-CI"/>
    <s v="Aurlie McCarl"/>
    <s v="UNKNOWN"/>
    <s v="+1 (504) 209-2724"/>
    <s v="New Orleans"/>
    <s v="United States"/>
    <s v="No"/>
    <s v="A-M-2.5"/>
    <s v="Arabica"/>
    <s v="Medium"/>
    <n v="3"/>
    <n v="2.5"/>
    <n v="25.874999999999996"/>
    <n v="77.624999999999986"/>
    <n v="2.3287499999999994"/>
    <n v="6.9862499999999983"/>
    <n v="9"/>
  </r>
  <r>
    <s v="LEF-83057-763"/>
    <d v="2021-06-15T00:00:00"/>
    <s v="2021"/>
    <s v="June"/>
    <s v="15395-90855-VB"/>
    <s v="Alikee Carryer"/>
    <s v="UNKNOWN"/>
    <s v="+1 (704) 799-5219"/>
    <s v="Charlotte"/>
    <s v="United States"/>
    <s v="Yes"/>
    <s v="L-M-0.2"/>
    <s v="Liberica"/>
    <s v="Medium"/>
    <n v="5"/>
    <n v="0.2"/>
    <n v="4.3650000000000002"/>
    <n v="21.825000000000003"/>
    <n v="0.56745000000000001"/>
    <n v="2.83725"/>
    <n v="12.999999999999998"/>
  </r>
  <r>
    <s v="RPW-36123-215"/>
    <d v="2021-07-19T00:00:00"/>
    <s v="2021"/>
    <s v="July"/>
    <s v="80640-45811-LB"/>
    <s v="Jennifer Rangall"/>
    <s v="jrangall22@newsvine.com"/>
    <s v="+1 (781) 512-6637"/>
    <s v="Springfield"/>
    <s v="United States"/>
    <s v="Yes"/>
    <s v="E-L-0.5"/>
    <s v="Excelsa"/>
    <s v="Light"/>
    <n v="2"/>
    <n v="0.5"/>
    <n v="8.91"/>
    <n v="17.82"/>
    <n v="0.98009999999999997"/>
    <n v="1.9601999999999999"/>
    <n v="11"/>
  </r>
  <r>
    <s v="WLL-59044-117"/>
    <d v="2021-07-23T00:00:00"/>
    <s v="2021"/>
    <s v="July"/>
    <s v="28476-04082-GR"/>
    <s v="Kipper Boorn"/>
    <s v="kboorn23@ezinearticles.com"/>
    <s v="+353 (359) 134-1550"/>
    <s v="Listowel"/>
    <s v="Ireland"/>
    <s v="Yes"/>
    <s v="R-D-1"/>
    <s v="Robusta"/>
    <s v="Dark"/>
    <n v="6"/>
    <n v="1"/>
    <n v="8.9499999999999993"/>
    <n v="53.699999999999996"/>
    <n v="0.53699999999999992"/>
    <n v="3.2219999999999995"/>
    <n v="6"/>
  </r>
  <r>
    <s v="AWT-22827-563"/>
    <d v="2020-01-25T00:00:00"/>
    <s v="2020"/>
    <s v="January"/>
    <s v="12018-75670-EU"/>
    <s v="Melania Beadle"/>
    <s v="UNKNOWN"/>
    <s v="+353 (569) 458-9673"/>
    <s v="Moycullen"/>
    <s v="Ireland"/>
    <s v="Yes"/>
    <s v="R-L-0.2"/>
    <s v="Robusta"/>
    <s v="Light"/>
    <n v="1"/>
    <n v="0.2"/>
    <n v="3.5849999999999995"/>
    <n v="3.5849999999999995"/>
    <n v="0.21509999999999996"/>
    <n v="0.21509999999999996"/>
    <n v="6"/>
  </r>
  <r>
    <s v="QLM-07145-668"/>
    <d v="2019-05-09T00:00:00"/>
    <s v="2019"/>
    <s v="May"/>
    <s v="86437-17399-FK"/>
    <s v="Colene Elgey"/>
    <s v="celgey25@webs.com"/>
    <s v="+1 (432) 261-0702"/>
    <s v="Midland"/>
    <s v="United States"/>
    <s v="No"/>
    <s v="E-D-0.2"/>
    <s v="Excelsa"/>
    <s v="Dark"/>
    <n v="2"/>
    <n v="0.2"/>
    <n v="3.645"/>
    <n v="7.29"/>
    <n v="0.40095000000000003"/>
    <n v="0.80190000000000006"/>
    <n v="11"/>
  </r>
  <r>
    <s v="HVQ-64398-930"/>
    <d v="2020-03-30T00:00:00"/>
    <s v="2020"/>
    <s v="March"/>
    <s v="62979-53167-ML"/>
    <s v="Lothaire Mizzi"/>
    <s v="lmizzi26@rakuten.co.jp"/>
    <s v="+1 (214) 719-8530"/>
    <s v="Dallas"/>
    <s v="United States"/>
    <s v="Yes"/>
    <s v="A-M-0.5"/>
    <s v="Arabica"/>
    <s v="Medium"/>
    <n v="6"/>
    <n v="0.5"/>
    <n v="6.75"/>
    <n v="40.5"/>
    <n v="0.60749999999999993"/>
    <n v="3.6449999999999996"/>
    <n v="8.9999999999999982"/>
  </r>
  <r>
    <s v="WRT-40778-247"/>
    <d v="2022-03-13T00:00:00"/>
    <s v="2022"/>
    <s v="March"/>
    <s v="54810-81899-HL"/>
    <s v="Cletis Giacomazzo"/>
    <s v="cgiacomazzo27@jigsy.com"/>
    <s v="+1 (571) 703-2064"/>
    <s v="Dulles"/>
    <s v="United States"/>
    <s v="No"/>
    <s v="R-L-1"/>
    <s v="Robusta"/>
    <s v="Light"/>
    <n v="4"/>
    <n v="1"/>
    <n v="11.95"/>
    <n v="47.8"/>
    <n v="0.71699999999999997"/>
    <n v="2.8679999999999999"/>
    <n v="6"/>
  </r>
  <r>
    <s v="SUB-13006-125"/>
    <d v="2019-04-17T00:00:00"/>
    <s v="2019"/>
    <s v="April"/>
    <s v="26103-41504-IB"/>
    <s v="Ami Arnow"/>
    <s v="aarnow28@arizona.edu"/>
    <s v="+1 (650) 238-1964"/>
    <s v="Oakland"/>
    <s v="United States"/>
    <s v="Yes"/>
    <s v="A-L-0.5"/>
    <s v="Arabica"/>
    <s v="Light"/>
    <n v="5"/>
    <n v="0.5"/>
    <n v="7.77"/>
    <n v="38.849999999999994"/>
    <n v="0.69929999999999992"/>
    <n v="3.4964999999999997"/>
    <n v="9.0000000000000018"/>
  </r>
  <r>
    <s v="CQM-49696-263"/>
    <d v="2019-10-25T00:00:00"/>
    <s v="2019"/>
    <s v="October"/>
    <s v="76534-45229-SG"/>
    <s v="Sheppard Yann"/>
    <s v="syann29@senate.gov"/>
    <s v="+1 (719) 803-5276"/>
    <s v="Colorado Springs"/>
    <s v="United States"/>
    <s v="Yes"/>
    <s v="L-L-2.5"/>
    <s v="Liberica"/>
    <s v="Light"/>
    <n v="3"/>
    <n v="2.5"/>
    <n v="36.454999999999998"/>
    <n v="109.36499999999999"/>
    <n v="4.7391499999999995"/>
    <n v="14.217449999999999"/>
    <n v="13"/>
  </r>
  <r>
    <s v="KXN-85094-246"/>
    <d v="2019-09-13T00:00:00"/>
    <s v="2019"/>
    <s v="September"/>
    <s v="81744-27332-RR"/>
    <s v="Bunny Naulls"/>
    <s v="bnaulls2a@tiny.cc"/>
    <s v="+353 (809) 128-0755"/>
    <s v="Adare"/>
    <s v="Ireland"/>
    <s v="Yes"/>
    <s v="L-M-2.5"/>
    <s v="Liberica"/>
    <s v="Medium"/>
    <n v="3"/>
    <n v="2.5"/>
    <n v="33.464999999999996"/>
    <n v="100.39499999999998"/>
    <n v="4.3504499999999995"/>
    <n v="13.051349999999999"/>
    <n v="13"/>
  </r>
  <r>
    <s v="XOQ-12405-419"/>
    <d v="2020-04-12T00:00:00"/>
    <s v="2020"/>
    <s v="April"/>
    <s v="91513-75657-PH"/>
    <s v="Hally Lorait"/>
    <s v="UNKNOWN"/>
    <s v="+1 (716) 869-3749"/>
    <s v="Buffalo"/>
    <s v="United States"/>
    <s v="Yes"/>
    <s v="R-D-2.5"/>
    <s v="Robusta"/>
    <s v="Dark"/>
    <n v="4"/>
    <n v="2.5"/>
    <n v="20.584999999999997"/>
    <n v="82.339999999999989"/>
    <n v="1.2350999999999999"/>
    <n v="4.9403999999999995"/>
    <n v="6.0000000000000009"/>
  </r>
  <r>
    <s v="HYF-10254-369"/>
    <d v="2019-11-14T00:00:00"/>
    <s v="2019"/>
    <s v="November"/>
    <s v="30373-66619-CB"/>
    <s v="Zaccaria Sherewood"/>
    <s v="zsherewood2c@apache.org"/>
    <s v="+1 (209) 433-7924"/>
    <s v="Fresno"/>
    <s v="United States"/>
    <s v="No"/>
    <s v="L-L-0.5"/>
    <s v="Liberica"/>
    <s v="Light"/>
    <n v="1"/>
    <n v="0.5"/>
    <n v="9.51"/>
    <n v="9.51"/>
    <n v="1.2363"/>
    <n v="1.2363"/>
    <n v="13"/>
  </r>
  <r>
    <s v="XXJ-47000-307"/>
    <d v="2019-07-18T00:00:00"/>
    <s v="2019"/>
    <s v="July"/>
    <s v="31582-23562-FM"/>
    <s v="Jeffrey Dufaire"/>
    <s v="jdufaire2d@fc2.com"/>
    <s v="UNKNOWN"/>
    <s v="Fort Worth"/>
    <s v="United States"/>
    <s v="No"/>
    <s v="A-L-2.5"/>
    <s v="Arabica"/>
    <s v="Light"/>
    <n v="3"/>
    <n v="2.5"/>
    <n v="29.784999999999997"/>
    <n v="89.35499999999999"/>
    <n v="2.6806499999999995"/>
    <n v="8.0419499999999982"/>
    <n v="8.9999999999999982"/>
  </r>
  <r>
    <s v="XXJ-47000-307"/>
    <d v="2019-07-18T00:00:00"/>
    <s v="2019"/>
    <s v="July"/>
    <s v="31582-23562-FM"/>
    <s v="Jeffrey Dufaire"/>
    <s v="jdufaire2d@fc2.com"/>
    <s v="UNKNOWN"/>
    <s v="Fort Worth"/>
    <s v="United States"/>
    <s v="No"/>
    <s v="A-D-0.2"/>
    <s v="Arabica"/>
    <s v="Dark"/>
    <n v="4"/>
    <n v="0.2"/>
    <n v="2.9849999999999999"/>
    <n v="11.94"/>
    <n v="0.26865"/>
    <n v="1.0746"/>
    <n v="9.0000000000000018"/>
  </r>
  <r>
    <s v="ZDK-82166-357"/>
    <d v="2021-04-03T00:00:00"/>
    <s v="2021"/>
    <s v="April"/>
    <s v="81431-12577-VD"/>
    <s v="Beitris Keaveney"/>
    <s v="bkeaveney2f@netlog.com"/>
    <s v="UNKNOWN"/>
    <s v="Beaumont"/>
    <s v="United States"/>
    <s v="No"/>
    <s v="A-M-1"/>
    <s v="Arabica"/>
    <s v="Medium"/>
    <n v="3"/>
    <n v="1"/>
    <n v="11.25"/>
    <n v="33.75"/>
    <n v="1.0125"/>
    <n v="3.0374999999999996"/>
    <n v="8.9999999999999982"/>
  </r>
  <r>
    <s v="IHN-19982-362"/>
    <d v="2021-03-29T00:00:00"/>
    <s v="2021"/>
    <s v="March"/>
    <s v="68894-91205-MP"/>
    <s v="Elna Grise"/>
    <s v="egrise2g@cargocollective.com"/>
    <s v="UNKNOWN"/>
    <s v="Reno"/>
    <s v="United States"/>
    <s v="No"/>
    <s v="R-L-1"/>
    <s v="Robusta"/>
    <s v="Light"/>
    <n v="3"/>
    <n v="1"/>
    <n v="11.95"/>
    <n v="35.849999999999994"/>
    <n v="0.71699999999999997"/>
    <n v="2.1509999999999998"/>
    <n v="6.0000000000000009"/>
  </r>
  <r>
    <s v="VMT-10030-889"/>
    <d v="2021-12-15T00:00:00"/>
    <s v="2021"/>
    <s v="December"/>
    <s v="87602-55754-VN"/>
    <s v="Torie Gottelier"/>
    <s v="tgottelier2h@vistaprint.com"/>
    <s v="+1 (816) 743-8492"/>
    <s v="Kansas City"/>
    <s v="United States"/>
    <s v="No"/>
    <s v="A-L-1"/>
    <s v="Arabica"/>
    <s v="Light"/>
    <n v="6"/>
    <n v="1"/>
    <n v="12.95"/>
    <n v="77.699999999999989"/>
    <n v="1.1655"/>
    <n v="6.9930000000000003"/>
    <n v="9.0000000000000018"/>
  </r>
  <r>
    <s v="NHL-11063-100"/>
    <d v="2020-05-20T00:00:00"/>
    <s v="2020"/>
    <s v="May"/>
    <s v="39181-35745-WH"/>
    <s v="Loydie Langlais"/>
    <s v="UNKNOWN"/>
    <s v="+353 (576) 222-5069"/>
    <s v="Crumlin"/>
    <s v="Ireland"/>
    <s v="Yes"/>
    <s v="A-L-1"/>
    <s v="Arabica"/>
    <s v="Light"/>
    <n v="4"/>
    <n v="1"/>
    <n v="12.95"/>
    <n v="51.8"/>
    <n v="1.1655"/>
    <n v="4.6619999999999999"/>
    <n v="9"/>
  </r>
  <r>
    <s v="ROV-87448-086"/>
    <d v="2020-11-02T00:00:00"/>
    <s v="2020"/>
    <s v="November"/>
    <s v="30381-64762-NG"/>
    <s v="Adham Greenhead"/>
    <s v="agreenhead2j@dailymail.co.uk"/>
    <s v="+1 (951) 797-0738"/>
    <s v="Corona"/>
    <s v="United States"/>
    <s v="No"/>
    <s v="A-M-2.5"/>
    <s v="Arabica"/>
    <s v="Medium"/>
    <n v="4"/>
    <n v="2.5"/>
    <n v="25.874999999999996"/>
    <n v="103.49999999999999"/>
    <n v="2.3287499999999994"/>
    <n v="9.3149999999999977"/>
    <n v="9"/>
  </r>
  <r>
    <s v="DGY-35773-612"/>
    <d v="2020-07-25T00:00:00"/>
    <s v="2020"/>
    <s v="July"/>
    <s v="17503-27693-ZH"/>
    <s v="Hamish MacSherry"/>
    <s v="UNKNOWN"/>
    <s v="+1 (512) 430-4374"/>
    <s v="Austin"/>
    <s v="United States"/>
    <s v="Yes"/>
    <s v="E-L-1"/>
    <s v="Excelsa"/>
    <s v="Light"/>
    <n v="3"/>
    <n v="1"/>
    <n v="14.85"/>
    <n v="44.55"/>
    <n v="1.6335"/>
    <n v="4.9005000000000001"/>
    <n v="11.000000000000002"/>
  </r>
  <r>
    <s v="YWH-50638-556"/>
    <d v="2019-03-14T00:00:00"/>
    <s v="2019"/>
    <s v="March"/>
    <s v="89442-35633-HJ"/>
    <s v="Else Langcaster"/>
    <s v="elangcaster2l@spotify.com"/>
    <s v="+44 (547) 590-3103"/>
    <s v="Normanton"/>
    <s v="United Kingdom"/>
    <s v="Yes"/>
    <s v="E-L-0.5"/>
    <s v="Excelsa"/>
    <s v="Light"/>
    <n v="4"/>
    <n v="0.5"/>
    <n v="8.91"/>
    <n v="35.64"/>
    <n v="0.98009999999999997"/>
    <n v="3.9203999999999999"/>
    <n v="11"/>
  </r>
  <r>
    <s v="ISL-11200-600"/>
    <d v="2020-07-02T00:00:00"/>
    <s v="2020"/>
    <s v="July"/>
    <s v="13654-85265-IL"/>
    <s v="Rudy Farquharson"/>
    <s v="UNKNOWN"/>
    <s v="UNKNOWN"/>
    <s v="Charlesland"/>
    <s v="Ireland"/>
    <s v="Yes"/>
    <s v="A-D-0.2"/>
    <s v="Arabica"/>
    <s v="Dark"/>
    <n v="6"/>
    <n v="0.2"/>
    <n v="2.9849999999999999"/>
    <n v="17.91"/>
    <n v="0.26865"/>
    <n v="1.6118999999999999"/>
    <n v="9"/>
  </r>
  <r>
    <s v="LBZ-75997-047"/>
    <d v="2019-12-17T00:00:00"/>
    <s v="2019"/>
    <s v="December"/>
    <s v="40946-22090-FP"/>
    <s v="Norene Magauran"/>
    <s v="nmagauran2n@51.la"/>
    <s v="UNKNOWN"/>
    <s v="Fresno"/>
    <s v="United States"/>
    <s v="No"/>
    <s v="A-M-2.5"/>
    <s v="Arabica"/>
    <s v="Medium"/>
    <n v="6"/>
    <n v="2.5"/>
    <n v="25.874999999999996"/>
    <n v="155.24999999999997"/>
    <n v="2.3287499999999994"/>
    <n v="13.972499999999997"/>
    <n v="9"/>
  </r>
  <r>
    <s v="EUH-08089-954"/>
    <d v="2020-12-06T00:00:00"/>
    <s v="2020"/>
    <s v="December"/>
    <s v="29050-93691-TS"/>
    <s v="Vicki Kirdsch"/>
    <s v="vkirdsch2o@google.fr"/>
    <s v="UNKNOWN"/>
    <s v="Saint Louis"/>
    <s v="United States"/>
    <s v="No"/>
    <s v="A-D-0.2"/>
    <s v="Arabica"/>
    <s v="Dark"/>
    <n v="2"/>
    <n v="0.2"/>
    <n v="2.9849999999999999"/>
    <n v="5.97"/>
    <n v="0.26865"/>
    <n v="0.5373"/>
    <n v="9.0000000000000018"/>
  </r>
  <r>
    <s v="BLD-12227-251"/>
    <d v="2021-03-04T00:00:00"/>
    <s v="2021"/>
    <s v="March"/>
    <s v="64395-74865-WF"/>
    <s v="Ilysa Whapple"/>
    <s v="iwhapple2p@com.com"/>
    <s v="+1 (559) 522-1152"/>
    <s v="Fresno"/>
    <s v="United States"/>
    <s v="No"/>
    <s v="A-M-0.5"/>
    <s v="Arabica"/>
    <s v="Medium"/>
    <n v="2"/>
    <n v="0.5"/>
    <n v="6.75"/>
    <n v="13.5"/>
    <n v="0.60749999999999993"/>
    <n v="1.2149999999999999"/>
    <n v="8.9999999999999982"/>
  </r>
  <r>
    <s v="OPY-30711-853"/>
    <d v="2021-07-17T00:00:00"/>
    <s v="2021"/>
    <s v="July"/>
    <s v="81861-66046-SU"/>
    <s v="Ruy Cancellieri"/>
    <s v="UNKNOWN"/>
    <s v="+353 (338) 743-8327"/>
    <s v="Confey"/>
    <s v="Ireland"/>
    <s v="No"/>
    <s v="A-D-0.2"/>
    <s v="Arabica"/>
    <s v="Dark"/>
    <n v="1"/>
    <n v="0.2"/>
    <n v="2.9849999999999999"/>
    <n v="2.9849999999999999"/>
    <n v="0.26865"/>
    <n v="0.26865"/>
    <n v="9.0000000000000018"/>
  </r>
  <r>
    <s v="DBC-44122-300"/>
    <d v="2020-11-04T00:00:00"/>
    <s v="2020"/>
    <s v="November"/>
    <s v="13366-78506-KP"/>
    <s v="Aube Follett"/>
    <s v="UNKNOWN"/>
    <s v="+1 (614) 370-6392"/>
    <s v="Columbus"/>
    <s v="United States"/>
    <s v="Yes"/>
    <s v="L-M-0.2"/>
    <s v="Liberica"/>
    <s v="Medium"/>
    <n v="3"/>
    <n v="0.2"/>
    <n v="4.3650000000000002"/>
    <n v="13.095000000000001"/>
    <n v="0.56745000000000001"/>
    <n v="1.70235"/>
    <n v="13"/>
  </r>
  <r>
    <s v="FJQ-60035-234"/>
    <d v="2021-04-05T00:00:00"/>
    <s v="2021"/>
    <s v="April"/>
    <s v="08847-29858-HN"/>
    <s v="Rudiger Di Bartolomeo"/>
    <s v="UNKNOWN"/>
    <s v="+1 (209) 148-6668"/>
    <s v="Stockton"/>
    <s v="United States"/>
    <s v="Yes"/>
    <s v="A-L-0.2"/>
    <s v="Arabica"/>
    <s v="Light"/>
    <n v="2"/>
    <n v="0.2"/>
    <n v="3.8849999999999998"/>
    <n v="7.77"/>
    <n v="0.34964999999999996"/>
    <n v="0.69929999999999992"/>
    <n v="9"/>
  </r>
  <r>
    <s v="HSF-66926-425"/>
    <d v="2020-03-01T00:00:00"/>
    <s v="2020"/>
    <s v="March"/>
    <s v="00539-42510-RY"/>
    <s v="Nickey Youles"/>
    <s v="nyoules2t@reference.com"/>
    <s v="+353 (641) 846-7654"/>
    <s v="Edgeworthstown"/>
    <s v="Ireland"/>
    <s v="Yes"/>
    <s v="L-D-2.5"/>
    <s v="Liberica"/>
    <s v="Dark"/>
    <n v="5"/>
    <n v="2.5"/>
    <n v="29.784999999999997"/>
    <n v="148.92499999999998"/>
    <n v="3.8720499999999998"/>
    <n v="19.360250000000001"/>
    <n v="13.000000000000004"/>
  </r>
  <r>
    <s v="LQG-41416-375"/>
    <d v="2021-10-19T00:00:00"/>
    <s v="2021"/>
    <s v="October"/>
    <s v="45190-08727-NV"/>
    <s v="Dyanna Aizikovitz"/>
    <s v="daizikovitz2u@answers.com"/>
    <s v="+353 (766) 141-6317"/>
    <s v="Leixlip"/>
    <s v="Ireland"/>
    <s v="Yes"/>
    <s v="L-D-1"/>
    <s v="Liberica"/>
    <s v="Dark"/>
    <n v="3"/>
    <n v="1"/>
    <n v="12.95"/>
    <n v="38.849999999999994"/>
    <n v="1.6835"/>
    <n v="5.0504999999999995"/>
    <n v="13"/>
  </r>
  <r>
    <s v="VZO-97265-841"/>
    <d v="2022-07-08T00:00:00"/>
    <s v="2022"/>
    <s v="July"/>
    <s v="87049-37901-FU"/>
    <s v="Bram Revel"/>
    <s v="brevel2v@fastcompany.com"/>
    <s v="+1 (585) 775-6952"/>
    <s v="Rochester"/>
    <s v="United States"/>
    <s v="No"/>
    <s v="R-M-0.2"/>
    <s v="Robusta"/>
    <s v="Medium"/>
    <n v="4"/>
    <n v="0.2"/>
    <n v="2.9849999999999999"/>
    <n v="11.94"/>
    <n v="0.17909999999999998"/>
    <n v="0.71639999999999993"/>
    <n v="6"/>
  </r>
  <r>
    <s v="MOR-12987-399"/>
    <d v="2019-08-17T00:00:00"/>
    <s v="2019"/>
    <s v="August"/>
    <s v="34015-31593-JC"/>
    <s v="Emiline Priddis"/>
    <s v="epriddis2w@nationalgeographic.com"/>
    <s v="+1 (205) 133-0205"/>
    <s v="Tuscaloosa"/>
    <s v="United States"/>
    <s v="No"/>
    <s v="L-M-1"/>
    <s v="Liberica"/>
    <s v="Medium"/>
    <n v="6"/>
    <n v="1"/>
    <n v="14.55"/>
    <n v="87.300000000000011"/>
    <n v="1.8915000000000002"/>
    <n v="11.349"/>
    <n v="12.999999999999998"/>
  </r>
  <r>
    <s v="UOA-23786-489"/>
    <d v="2020-05-31T00:00:00"/>
    <s v="2020"/>
    <s v="May"/>
    <s v="90305-50099-SV"/>
    <s v="Queenie Veel"/>
    <s v="qveel2x@jugem.jp"/>
    <s v="+1 (713) 750-9202"/>
    <s v="Houston"/>
    <s v="United States"/>
    <s v="Yes"/>
    <s v="A-M-0.5"/>
    <s v="Arabica"/>
    <s v="Medium"/>
    <n v="6"/>
    <n v="0.5"/>
    <n v="6.75"/>
    <n v="40.5"/>
    <n v="0.60749999999999993"/>
    <n v="3.6449999999999996"/>
    <n v="8.9999999999999982"/>
  </r>
  <r>
    <s v="AJL-52941-018"/>
    <d v="2020-05-05T00:00:00"/>
    <s v="2020"/>
    <s v="May"/>
    <s v="55871-61935-MF"/>
    <s v="Lind Conyers"/>
    <s v="lconyers2y@twitter.com"/>
    <s v="+1 (915) 476-5712"/>
    <s v="El Paso"/>
    <s v="United States"/>
    <s v="No"/>
    <s v="E-D-1"/>
    <s v="Excelsa"/>
    <s v="Dark"/>
    <n v="2"/>
    <n v="1"/>
    <n v="12.15"/>
    <n v="24.3"/>
    <n v="1.3365"/>
    <n v="2.673"/>
    <n v="11"/>
  </r>
  <r>
    <s v="XSZ-84273-421"/>
    <d v="2019-04-14T00:00:00"/>
    <s v="2019"/>
    <s v="April"/>
    <s v="15405-60469-TM"/>
    <s v="Pen Wye"/>
    <s v="pwye2z@dagondesign.com"/>
    <s v="+1 (719) 620-1128"/>
    <s v="Colorado Springs"/>
    <s v="United States"/>
    <s v="Yes"/>
    <s v="R-M-0.5"/>
    <s v="Robusta"/>
    <s v="Medium"/>
    <n v="3"/>
    <n v="0.5"/>
    <n v="5.97"/>
    <n v="17.91"/>
    <n v="0.35819999999999996"/>
    <n v="1.0745999999999998"/>
    <n v="5.9999999999999982"/>
  </r>
  <r>
    <s v="NUN-48214-216"/>
    <d v="2020-07-29T00:00:00"/>
    <s v="2020"/>
    <s v="July"/>
    <s v="06953-94794-FB"/>
    <s v="Isahella Hagland"/>
    <s v="UNKNOWN"/>
    <s v="+1 (260) 613-2279"/>
    <s v="Fort Wayne"/>
    <s v="United States"/>
    <s v="No"/>
    <s v="A-M-0.5"/>
    <s v="Arabica"/>
    <s v="Medium"/>
    <n v="4"/>
    <n v="0.5"/>
    <n v="6.75"/>
    <n v="27"/>
    <n v="0.60749999999999993"/>
    <n v="2.4299999999999997"/>
    <n v="8.9999999999999982"/>
  </r>
  <r>
    <s v="AKV-93064-769"/>
    <d v="2019-12-12T00:00:00"/>
    <s v="2019"/>
    <s v="December"/>
    <s v="22305-40299-CY"/>
    <s v="Terry Sheryn"/>
    <s v="tsheryn31@mtv.com"/>
    <s v="+1 (516) 826-3780"/>
    <s v="Port Washington"/>
    <s v="United States"/>
    <s v="Yes"/>
    <s v="L-D-0.5"/>
    <s v="Liberica"/>
    <s v="Dark"/>
    <n v="1"/>
    <n v="0.5"/>
    <n v="7.77"/>
    <n v="7.77"/>
    <n v="1.0101"/>
    <n v="1.0101"/>
    <n v="13"/>
  </r>
  <r>
    <s v="BRB-40903-533"/>
    <d v="2022-06-15T00:00:00"/>
    <s v="2022"/>
    <s v="June"/>
    <s v="09020-56774-GU"/>
    <s v="Marie-jeanne Redgrave"/>
    <s v="mredgrave32@cargocollective.com"/>
    <s v="+1 (413) 691-2892"/>
    <s v="Springfield"/>
    <s v="United States"/>
    <s v="Yes"/>
    <s v="E-L-0.2"/>
    <s v="Excelsa"/>
    <s v="Light"/>
    <n v="3"/>
    <n v="0.2"/>
    <n v="4.4550000000000001"/>
    <n v="13.365"/>
    <n v="0.49004999999999999"/>
    <n v="1.4701499999999998"/>
    <n v="10.999999999999998"/>
  </r>
  <r>
    <s v="GPR-19973-483"/>
    <d v="2019-06-26T00:00:00"/>
    <s v="2019"/>
    <s v="June"/>
    <s v="92926-08470-YS"/>
    <s v="Betty Fominov"/>
    <s v="bfominov33@yale.edu"/>
    <s v="UNKNOWN"/>
    <s v="Pensacola"/>
    <s v="United States"/>
    <s v="No"/>
    <s v="R-D-0.5"/>
    <s v="Robusta"/>
    <s v="Dark"/>
    <n v="5"/>
    <n v="0.5"/>
    <n v="5.3699999999999992"/>
    <n v="26.849999999999994"/>
    <n v="0.32219999999999993"/>
    <n v="1.6109999999999998"/>
    <n v="6.0000000000000009"/>
  </r>
  <r>
    <s v="XIY-43041-882"/>
    <d v="2021-10-12T00:00:00"/>
    <s v="2021"/>
    <s v="October"/>
    <s v="07250-63194-JO"/>
    <s v="Shawnee Critchlow"/>
    <s v="scritchlow34@un.org"/>
    <s v="+1 (804) 428-7292"/>
    <s v="Richmond"/>
    <s v="United States"/>
    <s v="No"/>
    <s v="A-M-1"/>
    <s v="Arabica"/>
    <s v="Medium"/>
    <n v="1"/>
    <n v="1"/>
    <n v="11.25"/>
    <n v="11.25"/>
    <n v="1.0125"/>
    <n v="1.0125"/>
    <n v="9"/>
  </r>
  <r>
    <s v="YGY-98425-969"/>
    <d v="2019-04-01T00:00:00"/>
    <s v="2019"/>
    <s v="April"/>
    <s v="63787-96257-TQ"/>
    <s v="Merrel Steptow"/>
    <s v="msteptow35@earthlink.net"/>
    <s v="+353 (266) 235-5189"/>
    <s v="Cherryville"/>
    <s v="Ireland"/>
    <s v="No"/>
    <s v="L-M-1"/>
    <s v="Liberica"/>
    <s v="Medium"/>
    <n v="1"/>
    <n v="1"/>
    <n v="14.55"/>
    <n v="14.55"/>
    <n v="1.8915000000000002"/>
    <n v="1.8915000000000002"/>
    <n v="13"/>
  </r>
  <r>
    <s v="MSB-08397-648"/>
    <d v="2021-03-10T00:00:00"/>
    <s v="2021"/>
    <s v="March"/>
    <s v="49530-25460-RW"/>
    <s v="Carmina Hubbuck"/>
    <s v="UNKNOWN"/>
    <s v="+1 (304) 532-7229"/>
    <s v="Huntington"/>
    <s v="United States"/>
    <s v="No"/>
    <s v="R-L-0.2"/>
    <s v="Robusta"/>
    <s v="Light"/>
    <n v="4"/>
    <n v="0.2"/>
    <n v="3.5849999999999995"/>
    <n v="14.339999999999998"/>
    <n v="0.21509999999999996"/>
    <n v="0.86039999999999983"/>
    <n v="6"/>
  </r>
  <r>
    <s v="WDR-06028-345"/>
    <d v="2019-08-16T00:00:00"/>
    <s v="2019"/>
    <s v="August"/>
    <s v="66508-21373-OQ"/>
    <s v="Ingeberg Mulliner"/>
    <s v="imulliner37@pinterest.com"/>
    <s v="+44 (331) 777-9556"/>
    <s v="Birmingham"/>
    <s v="United Kingdom"/>
    <s v="No"/>
    <s v="L-L-1"/>
    <s v="Liberica"/>
    <s v="Light"/>
    <n v="1"/>
    <n v="1"/>
    <n v="15.85"/>
    <n v="15.85"/>
    <n v="2.0605000000000002"/>
    <n v="2.0605000000000002"/>
    <n v="13"/>
  </r>
  <r>
    <s v="MXM-42948-061"/>
    <d v="2020-08-11T00:00:00"/>
    <s v="2020"/>
    <s v="August"/>
    <s v="20203-03950-FY"/>
    <s v="Geneva Standley"/>
    <s v="gstandley38@dion.ne.jp"/>
    <s v="+353 (521) 138-4331"/>
    <s v="Killorglin"/>
    <s v="Ireland"/>
    <s v="Yes"/>
    <s v="L-L-0.2"/>
    <s v="Liberica"/>
    <s v="Light"/>
    <n v="4"/>
    <n v="0.2"/>
    <n v="4.7549999999999999"/>
    <n v="19.02"/>
    <n v="0.61814999999999998"/>
    <n v="2.4725999999999999"/>
    <n v="13"/>
  </r>
  <r>
    <s v="MGQ-98961-173"/>
    <d v="2022-04-05T00:00:00"/>
    <s v="2022"/>
    <s v="April"/>
    <s v="83895-90735-XH"/>
    <s v="Brook Drage"/>
    <s v="bdrage39@youku.com"/>
    <s v="+1 (937) 566-3449"/>
    <s v="Dayton"/>
    <s v="United States"/>
    <s v="No"/>
    <s v="L-L-0.5"/>
    <s v="Liberica"/>
    <s v="Light"/>
    <n v="4"/>
    <n v="0.5"/>
    <n v="9.51"/>
    <n v="38.04"/>
    <n v="1.2363"/>
    <n v="4.9451999999999998"/>
    <n v="13"/>
  </r>
  <r>
    <s v="RFH-64349-897"/>
    <d v="2019-10-22T00:00:00"/>
    <s v="2019"/>
    <s v="October"/>
    <s v="61954-61462-RJ"/>
    <s v="Muffin Yallop"/>
    <s v="myallop3a@fema.gov"/>
    <s v="+1 (907) 267-1236"/>
    <s v="Anchorage"/>
    <s v="United States"/>
    <s v="Yes"/>
    <s v="E-D-0.5"/>
    <s v="Excelsa"/>
    <s v="Dark"/>
    <n v="3"/>
    <n v="0.5"/>
    <n v="7.29"/>
    <n v="21.87"/>
    <n v="0.80190000000000006"/>
    <n v="2.4057000000000004"/>
    <n v="11.000000000000002"/>
  </r>
  <r>
    <s v="TKL-20738-660"/>
    <d v="2021-10-02T00:00:00"/>
    <s v="2021"/>
    <s v="October"/>
    <s v="47939-53158-LS"/>
    <s v="Cordi Switsur"/>
    <s v="cswitsur3b@chronoengine.com"/>
    <s v="+1 (615) 791-3142"/>
    <s v="Nashville"/>
    <s v="United States"/>
    <s v="No"/>
    <s v="E-M-0.2"/>
    <s v="Excelsa"/>
    <s v="Medium"/>
    <n v="1"/>
    <n v="0.2"/>
    <n v="4.125"/>
    <n v="4.125"/>
    <n v="0.45374999999999999"/>
    <n v="0.45374999999999999"/>
    <n v="11"/>
  </r>
  <r>
    <s v="TKL-20738-660"/>
    <d v="2021-10-02T00:00:00"/>
    <s v="2021"/>
    <s v="October"/>
    <s v="47939-53158-LS"/>
    <s v="Cordi Switsur"/>
    <s v="cswitsur3b@chronoengine.com"/>
    <s v="+1 (615) 791-3142"/>
    <s v="Nashville"/>
    <s v="United States"/>
    <s v="No"/>
    <s v="A-L-0.2"/>
    <s v="Arabica"/>
    <s v="Light"/>
    <n v="1"/>
    <n v="0.2"/>
    <n v="3.8849999999999998"/>
    <n v="3.8849999999999998"/>
    <n v="0.34964999999999996"/>
    <n v="0.34964999999999996"/>
    <n v="9"/>
  </r>
  <r>
    <s v="TKL-20738-660"/>
    <d v="2021-10-02T00:00:00"/>
    <s v="2021"/>
    <s v="October"/>
    <s v="47939-53158-LS"/>
    <s v="Cordi Switsur"/>
    <s v="cswitsur3b@chronoengine.com"/>
    <s v="+1 (615) 791-3142"/>
    <s v="Nashville"/>
    <s v="United States"/>
    <s v="No"/>
    <s v="E-M-1"/>
    <s v="Excelsa"/>
    <s v="Medium"/>
    <n v="5"/>
    <n v="1"/>
    <n v="13.75"/>
    <n v="68.75"/>
    <n v="1.5125"/>
    <n v="7.5625"/>
    <n v="11"/>
  </r>
  <r>
    <s v="GOW-03198-575"/>
    <d v="2021-03-13T00:00:00"/>
    <s v="2021"/>
    <s v="March"/>
    <s v="61513-27752-FA"/>
    <s v="Mahala Ludwell"/>
    <s v="mludwell3e@blogger.com"/>
    <s v="+1 (303) 242-3542"/>
    <s v="Denver"/>
    <s v="United States"/>
    <s v="Yes"/>
    <s v="A-D-0.5"/>
    <s v="Arabica"/>
    <s v="Dark"/>
    <n v="4"/>
    <n v="0.5"/>
    <n v="5.97"/>
    <n v="23.88"/>
    <n v="0.5373"/>
    <n v="2.1492"/>
    <n v="9.0000000000000018"/>
  </r>
  <r>
    <s v="QJB-90477-635"/>
    <d v="2022-06-12T00:00:00"/>
    <s v="2022"/>
    <s v="June"/>
    <s v="89714-19856-WX"/>
    <s v="Doll Beauchamp"/>
    <s v="dbeauchamp3f@usda.gov"/>
    <s v="+1 (203) 189-4256"/>
    <s v="Stamford"/>
    <s v="United States"/>
    <s v="No"/>
    <s v="L-L-2.5"/>
    <s v="Liberica"/>
    <s v="Light"/>
    <n v="4"/>
    <n v="2.5"/>
    <n v="36.454999999999998"/>
    <n v="145.82"/>
    <n v="4.7391499999999995"/>
    <n v="18.956599999999998"/>
    <n v="13"/>
  </r>
  <r>
    <s v="MWP-46239-785"/>
    <d v="2019-04-27T00:00:00"/>
    <s v="2019"/>
    <s v="April"/>
    <s v="87979-56781-YV"/>
    <s v="Stanford Rodliff"/>
    <s v="srodliff3g@ted.com"/>
    <s v="+1 (757) 537-3012"/>
    <s v="Newport News"/>
    <s v="United States"/>
    <s v="Yes"/>
    <s v="L-M-0.2"/>
    <s v="Liberica"/>
    <s v="Medium"/>
    <n v="5"/>
    <n v="0.2"/>
    <n v="4.3650000000000002"/>
    <n v="21.825000000000003"/>
    <n v="0.56745000000000001"/>
    <n v="2.83725"/>
    <n v="12.999999999999998"/>
  </r>
  <r>
    <s v="QDV-03406-248"/>
    <d v="2019-05-23T00:00:00"/>
    <s v="2019"/>
    <s v="May"/>
    <s v="74126-88836-KA"/>
    <s v="Stevana Woodham"/>
    <s v="swoodham3h@businesswire.com"/>
    <s v="+353 (190) 188-4918"/>
    <s v="Drumcondra"/>
    <s v="Ireland"/>
    <s v="Yes"/>
    <s v="L-M-0.5"/>
    <s v="Liberica"/>
    <s v="Medium"/>
    <n v="3"/>
    <n v="0.5"/>
    <n v="8.73"/>
    <n v="26.19"/>
    <n v="1.1349"/>
    <n v="3.4047000000000001"/>
    <n v="13"/>
  </r>
  <r>
    <s v="GPH-40635-105"/>
    <d v="2020-07-14T00:00:00"/>
    <s v="2020"/>
    <s v="July"/>
    <s v="37397-05992-VO"/>
    <s v="Hewet Synnot"/>
    <s v="hsynnot3i@about.com"/>
    <s v="+1 (907) 245-0601"/>
    <s v="Anchorage"/>
    <s v="United States"/>
    <s v="No"/>
    <s v="A-M-1"/>
    <s v="Arabica"/>
    <s v="Medium"/>
    <n v="1"/>
    <n v="1"/>
    <n v="11.25"/>
    <n v="11.25"/>
    <n v="1.0125"/>
    <n v="1.0125"/>
    <n v="9"/>
  </r>
  <r>
    <s v="JOM-80930-071"/>
    <d v="2021-11-10T00:00:00"/>
    <s v="2021"/>
    <s v="November"/>
    <s v="54904-18397-UD"/>
    <s v="Raleigh Lepere"/>
    <s v="rlepere3j@shop-pro.jp"/>
    <s v="+353 (792) 857-4513"/>
    <s v="Beaumont"/>
    <s v="Ireland"/>
    <s v="No"/>
    <s v="L-D-1"/>
    <s v="Liberica"/>
    <s v="Dark"/>
    <n v="6"/>
    <n v="1"/>
    <n v="12.95"/>
    <n v="77.699999999999989"/>
    <n v="1.6835"/>
    <n v="10.100999999999999"/>
    <n v="13"/>
  </r>
  <r>
    <s v="OIL-26493-755"/>
    <d v="2021-08-31T00:00:00"/>
    <s v="2021"/>
    <s v="August"/>
    <s v="19017-95853-EK"/>
    <s v="Timofei Woofinden"/>
    <s v="twoofinden3k@businesswire.com"/>
    <s v="+1 (701) 503-1067"/>
    <s v="Fargo"/>
    <s v="United States"/>
    <s v="No"/>
    <s v="A-M-0.5"/>
    <s v="Arabica"/>
    <s v="Medium"/>
    <n v="1"/>
    <n v="0.5"/>
    <n v="6.75"/>
    <n v="6.75"/>
    <n v="0.60749999999999993"/>
    <n v="0.60749999999999993"/>
    <n v="8.9999999999999982"/>
  </r>
  <r>
    <s v="CYV-13426-645"/>
    <d v="2019-07-06T00:00:00"/>
    <s v="2019"/>
    <s v="July"/>
    <s v="88593-59934-VU"/>
    <s v="Evelina Dacca"/>
    <s v="edacca3l@google.pl"/>
    <s v="+1 (812) 921-5458"/>
    <s v="Evansville"/>
    <s v="United States"/>
    <s v="Yes"/>
    <s v="E-D-1"/>
    <s v="Excelsa"/>
    <s v="Dark"/>
    <n v="1"/>
    <n v="1"/>
    <n v="12.15"/>
    <n v="12.15"/>
    <n v="1.3365"/>
    <n v="1.3365"/>
    <n v="11"/>
  </r>
  <r>
    <s v="WRP-39846-614"/>
    <d v="2022-03-04T00:00:00"/>
    <s v="2022"/>
    <s v="March"/>
    <s v="47493-68564-YM"/>
    <s v="Bidget Tremellier"/>
    <s v="UNKNOWN"/>
    <s v="+353 (900) 633-2359"/>
    <s v="Cherryville"/>
    <s v="Ireland"/>
    <s v="Yes"/>
    <s v="A-L-2.5"/>
    <s v="Arabica"/>
    <s v="Light"/>
    <n v="5"/>
    <n v="2.5"/>
    <n v="29.784999999999997"/>
    <n v="148.92499999999998"/>
    <n v="2.6806499999999995"/>
    <n v="13.403249999999998"/>
    <n v="9"/>
  </r>
  <r>
    <s v="VDZ-76673-968"/>
    <d v="2020-12-31T00:00:00"/>
    <s v="2020"/>
    <s v="December"/>
    <s v="82246-82543-DW"/>
    <s v="Bobinette Hindsberg"/>
    <s v="bhindsberg3n@blogs.com"/>
    <s v="+1 (704) 888-5303"/>
    <s v="Charlotte"/>
    <s v="United States"/>
    <s v="Yes"/>
    <s v="E-D-0.5"/>
    <s v="Excelsa"/>
    <s v="Dark"/>
    <n v="2"/>
    <n v="0.5"/>
    <n v="7.29"/>
    <n v="14.58"/>
    <n v="0.80190000000000006"/>
    <n v="1.6038000000000001"/>
    <n v="11"/>
  </r>
  <r>
    <s v="VTV-03546-175"/>
    <d v="2020-07-31T00:00:00"/>
    <s v="2020"/>
    <s v="July"/>
    <s v="03384-62101-IY"/>
    <s v="Osbert Robins"/>
    <s v="orobins3o@salon.com"/>
    <s v="+1 (256) 196-8054"/>
    <s v="Huntsville"/>
    <s v="United States"/>
    <s v="Yes"/>
    <s v="A-L-2.5"/>
    <s v="Arabica"/>
    <s v="Light"/>
    <n v="5"/>
    <n v="2.5"/>
    <n v="29.784999999999997"/>
    <n v="148.92499999999998"/>
    <n v="2.6806499999999995"/>
    <n v="13.403249999999998"/>
    <n v="9"/>
  </r>
  <r>
    <s v="GHR-72274-715"/>
    <d v="2021-05-24T00:00:00"/>
    <s v="2021"/>
    <s v="May"/>
    <s v="86881-41559-OR"/>
    <s v="Othello Syseland"/>
    <s v="osyseland3p@independent.co.uk"/>
    <s v="+1 (714) 895-0210"/>
    <s v="Santa Ana"/>
    <s v="United States"/>
    <s v="No"/>
    <s v="L-D-1"/>
    <s v="Liberica"/>
    <s v="Dark"/>
    <n v="1"/>
    <n v="1"/>
    <n v="12.95"/>
    <n v="12.95"/>
    <n v="1.6835"/>
    <n v="1.6835"/>
    <n v="13"/>
  </r>
  <r>
    <s v="ZGK-97262-313"/>
    <d v="2022-07-16T00:00:00"/>
    <s v="2022"/>
    <s v="July"/>
    <s v="02536-18494-AQ"/>
    <s v="Ewell Hanby"/>
    <s v="UNKNOWN"/>
    <s v="UNKNOWN"/>
    <s v="Washington"/>
    <s v="United States"/>
    <s v="Yes"/>
    <s v="E-M-2.5"/>
    <s v="Excelsa"/>
    <s v="Medium"/>
    <n v="3"/>
    <n v="2.5"/>
    <n v="31.624999999999996"/>
    <n v="94.874999999999986"/>
    <n v="3.4787499999999998"/>
    <n v="10.436249999999999"/>
    <n v="11.000000000000002"/>
  </r>
  <r>
    <s v="ZFS-30776-804"/>
    <d v="2021-02-05T00:00:00"/>
    <s v="2021"/>
    <s v="February"/>
    <s v="58638-01029-CB"/>
    <s v="Blancha McAmish"/>
    <s v="bmcamish2e@tripadvisor.com"/>
    <s v="UNKNOWN"/>
    <s v="Oklahoma City"/>
    <s v="United States"/>
    <s v="Yes"/>
    <s v="A-L-0.5"/>
    <s v="Arabica"/>
    <s v="Light"/>
    <n v="5"/>
    <n v="0.5"/>
    <n v="7.77"/>
    <n v="38.849999999999994"/>
    <n v="0.69929999999999992"/>
    <n v="3.4964999999999997"/>
    <n v="9.0000000000000018"/>
  </r>
  <r>
    <s v="QUU-91729-492"/>
    <d v="2021-07-29T00:00:00"/>
    <s v="2021"/>
    <s v="July"/>
    <s v="90312-11148-LA"/>
    <s v="Lowell Keenleyside"/>
    <s v="lkeenleyside3s@topsy.com"/>
    <s v="+1 (636) 713-5124"/>
    <s v="Saint Louis"/>
    <s v="United States"/>
    <s v="No"/>
    <s v="A-D-0.2"/>
    <s v="Arabica"/>
    <s v="Dark"/>
    <n v="4"/>
    <n v="0.2"/>
    <n v="2.9849999999999999"/>
    <n v="11.94"/>
    <n v="0.26865"/>
    <n v="1.0746"/>
    <n v="9.0000000000000018"/>
  </r>
  <r>
    <s v="PVI-72795-960"/>
    <d v="2022-03-17T00:00:00"/>
    <s v="2022"/>
    <s v="March"/>
    <s v="68239-74809-TF"/>
    <s v="Elonore Joliffe"/>
    <s v="UNKNOWN"/>
    <s v="+353 (994) 611-5746"/>
    <s v="Bailieborough"/>
    <s v="Ireland"/>
    <s v="No"/>
    <s v="E-L-2.5"/>
    <s v="Excelsa"/>
    <s v="Light"/>
    <n v="3"/>
    <n v="2.5"/>
    <n v="34.154999999999994"/>
    <n v="102.46499999999997"/>
    <n v="3.7570499999999996"/>
    <n v="11.271149999999999"/>
    <n v="11.000000000000002"/>
  </r>
  <r>
    <s v="PPP-78935-365"/>
    <d v="2021-02-11T00:00:00"/>
    <s v="2021"/>
    <s v="February"/>
    <s v="91074-60023-IP"/>
    <s v="Abraham Coleman"/>
    <s v="UNKNOWN"/>
    <s v="+1 (808) 815-5051"/>
    <s v="Honolulu"/>
    <s v="United States"/>
    <s v="No"/>
    <s v="E-D-1"/>
    <s v="Excelsa"/>
    <s v="Dark"/>
    <n v="4"/>
    <n v="1"/>
    <n v="12.15"/>
    <n v="48.6"/>
    <n v="1.3365"/>
    <n v="5.3460000000000001"/>
    <n v="11"/>
  </r>
  <r>
    <s v="JUO-34131-517"/>
    <d v="2019-02-13T00:00:00"/>
    <s v="2019"/>
    <s v="February"/>
    <s v="07972-83748-JI"/>
    <s v="Rivy Farington"/>
    <s v="UNKNOWN"/>
    <s v="+1 (951) 638-0879"/>
    <s v="Corona"/>
    <s v="United States"/>
    <s v="Yes"/>
    <s v="L-D-1"/>
    <s v="Liberica"/>
    <s v="Dark"/>
    <n v="6"/>
    <n v="1"/>
    <n v="12.95"/>
    <n v="77.699999999999989"/>
    <n v="1.6835"/>
    <n v="10.100999999999999"/>
    <n v="13"/>
  </r>
  <r>
    <s v="ZJE-89333-489"/>
    <d v="2022-05-13T00:00:00"/>
    <s v="2022"/>
    <s v="May"/>
    <s v="08694-57330-XR"/>
    <s v="Vallie Kundt"/>
    <s v="vkundt3w@bigcartel.com"/>
    <s v="+353 (472) 791-2507"/>
    <s v="Ballivor"/>
    <s v="Ireland"/>
    <s v="Yes"/>
    <s v="L-D-2.5"/>
    <s v="Liberica"/>
    <s v="Dark"/>
    <n v="1"/>
    <n v="2.5"/>
    <n v="29.784999999999997"/>
    <n v="29.784999999999997"/>
    <n v="3.8720499999999998"/>
    <n v="3.8720499999999998"/>
    <n v="13"/>
  </r>
  <r>
    <s v="LOO-35324-159"/>
    <d v="2020-05-19T00:00:00"/>
    <s v="2020"/>
    <s v="May"/>
    <s v="68412-11126-YJ"/>
    <s v="Boyd Bett"/>
    <s v="bbett3x@google.de"/>
    <s v="+1 (202) 632-9905"/>
    <s v="Washington"/>
    <s v="United States"/>
    <s v="Yes"/>
    <s v="A-L-0.2"/>
    <s v="Arabica"/>
    <s v="Light"/>
    <n v="4"/>
    <n v="0.2"/>
    <n v="3.8849999999999998"/>
    <n v="15.54"/>
    <n v="0.34964999999999996"/>
    <n v="1.3985999999999998"/>
    <n v="9"/>
  </r>
  <r>
    <s v="JBQ-93412-846"/>
    <d v="2022-04-27T00:00:00"/>
    <s v="2022"/>
    <s v="April"/>
    <s v="69037-66822-DW"/>
    <s v="Julio Armytage"/>
    <s v="UNKNOWN"/>
    <s v="UNKNOWN"/>
    <s v="Portumna"/>
    <s v="Ireland"/>
    <s v="Yes"/>
    <s v="E-L-2.5"/>
    <s v="Excelsa"/>
    <s v="Light"/>
    <n v="4"/>
    <n v="2.5"/>
    <n v="34.154999999999994"/>
    <n v="136.61999999999998"/>
    <n v="3.7570499999999996"/>
    <n v="15.028199999999998"/>
    <n v="11"/>
  </r>
  <r>
    <s v="EHX-66333-637"/>
    <d v="2020-09-09T00:00:00"/>
    <s v="2020"/>
    <s v="September"/>
    <s v="01297-94364-XH"/>
    <s v="Deana Staite"/>
    <s v="dstaite3z@scientificamerican.com"/>
    <s v="+1 (713) 478-3937"/>
    <s v="Houston"/>
    <s v="United States"/>
    <s v="No"/>
    <s v="L-M-0.5"/>
    <s v="Liberica"/>
    <s v="Medium"/>
    <n v="2"/>
    <n v="0.5"/>
    <n v="8.73"/>
    <n v="17.46"/>
    <n v="1.1349"/>
    <n v="2.2698"/>
    <n v="13"/>
  </r>
  <r>
    <s v="WXG-25759-236"/>
    <d v="2021-03-10T00:00:00"/>
    <s v="2021"/>
    <s v="March"/>
    <s v="39919-06540-ZI"/>
    <s v="Winn Keyse"/>
    <s v="wkeyse40@apple.com"/>
    <s v="+1 (650) 947-8867"/>
    <s v="Orange"/>
    <s v="United States"/>
    <s v="Yes"/>
    <s v="E-L-2.5"/>
    <s v="Excelsa"/>
    <s v="Light"/>
    <n v="2"/>
    <n v="2.5"/>
    <n v="34.154999999999994"/>
    <n v="68.309999999999988"/>
    <n v="3.7570499999999996"/>
    <n v="7.5140999999999991"/>
    <n v="11"/>
  </r>
  <r>
    <s v="QNA-31113-984"/>
    <d v="2019-04-07T00:00:00"/>
    <s v="2019"/>
    <s v="April"/>
    <s v="60512-78550-WS"/>
    <s v="Osmund Clausen-Thue"/>
    <s v="oclausenthue41@marriott.com"/>
    <s v="+1 (915) 558-6109"/>
    <s v="El Paso"/>
    <s v="United States"/>
    <s v="No"/>
    <s v="L-M-0.2"/>
    <s v="Liberica"/>
    <s v="Medium"/>
    <n v="4"/>
    <n v="0.2"/>
    <n v="4.3650000000000002"/>
    <n v="17.46"/>
    <n v="0.56745000000000001"/>
    <n v="2.2698"/>
    <n v="13"/>
  </r>
  <r>
    <s v="ZWI-52029-159"/>
    <d v="2020-07-12T00:00:00"/>
    <s v="2020"/>
    <s v="July"/>
    <s v="40172-12000-AU"/>
    <s v="Leonore Francisco"/>
    <s v="lfrancisco42@fema.gov"/>
    <s v="+1 (775) 346-9758"/>
    <s v="Carson City"/>
    <s v="United States"/>
    <s v="No"/>
    <s v="L-M-1"/>
    <s v="Liberica"/>
    <s v="Medium"/>
    <n v="3"/>
    <n v="1"/>
    <n v="14.55"/>
    <n v="43.650000000000006"/>
    <n v="1.8915000000000002"/>
    <n v="5.6745000000000001"/>
    <n v="12.999999999999998"/>
  </r>
  <r>
    <s v="ZWI-52029-159"/>
    <d v="2020-07-12T00:00:00"/>
    <s v="2020"/>
    <s v="July"/>
    <s v="40172-12000-AU"/>
    <s v="Leonore Francisco"/>
    <s v="lfrancisco42@fema.gov"/>
    <s v="+1 (775) 346-9758"/>
    <s v="Carson City"/>
    <s v="United States"/>
    <s v="No"/>
    <s v="E-M-1"/>
    <s v="Excelsa"/>
    <s v="Medium"/>
    <n v="2"/>
    <n v="1"/>
    <n v="13.75"/>
    <n v="27.5"/>
    <n v="1.5125"/>
    <n v="3.0249999999999999"/>
    <n v="11"/>
  </r>
  <r>
    <s v="DFS-49954-707"/>
    <d v="2021-12-21T00:00:00"/>
    <s v="2021"/>
    <s v="December"/>
    <s v="39019-13649-CL"/>
    <s v="Giacobo Skingle"/>
    <s v="gskingle44@clickbank.net"/>
    <s v="+1 (801) 886-5886"/>
    <s v="Provo"/>
    <s v="United States"/>
    <s v="Yes"/>
    <s v="E-D-0.2"/>
    <s v="Excelsa"/>
    <s v="Dark"/>
    <n v="5"/>
    <n v="0.2"/>
    <n v="3.645"/>
    <n v="18.225000000000001"/>
    <n v="0.40095000000000003"/>
    <n v="2.00475"/>
    <n v="10.999999999999998"/>
  </r>
  <r>
    <s v="VYP-89830-878"/>
    <d v="2020-10-04T00:00:00"/>
    <s v="2020"/>
    <s v="October"/>
    <s v="12715-05198-QU"/>
    <s v="Gerard Pirdy"/>
    <s v="UNKNOWN"/>
    <s v="+1 (305) 345-2788"/>
    <s v="Boca Raton"/>
    <s v="United States"/>
    <s v="Yes"/>
    <s v="A-M-2.5"/>
    <s v="Arabica"/>
    <s v="Medium"/>
    <n v="2"/>
    <n v="2.5"/>
    <n v="25.874999999999996"/>
    <n v="51.749999999999993"/>
    <n v="2.3287499999999994"/>
    <n v="4.6574999999999989"/>
    <n v="9"/>
  </r>
  <r>
    <s v="AMT-40418-362"/>
    <d v="2020-08-08T00:00:00"/>
    <s v="2020"/>
    <s v="August"/>
    <s v="04513-76520-QO"/>
    <s v="Jacinthe Balsillie"/>
    <s v="jbalsillie46@princeton.edu"/>
    <s v="+1 (540) 905-2213"/>
    <s v="Roanoke"/>
    <s v="United States"/>
    <s v="Yes"/>
    <s v="L-D-1"/>
    <s v="Liberica"/>
    <s v="Dark"/>
    <n v="1"/>
    <n v="1"/>
    <n v="12.95"/>
    <n v="12.95"/>
    <n v="1.6835"/>
    <n v="1.6835"/>
    <n v="13"/>
  </r>
  <r>
    <s v="NFQ-23241-793"/>
    <d v="2020-10-11T00:00:00"/>
    <s v="2020"/>
    <s v="October"/>
    <s v="88446-59251-SQ"/>
    <s v="Quinton Fouracres"/>
    <s v="UNKNOWN"/>
    <s v="+1 (515) 508-1573"/>
    <s v="Des Moines"/>
    <s v="United States"/>
    <s v="Yes"/>
    <s v="A-M-1"/>
    <s v="Arabica"/>
    <s v="Medium"/>
    <n v="3"/>
    <n v="1"/>
    <n v="11.25"/>
    <n v="33.75"/>
    <n v="1.0125"/>
    <n v="3.0374999999999996"/>
    <n v="8.9999999999999982"/>
  </r>
  <r>
    <s v="JQK-64922-985"/>
    <d v="2021-11-10T00:00:00"/>
    <s v="2021"/>
    <s v="November"/>
    <s v="23779-10274-KN"/>
    <s v="Bettina Leffek"/>
    <s v="bleffek48@ning.com"/>
    <s v="+1 (808) 815-3474"/>
    <s v="Honolulu"/>
    <s v="United States"/>
    <s v="Yes"/>
    <s v="R-M-2.5"/>
    <s v="Robusta"/>
    <s v="Medium"/>
    <n v="3"/>
    <n v="2.5"/>
    <n v="22.884999999999998"/>
    <n v="68.655000000000001"/>
    <n v="1.3730999999999998"/>
    <n v="4.1192999999999991"/>
    <n v="5.9999999999999982"/>
  </r>
  <r>
    <s v="YET-17732-678"/>
    <d v="2021-06-20T00:00:00"/>
    <s v="2021"/>
    <s v="June"/>
    <s v="57235-92842-DK"/>
    <s v="Hetti Penson"/>
    <s v="UNKNOWN"/>
    <s v="+1 (754) 664-6126"/>
    <s v="Fort Lauderdale"/>
    <s v="United States"/>
    <s v="No"/>
    <s v="R-D-0.2"/>
    <s v="Robusta"/>
    <s v="Dark"/>
    <n v="1"/>
    <n v="0.2"/>
    <n v="2.6849999999999996"/>
    <n v="2.6849999999999996"/>
    <n v="0.16109999999999997"/>
    <n v="0.16109999999999997"/>
    <n v="6"/>
  </r>
  <r>
    <s v="NKW-24945-846"/>
    <d v="2021-10-04T00:00:00"/>
    <s v="2021"/>
    <s v="October"/>
    <s v="75977-30364-AY"/>
    <s v="Jocko Pray"/>
    <s v="jpray4a@youtube.com"/>
    <s v="+1 (215) 771-6504"/>
    <s v="Philadelphia"/>
    <s v="United States"/>
    <s v="No"/>
    <s v="A-D-2.5"/>
    <s v="Arabica"/>
    <s v="Dark"/>
    <n v="5"/>
    <n v="2.5"/>
    <n v="22.884999999999998"/>
    <n v="114.42499999999998"/>
    <n v="2.0596499999999995"/>
    <n v="10.298249999999998"/>
    <n v="9"/>
  </r>
  <r>
    <s v="VKA-82720-513"/>
    <d v="2019-06-24T00:00:00"/>
    <s v="2019"/>
    <s v="June"/>
    <s v="12299-30914-NG"/>
    <s v="Grete Holborn"/>
    <s v="gholborn4b@ow.ly"/>
    <s v="+1 (203) 577-5788"/>
    <s v="Norwalk"/>
    <s v="United States"/>
    <s v="Yes"/>
    <s v="A-M-2.5"/>
    <s v="Arabica"/>
    <s v="Medium"/>
    <n v="6"/>
    <n v="2.5"/>
    <n v="25.874999999999996"/>
    <n v="155.24999999999997"/>
    <n v="2.3287499999999994"/>
    <n v="13.972499999999997"/>
    <n v="9"/>
  </r>
  <r>
    <s v="THA-60599-417"/>
    <d v="2019-10-26T00:00:00"/>
    <s v="2019"/>
    <s v="October"/>
    <s v="59971-35626-YJ"/>
    <s v="Fielding Keinrat"/>
    <s v="fkeinrat4c@dailymail.co.uk"/>
    <s v="+1 (817) 785-7050"/>
    <s v="Arlington"/>
    <s v="United States"/>
    <s v="Yes"/>
    <s v="A-M-2.5"/>
    <s v="Arabica"/>
    <s v="Medium"/>
    <n v="3"/>
    <n v="2.5"/>
    <n v="25.874999999999996"/>
    <n v="77.624999999999986"/>
    <n v="2.3287499999999994"/>
    <n v="6.9862499999999983"/>
    <n v="9"/>
  </r>
  <r>
    <s v="MEK-39769-035"/>
    <d v="2021-06-27T00:00:00"/>
    <s v="2021"/>
    <s v="June"/>
    <s v="15380-76513-PS"/>
    <s v="Paulo Yea"/>
    <s v="pyea4d@aol.com"/>
    <s v="+353 (885) 555-9183"/>
    <s v="Ashford"/>
    <s v="Ireland"/>
    <s v="No"/>
    <s v="R-D-2.5"/>
    <s v="Robusta"/>
    <s v="Dark"/>
    <n v="3"/>
    <n v="2.5"/>
    <n v="20.584999999999997"/>
    <n v="61.754999999999995"/>
    <n v="1.2350999999999999"/>
    <n v="3.7052999999999994"/>
    <n v="5.9999999999999991"/>
  </r>
  <r>
    <s v="JAF-18294-750"/>
    <d v="2019-09-06T00:00:00"/>
    <s v="2019"/>
    <s v="September"/>
    <s v="73564-98204-EY"/>
    <s v="Say Risborough"/>
    <s v="UNKNOWN"/>
    <s v="+1 (423) 485-6650"/>
    <s v="Chattanooga"/>
    <s v="United States"/>
    <s v="Yes"/>
    <s v="R-D-2.5"/>
    <s v="Robusta"/>
    <s v="Dark"/>
    <n v="6"/>
    <n v="2.5"/>
    <n v="20.584999999999997"/>
    <n v="123.50999999999999"/>
    <n v="1.2350999999999999"/>
    <n v="7.4105999999999987"/>
    <n v="5.9999999999999991"/>
  </r>
  <r>
    <s v="TME-59627-221"/>
    <d v="2021-04-30T00:00:00"/>
    <s v="2021"/>
    <s v="April"/>
    <s v="72282-40594-RX"/>
    <s v="Alexa Sizey"/>
    <s v="UNKNOWN"/>
    <s v="+1 (503) 774-7836"/>
    <s v="Portland"/>
    <s v="United States"/>
    <s v="No"/>
    <s v="L-L-2.5"/>
    <s v="Liberica"/>
    <s v="Light"/>
    <n v="6"/>
    <n v="2.5"/>
    <n v="36.454999999999998"/>
    <n v="218.73"/>
    <n v="4.7391499999999995"/>
    <n v="28.434899999999999"/>
    <n v="13"/>
  </r>
  <r>
    <s v="UDG-65353-824"/>
    <d v="2020-01-07T00:00:00"/>
    <s v="2020"/>
    <s v="January"/>
    <s v="17514-94165-RJ"/>
    <s v="Kari Swede"/>
    <s v="kswede4g@addthis.com"/>
    <s v="+1 (405) 535-0273"/>
    <s v="Oklahoma City"/>
    <s v="United States"/>
    <s v="No"/>
    <s v="E-M-0.5"/>
    <s v="Excelsa"/>
    <s v="Medium"/>
    <n v="4"/>
    <n v="0.5"/>
    <n v="8.25"/>
    <n v="33"/>
    <n v="0.90749999999999997"/>
    <n v="3.63"/>
    <n v="11"/>
  </r>
  <r>
    <s v="ENQ-42923-176"/>
    <d v="2021-01-11T00:00:00"/>
    <s v="2021"/>
    <s v="January"/>
    <s v="56248-75861-JX"/>
    <s v="Leontine Rubrow"/>
    <s v="lrubrow4h@microsoft.com"/>
    <s v="+1 (202) 503-9022"/>
    <s v="Washington"/>
    <s v="United States"/>
    <s v="No"/>
    <s v="A-L-0.5"/>
    <s v="Arabica"/>
    <s v="Light"/>
    <n v="3"/>
    <n v="0.5"/>
    <n v="7.77"/>
    <n v="23.31"/>
    <n v="0.69929999999999992"/>
    <n v="2.0978999999999997"/>
    <n v="9"/>
  </r>
  <r>
    <s v="CBT-55781-720"/>
    <d v="2021-11-15T00:00:00"/>
    <s v="2021"/>
    <s v="November"/>
    <s v="97855-54761-IS"/>
    <s v="Dottie Tift"/>
    <s v="dtift4i@netvibes.com"/>
    <s v="+1 (336) 766-8518"/>
    <s v="Greensboro"/>
    <s v="United States"/>
    <s v="Yes"/>
    <s v="E-D-0.5"/>
    <s v="Excelsa"/>
    <s v="Dark"/>
    <n v="3"/>
    <n v="0.5"/>
    <n v="7.29"/>
    <n v="21.87"/>
    <n v="0.80190000000000006"/>
    <n v="2.4057000000000004"/>
    <n v="11.000000000000002"/>
  </r>
  <r>
    <s v="NEU-86533-016"/>
    <d v="2019-06-03T00:00:00"/>
    <s v="2019"/>
    <s v="June"/>
    <s v="96544-91644-IT"/>
    <s v="Gerardo Schonfeld"/>
    <s v="gschonfeld4j@oracle.com"/>
    <s v="+1 (571) 238-0580"/>
    <s v="Alexandria"/>
    <s v="United States"/>
    <s v="No"/>
    <s v="R-D-0.2"/>
    <s v="Robusta"/>
    <s v="Dark"/>
    <n v="6"/>
    <n v="0.2"/>
    <n v="2.6849999999999996"/>
    <n v="16.11"/>
    <n v="0.16109999999999997"/>
    <n v="0.96659999999999979"/>
    <n v="5.9999999999999991"/>
  </r>
  <r>
    <s v="BYU-58154-603"/>
    <d v="2020-12-17T00:00:00"/>
    <s v="2020"/>
    <s v="December"/>
    <s v="51971-70393-QM"/>
    <s v="Claiborne Feye"/>
    <s v="cfeye4k@google.co.jp"/>
    <s v="+353 (471) 184-7815"/>
    <s v="Castlebridge"/>
    <s v="Ireland"/>
    <s v="No"/>
    <s v="E-D-0.5"/>
    <s v="Excelsa"/>
    <s v="Dark"/>
    <n v="4"/>
    <n v="0.5"/>
    <n v="7.29"/>
    <n v="29.16"/>
    <n v="0.80190000000000006"/>
    <n v="3.2076000000000002"/>
    <n v="11"/>
  </r>
  <r>
    <s v="EHJ-05910-257"/>
    <d v="2021-02-07T00:00:00"/>
    <s v="2021"/>
    <s v="February"/>
    <s v="06812-11924-IK"/>
    <s v="Mina Elstone"/>
    <s v="UNKNOWN"/>
    <s v="+1 (262) 320-1474"/>
    <s v="Racine"/>
    <s v="United States"/>
    <s v="Yes"/>
    <s v="R-D-1"/>
    <s v="Robusta"/>
    <s v="Dark"/>
    <n v="6"/>
    <n v="1"/>
    <n v="8.9499999999999993"/>
    <n v="53.699999999999996"/>
    <n v="0.53699999999999992"/>
    <n v="3.2219999999999995"/>
    <n v="6"/>
  </r>
  <r>
    <s v="EIL-44855-309"/>
    <d v="2021-03-15T00:00:00"/>
    <s v="2021"/>
    <s v="March"/>
    <s v="59741-90220-OW"/>
    <s v="Sherman Mewrcik"/>
    <s v="UNKNOWN"/>
    <s v="+1 (305) 419-8626"/>
    <s v="Clearwater"/>
    <s v="United States"/>
    <s v="Yes"/>
    <s v="R-D-0.5"/>
    <s v="Robusta"/>
    <s v="Dark"/>
    <n v="5"/>
    <n v="0.5"/>
    <n v="5.3699999999999992"/>
    <n v="26.849999999999994"/>
    <n v="0.32219999999999993"/>
    <n v="1.6109999999999998"/>
    <n v="6.0000000000000009"/>
  </r>
  <r>
    <s v="HCA-87224-420"/>
    <d v="2022-08-04T00:00:00"/>
    <s v="2022"/>
    <s v="August"/>
    <s v="62682-27930-PD"/>
    <s v="Tamarah Fero"/>
    <s v="tfero4n@comsenz.com"/>
    <s v="+1 (262) 954-6859"/>
    <s v="Racine"/>
    <s v="United States"/>
    <s v="Yes"/>
    <s v="E-M-0.5"/>
    <s v="Excelsa"/>
    <s v="Medium"/>
    <n v="5"/>
    <n v="0.5"/>
    <n v="8.25"/>
    <n v="41.25"/>
    <n v="0.90749999999999997"/>
    <n v="4.5374999999999996"/>
    <n v="10.999999999999998"/>
  </r>
  <r>
    <s v="ABO-29054-365"/>
    <d v="2019-01-19T00:00:00"/>
    <s v="2019"/>
    <s v="January"/>
    <s v="00256-19905-YG"/>
    <s v="Stanislaus Valsler"/>
    <s v="UNKNOWN"/>
    <s v="+353 (479) 865-9222"/>
    <s v="Castlebridge"/>
    <s v="Ireland"/>
    <s v="No"/>
    <s v="A-M-0.5"/>
    <s v="Arabica"/>
    <s v="Medium"/>
    <n v="6"/>
    <n v="0.5"/>
    <n v="6.75"/>
    <n v="40.5"/>
    <n v="0.60749999999999993"/>
    <n v="3.6449999999999996"/>
    <n v="8.9999999999999982"/>
  </r>
  <r>
    <s v="TKN-58485-031"/>
    <d v="2022-03-23T00:00:00"/>
    <s v="2022"/>
    <s v="March"/>
    <s v="38890-22576-UI"/>
    <s v="Felita Dauney"/>
    <s v="fdauney4p@sphinn.com"/>
    <s v="+353 (669) 355-6726"/>
    <s v="Castlebellingham"/>
    <s v="Ireland"/>
    <s v="No"/>
    <s v="R-D-1"/>
    <s v="Robusta"/>
    <s v="Dark"/>
    <n v="2"/>
    <n v="1"/>
    <n v="8.9499999999999993"/>
    <n v="17.899999999999999"/>
    <n v="0.53699999999999992"/>
    <n v="1.0739999999999998"/>
    <n v="6"/>
  </r>
  <r>
    <s v="RCK-04069-371"/>
    <d v="2021-10-07T00:00:00"/>
    <s v="2021"/>
    <s v="October"/>
    <s v="94573-61802-PH"/>
    <s v="Serena Earley"/>
    <s v="searley4q@youku.com"/>
    <s v="UNKNOWN"/>
    <s v="Craigavon"/>
    <s v="United Kingdom"/>
    <s v="No"/>
    <s v="E-L-2.5"/>
    <s v="Excelsa"/>
    <s v="Light"/>
    <n v="2"/>
    <n v="2.5"/>
    <n v="34.154999999999994"/>
    <n v="68.309999999999988"/>
    <n v="3.7570499999999996"/>
    <n v="7.5140999999999991"/>
    <n v="11"/>
  </r>
  <r>
    <s v="IRJ-67095-738"/>
    <d v="2019-03-20T00:00:00"/>
    <s v="2019"/>
    <s v="March"/>
    <s v="86447-02699-UT"/>
    <s v="Minny Chamberlayne"/>
    <s v="mchamberlayne4r@bigcartel.com"/>
    <s v="+1 (813) 801-0026"/>
    <s v="Tampa"/>
    <s v="United States"/>
    <s v="Yes"/>
    <s v="E-M-2.5"/>
    <s v="Excelsa"/>
    <s v="Medium"/>
    <n v="2"/>
    <n v="2.5"/>
    <n v="31.624999999999996"/>
    <n v="63.249999999999993"/>
    <n v="3.4787499999999998"/>
    <n v="6.9574999999999996"/>
    <n v="11"/>
  </r>
  <r>
    <s v="VEA-31961-977"/>
    <d v="2021-12-15T00:00:00"/>
    <s v="2021"/>
    <s v="December"/>
    <s v="51432-27169-KN"/>
    <s v="Bartholemy Flaherty"/>
    <s v="bflaherty4s@moonfruit.com"/>
    <s v="UNKNOWN"/>
    <s v="Eadestown"/>
    <s v="Ireland"/>
    <s v="No"/>
    <s v="E-D-0.5"/>
    <s v="Excelsa"/>
    <s v="Dark"/>
    <n v="3"/>
    <n v="0.5"/>
    <n v="7.29"/>
    <n v="21.87"/>
    <n v="0.80190000000000006"/>
    <n v="2.4057000000000004"/>
    <n v="11.000000000000002"/>
  </r>
  <r>
    <s v="BAF-42286-205"/>
    <d v="2022-06-08T00:00:00"/>
    <s v="2022"/>
    <s v="June"/>
    <s v="43074-00987-PB"/>
    <s v="Oran Colbeck"/>
    <s v="ocolbeck4t@sina.com.cn"/>
    <s v="+1 (334) 441-4420"/>
    <s v="Montgomery"/>
    <s v="United States"/>
    <s v="No"/>
    <s v="R-M-2.5"/>
    <s v="Robusta"/>
    <s v="Medium"/>
    <n v="4"/>
    <n v="2.5"/>
    <n v="22.884999999999998"/>
    <n v="91.539999999999992"/>
    <n v="1.3730999999999998"/>
    <n v="5.4923999999999991"/>
    <n v="6"/>
  </r>
  <r>
    <s v="WOR-52762-511"/>
    <d v="2019-12-14T00:00:00"/>
    <s v="2019"/>
    <s v="December"/>
    <s v="04739-85772-QT"/>
    <s v="Elysee Sketch"/>
    <s v="UNKNOWN"/>
    <s v="+1 (775) 947-1470"/>
    <s v="Sparks"/>
    <s v="United States"/>
    <s v="Yes"/>
    <s v="E-L-2.5"/>
    <s v="Excelsa"/>
    <s v="Light"/>
    <n v="6"/>
    <n v="2.5"/>
    <n v="34.154999999999994"/>
    <n v="204.92999999999995"/>
    <n v="3.7570499999999996"/>
    <n v="22.542299999999997"/>
    <n v="11.000000000000002"/>
  </r>
  <r>
    <s v="ZWK-03995-815"/>
    <d v="2021-04-10T00:00:00"/>
    <s v="2021"/>
    <s v="April"/>
    <s v="28279-78469-YW"/>
    <s v="Ethelda Hobbing"/>
    <s v="ehobbing4v@nsw.gov.au"/>
    <s v="+1 (478) 206-7670"/>
    <s v="Macon"/>
    <s v="United States"/>
    <s v="Yes"/>
    <s v="E-M-2.5"/>
    <s v="Excelsa"/>
    <s v="Medium"/>
    <n v="2"/>
    <n v="2.5"/>
    <n v="31.624999999999996"/>
    <n v="63.249999999999993"/>
    <n v="3.4787499999999998"/>
    <n v="6.9574999999999996"/>
    <n v="11"/>
  </r>
  <r>
    <s v="CKF-43291-846"/>
    <d v="2020-03-10T00:00:00"/>
    <s v="2020"/>
    <s v="March"/>
    <s v="91829-99544-DS"/>
    <s v="Odille Thynne"/>
    <s v="othynne4w@auda.org.au"/>
    <s v="+1 (562) 132-7323"/>
    <s v="Whittier"/>
    <s v="United States"/>
    <s v="Yes"/>
    <s v="E-L-2.5"/>
    <s v="Excelsa"/>
    <s v="Light"/>
    <n v="1"/>
    <n v="2.5"/>
    <n v="34.154999999999994"/>
    <n v="34.154999999999994"/>
    <n v="3.7570499999999996"/>
    <n v="3.7570499999999996"/>
    <n v="11"/>
  </r>
  <r>
    <s v="RMW-74160-339"/>
    <d v="2020-10-16T00:00:00"/>
    <s v="2020"/>
    <s v="October"/>
    <s v="38978-59582-JP"/>
    <s v="Emlynne Heining"/>
    <s v="eheining4x@flickr.com"/>
    <s v="UNKNOWN"/>
    <s v="Johnson City"/>
    <s v="United States"/>
    <s v="Yes"/>
    <s v="R-L-2.5"/>
    <s v="Robusta"/>
    <s v="Light"/>
    <n v="4"/>
    <n v="2.5"/>
    <n v="27.484999999999996"/>
    <n v="109.93999999999998"/>
    <n v="1.6490999999999998"/>
    <n v="6.5963999999999992"/>
    <n v="6.0000000000000009"/>
  </r>
  <r>
    <s v="FMT-94584-786"/>
    <d v="2019-10-08T00:00:00"/>
    <s v="2019"/>
    <s v="October"/>
    <s v="86504-96610-BH"/>
    <s v="Katerina Melloi"/>
    <s v="kmelloi4y@imdb.com"/>
    <s v="+1 (315) 525-0805"/>
    <s v="Rochester"/>
    <s v="United States"/>
    <s v="No"/>
    <s v="A-L-1"/>
    <s v="Arabica"/>
    <s v="Light"/>
    <n v="2"/>
    <n v="1"/>
    <n v="12.95"/>
    <n v="25.9"/>
    <n v="1.1655"/>
    <n v="2.331"/>
    <n v="9"/>
  </r>
  <r>
    <s v="NWT-78222-575"/>
    <d v="2019-12-31T00:00:00"/>
    <s v="2019"/>
    <s v="December"/>
    <s v="75986-98864-EZ"/>
    <s v="Tiffany Scardafield"/>
    <s v="UNKNOWN"/>
    <s v="+353 (232) 652-5145"/>
    <s v="Portarlington"/>
    <s v="Ireland"/>
    <s v="No"/>
    <s v="A-D-0.2"/>
    <s v="Arabica"/>
    <s v="Dark"/>
    <n v="1"/>
    <n v="0.2"/>
    <n v="2.9849999999999999"/>
    <n v="2.9849999999999999"/>
    <n v="0.26865"/>
    <n v="0.26865"/>
    <n v="9.0000000000000018"/>
  </r>
  <r>
    <s v="EOI-02511-919"/>
    <d v="2020-03-20T00:00:00"/>
    <s v="2020"/>
    <s v="March"/>
    <s v="66776-88682-RG"/>
    <s v="Abrahan Mussen"/>
    <s v="amussen50@51.la"/>
    <s v="+1 (212) 630-8669"/>
    <s v="Brooklyn"/>
    <s v="United States"/>
    <s v="No"/>
    <s v="E-L-0.2"/>
    <s v="Excelsa"/>
    <s v="Light"/>
    <n v="5"/>
    <n v="0.2"/>
    <n v="4.4550000000000001"/>
    <n v="22.274999999999999"/>
    <n v="0.49004999999999999"/>
    <n v="2.45025"/>
    <n v="11.000000000000002"/>
  </r>
  <r>
    <s v="EOI-02511-919"/>
    <d v="2020-03-20T00:00:00"/>
    <s v="2020"/>
    <s v="March"/>
    <s v="66776-88682-RG"/>
    <s v="Abrahan Mussen"/>
    <s v="amussen50@51.la"/>
    <s v="+1 (212) 630-8669"/>
    <s v="Brooklyn"/>
    <s v="United States"/>
    <s v="No"/>
    <s v="A-D-0.5"/>
    <s v="Arabica"/>
    <s v="Dark"/>
    <n v="5"/>
    <n v="0.5"/>
    <n v="5.97"/>
    <n v="29.849999999999998"/>
    <n v="0.5373"/>
    <n v="2.6865000000000001"/>
    <n v="9.0000000000000018"/>
  </r>
  <r>
    <s v="UCT-03935-589"/>
    <d v="2021-03-29T00:00:00"/>
    <s v="2021"/>
    <s v="March"/>
    <s v="85851-78384-DM"/>
    <s v="Anny Mundford"/>
    <s v="amundford52@nbcnews.com"/>
    <s v="+1 (434) 738-7279"/>
    <s v="Charlottesville"/>
    <s v="United States"/>
    <s v="No"/>
    <s v="R-D-0.5"/>
    <s v="Robusta"/>
    <s v="Dark"/>
    <n v="6"/>
    <n v="0.5"/>
    <n v="5.3699999999999992"/>
    <n v="32.22"/>
    <n v="0.32219999999999993"/>
    <n v="1.9331999999999996"/>
    <n v="5.9999999999999991"/>
  </r>
  <r>
    <s v="SBI-60013-494"/>
    <d v="2021-11-12T00:00:00"/>
    <s v="2021"/>
    <s v="November"/>
    <s v="55232-81621-BX"/>
    <s v="Tory Walas"/>
    <s v="twalas53@google.ca"/>
    <s v="+1 (214) 205-7809"/>
    <s v="Garland"/>
    <s v="United States"/>
    <s v="No"/>
    <s v="E-M-0.2"/>
    <s v="Excelsa"/>
    <s v="Medium"/>
    <n v="2"/>
    <n v="0.2"/>
    <n v="4.125"/>
    <n v="8.25"/>
    <n v="0.45374999999999999"/>
    <n v="0.90749999999999997"/>
    <n v="11"/>
  </r>
  <r>
    <s v="QRA-73277-814"/>
    <d v="2021-07-20T00:00:00"/>
    <s v="2021"/>
    <s v="July"/>
    <s v="80310-92912-JA"/>
    <s v="Isa Blazewicz"/>
    <s v="iblazewicz54@thetimes.co.uk"/>
    <s v="+1 (612) 683-3450"/>
    <s v="Minneapolis"/>
    <s v="United States"/>
    <s v="No"/>
    <s v="A-L-0.5"/>
    <s v="Arabica"/>
    <s v="Light"/>
    <n v="4"/>
    <n v="0.5"/>
    <n v="7.77"/>
    <n v="31.08"/>
    <n v="0.69929999999999992"/>
    <n v="2.7971999999999997"/>
    <n v="9"/>
  </r>
  <r>
    <s v="EQE-31648-909"/>
    <d v="2019-01-18T00:00:00"/>
    <s v="2019"/>
    <s v="January"/>
    <s v="19821-05175-WZ"/>
    <s v="Angie Rizzetti"/>
    <s v="arizzetti55@naver.com"/>
    <s v="+1 (517) 237-7606"/>
    <s v="Lansing"/>
    <s v="United States"/>
    <s v="Yes"/>
    <s v="E-D-0.5"/>
    <s v="Excelsa"/>
    <s v="Dark"/>
    <n v="5"/>
    <n v="0.5"/>
    <n v="7.29"/>
    <n v="36.450000000000003"/>
    <n v="0.80190000000000006"/>
    <n v="4.0095000000000001"/>
    <n v="10.999999999999998"/>
  </r>
  <r>
    <s v="QOO-24615-950"/>
    <d v="2019-08-07T00:00:00"/>
    <s v="2019"/>
    <s v="August"/>
    <s v="01338-83217-GV"/>
    <s v="Mord Meriet"/>
    <s v="mmeriet56@noaa.gov"/>
    <s v="+1 (701) 560-2604"/>
    <s v="Grand Forks"/>
    <s v="United States"/>
    <s v="No"/>
    <s v="R-M-2.5"/>
    <s v="Robusta"/>
    <s v="Medium"/>
    <n v="3"/>
    <n v="2.5"/>
    <n v="22.884999999999998"/>
    <n v="68.655000000000001"/>
    <n v="1.3730999999999998"/>
    <n v="4.1192999999999991"/>
    <n v="5.9999999999999982"/>
  </r>
  <r>
    <s v="WDV-73864-037"/>
    <d v="2022-03-13T00:00:00"/>
    <s v="2022"/>
    <s v="March"/>
    <s v="66044-25298-TA"/>
    <s v="Lawrence Pratt"/>
    <s v="lpratt57@netvibes.com"/>
    <s v="UNKNOWN"/>
    <s v="Anchorage"/>
    <s v="United States"/>
    <s v="Yes"/>
    <s v="L-M-0.5"/>
    <s v="Liberica"/>
    <s v="Medium"/>
    <n v="5"/>
    <n v="0.5"/>
    <n v="8.73"/>
    <n v="43.650000000000006"/>
    <n v="1.1349"/>
    <n v="5.6745000000000001"/>
    <n v="12.999999999999998"/>
  </r>
  <r>
    <s v="PKR-88575-066"/>
    <d v="2022-05-17T00:00:00"/>
    <s v="2022"/>
    <s v="May"/>
    <s v="28728-47861-TZ"/>
    <s v="Astrix Kitchingham"/>
    <s v="akitchingham58@com.com"/>
    <s v="+1 (405) 645-2204"/>
    <s v="Oklahoma City"/>
    <s v="United States"/>
    <s v="Yes"/>
    <s v="E-L-0.2"/>
    <s v="Excelsa"/>
    <s v="Light"/>
    <n v="1"/>
    <n v="0.2"/>
    <n v="4.4550000000000001"/>
    <n v="4.4550000000000001"/>
    <n v="0.49004999999999999"/>
    <n v="0.49004999999999999"/>
    <n v="11"/>
  </r>
  <r>
    <s v="BWR-85735-955"/>
    <d v="2019-12-14T00:00:00"/>
    <s v="2019"/>
    <s v="December"/>
    <s v="32638-38620-AX"/>
    <s v="Burnard Bartholin"/>
    <s v="bbartholin59@xinhuanet.com"/>
    <s v="+1 (918) 720-2715"/>
    <s v="Tulsa"/>
    <s v="United States"/>
    <s v="Yes"/>
    <s v="L-M-1"/>
    <s v="Liberica"/>
    <s v="Medium"/>
    <n v="3"/>
    <n v="1"/>
    <n v="14.55"/>
    <n v="43.650000000000006"/>
    <n v="1.8915000000000002"/>
    <n v="5.6745000000000001"/>
    <n v="12.999999999999998"/>
  </r>
  <r>
    <s v="YFX-64795-136"/>
    <d v="2020-01-15T00:00:00"/>
    <s v="2020"/>
    <s v="January"/>
    <s v="83163-65741-IH"/>
    <s v="Madelene Prinn"/>
    <s v="mprinn5a@usa.gov"/>
    <s v="+1 (734) 909-6836"/>
    <s v="Detroit"/>
    <s v="United States"/>
    <s v="Yes"/>
    <s v="L-M-2.5"/>
    <s v="Liberica"/>
    <s v="Medium"/>
    <n v="1"/>
    <n v="2.5"/>
    <n v="33.464999999999996"/>
    <n v="33.464999999999996"/>
    <n v="4.3504499999999995"/>
    <n v="4.3504499999999995"/>
    <n v="13"/>
  </r>
  <r>
    <s v="DDO-71442-967"/>
    <d v="2019-04-12T00:00:00"/>
    <s v="2019"/>
    <s v="April"/>
    <s v="89422-58281-FD"/>
    <s v="Alisun Baudino"/>
    <s v="abaudino5b@netvibes.com"/>
    <s v="+1 (202) 328-7869"/>
    <s v="Washington"/>
    <s v="United States"/>
    <s v="Yes"/>
    <s v="L-D-0.2"/>
    <s v="Liberica"/>
    <s v="Dark"/>
    <n v="5"/>
    <n v="0.2"/>
    <n v="3.8849999999999998"/>
    <n v="19.424999999999997"/>
    <n v="0.50505"/>
    <n v="2.5252499999999998"/>
    <n v="13"/>
  </r>
  <r>
    <s v="ILQ-11027-588"/>
    <d v="2020-03-29T00:00:00"/>
    <s v="2020"/>
    <s v="March"/>
    <s v="76293-30918-DQ"/>
    <s v="Philipa Petrushanko"/>
    <s v="ppetrushanko5c@blinklist.com"/>
    <s v="+353 (540) 480-2145"/>
    <s v="Nenagh"/>
    <s v="Ireland"/>
    <s v="Yes"/>
    <s v="E-D-1"/>
    <s v="Excelsa"/>
    <s v="Dark"/>
    <n v="6"/>
    <n v="1"/>
    <n v="12.15"/>
    <n v="72.900000000000006"/>
    <n v="1.3365"/>
    <n v="8.0190000000000001"/>
    <n v="10.999999999999998"/>
  </r>
  <r>
    <s v="KRZ-13868-122"/>
    <d v="2022-03-24T00:00:00"/>
    <s v="2022"/>
    <s v="March"/>
    <s v="86779-84838-EJ"/>
    <s v="Kimberli Mustchin"/>
    <s v="UNKNOWN"/>
    <s v="+1 (602) 411-5038"/>
    <s v="Mesa"/>
    <s v="United States"/>
    <s v="No"/>
    <s v="E-L-1"/>
    <s v="Excelsa"/>
    <s v="Light"/>
    <n v="3"/>
    <n v="1"/>
    <n v="14.85"/>
    <n v="44.55"/>
    <n v="1.6335"/>
    <n v="4.9005000000000001"/>
    <n v="11.000000000000002"/>
  </r>
  <r>
    <s v="VRM-93594-914"/>
    <d v="2021-07-21T00:00:00"/>
    <s v="2021"/>
    <s v="July"/>
    <s v="66806-41795-MX"/>
    <s v="Emlynne Laird"/>
    <s v="elaird5e@bing.com"/>
    <s v="+1 (330) 112-0053"/>
    <s v="Warren"/>
    <s v="United States"/>
    <s v="No"/>
    <s v="E-D-0.5"/>
    <s v="Excelsa"/>
    <s v="Dark"/>
    <n v="5"/>
    <n v="0.5"/>
    <n v="7.29"/>
    <n v="36.450000000000003"/>
    <n v="0.80190000000000006"/>
    <n v="4.0095000000000001"/>
    <n v="10.999999999999998"/>
  </r>
  <r>
    <s v="HXL-22497-359"/>
    <d v="2019-08-06T00:00:00"/>
    <s v="2019"/>
    <s v="August"/>
    <s v="64875-71224-UI"/>
    <s v="Marlena Howsden"/>
    <s v="mhowsden5f@infoseek.co.jp"/>
    <s v="+1 (901) 806-9640"/>
    <s v="Memphis"/>
    <s v="United States"/>
    <s v="No"/>
    <s v="A-L-1"/>
    <s v="Arabica"/>
    <s v="Light"/>
    <n v="3"/>
    <n v="1"/>
    <n v="12.95"/>
    <n v="38.849999999999994"/>
    <n v="1.1655"/>
    <n v="3.4965000000000002"/>
    <n v="9.0000000000000018"/>
  </r>
  <r>
    <s v="NOP-21394-646"/>
    <d v="2021-05-23T00:00:00"/>
    <s v="2021"/>
    <s v="May"/>
    <s v="16982-35708-BZ"/>
    <s v="Nealson Cuttler"/>
    <s v="ncuttler5g@parallels.com"/>
    <s v="UNKNOWN"/>
    <s v="Washington"/>
    <s v="United States"/>
    <s v="No"/>
    <s v="E-L-0.5"/>
    <s v="Excelsa"/>
    <s v="Light"/>
    <n v="6"/>
    <n v="0.5"/>
    <n v="8.91"/>
    <n v="53.46"/>
    <n v="0.98009999999999997"/>
    <n v="5.8805999999999994"/>
    <n v="10.999999999999998"/>
  </r>
  <r>
    <s v="NOP-21394-646"/>
    <d v="2021-05-23T00:00:00"/>
    <s v="2021"/>
    <s v="May"/>
    <s v="16982-35708-BZ"/>
    <s v="Nealson Cuttler"/>
    <s v="ncuttler5g@parallels.com"/>
    <s v="UNKNOWN"/>
    <s v="Washington"/>
    <s v="United States"/>
    <s v="No"/>
    <s v="L-D-2.5"/>
    <s v="Liberica"/>
    <s v="Dark"/>
    <n v="2"/>
    <n v="2.5"/>
    <n v="29.784999999999997"/>
    <n v="59.569999999999993"/>
    <n v="3.8720499999999998"/>
    <n v="7.7440999999999995"/>
    <n v="13"/>
  </r>
  <r>
    <s v="NOP-21394-646"/>
    <d v="2021-05-23T00:00:00"/>
    <s v="2021"/>
    <s v="May"/>
    <s v="16982-35708-BZ"/>
    <s v="Nealson Cuttler"/>
    <s v="ncuttler5g@parallels.com"/>
    <s v="UNKNOWN"/>
    <s v="Washington"/>
    <s v="United States"/>
    <s v="No"/>
    <s v="L-D-2.5"/>
    <s v="Liberica"/>
    <s v="Dark"/>
    <n v="3"/>
    <n v="2.5"/>
    <n v="29.784999999999997"/>
    <n v="89.35499999999999"/>
    <n v="3.8720499999999998"/>
    <n v="11.616149999999999"/>
    <n v="13"/>
  </r>
  <r>
    <s v="NOP-21394-646"/>
    <d v="2021-05-23T00:00:00"/>
    <s v="2021"/>
    <s v="May"/>
    <s v="16982-35708-BZ"/>
    <s v="Nealson Cuttler"/>
    <s v="ncuttler5g@parallels.com"/>
    <s v="UNKNOWN"/>
    <s v="Washington"/>
    <s v="United States"/>
    <s v="No"/>
    <s v="L-L-0.5"/>
    <s v="Liberica"/>
    <s v="Light"/>
    <n v="4"/>
    <n v="0.5"/>
    <n v="9.51"/>
    <n v="38.04"/>
    <n v="1.2363"/>
    <n v="4.9451999999999998"/>
    <n v="13"/>
  </r>
  <r>
    <s v="NOP-21394-646"/>
    <d v="2021-05-23T00:00:00"/>
    <s v="2021"/>
    <s v="May"/>
    <s v="16982-35708-BZ"/>
    <s v="Nealson Cuttler"/>
    <s v="ncuttler5g@parallels.com"/>
    <s v="UNKNOWN"/>
    <s v="Washington"/>
    <s v="United States"/>
    <s v="No"/>
    <s v="E-M-1"/>
    <s v="Excelsa"/>
    <s v="Medium"/>
    <n v="3"/>
    <n v="1"/>
    <n v="13.75"/>
    <n v="41.25"/>
    <n v="1.5125"/>
    <n v="4.5374999999999996"/>
    <n v="10.999999999999998"/>
  </r>
  <r>
    <s v="FTV-77095-168"/>
    <d v="2021-04-08T00:00:00"/>
    <s v="2021"/>
    <s v="April"/>
    <s v="66708-26678-QK"/>
    <s v="Adriana Lazarus"/>
    <s v="UNKNOWN"/>
    <s v="+1 (801) 581-0444"/>
    <s v="Ogden"/>
    <s v="United States"/>
    <s v="No"/>
    <s v="L-L-0.5"/>
    <s v="Liberica"/>
    <s v="Light"/>
    <n v="6"/>
    <n v="0.5"/>
    <n v="9.51"/>
    <n v="57.06"/>
    <n v="1.2363"/>
    <n v="7.4177999999999997"/>
    <n v="12.999999999999998"/>
  </r>
  <r>
    <s v="BOR-02906-411"/>
    <d v="2021-10-17T00:00:00"/>
    <s v="2021"/>
    <s v="October"/>
    <s v="08743-09057-OO"/>
    <s v="Tallie felip"/>
    <s v="tfelip5m@typepad.com"/>
    <s v="+1 (518) 651-0940"/>
    <s v="Albany"/>
    <s v="United States"/>
    <s v="Yes"/>
    <s v="L-D-2.5"/>
    <s v="Liberica"/>
    <s v="Dark"/>
    <n v="6"/>
    <n v="2.5"/>
    <n v="29.784999999999997"/>
    <n v="178.70999999999998"/>
    <n v="3.8720499999999998"/>
    <n v="23.232299999999999"/>
    <n v="13"/>
  </r>
  <r>
    <s v="WMP-68847-770"/>
    <d v="2022-02-16T00:00:00"/>
    <s v="2022"/>
    <s v="February"/>
    <s v="37490-01572-JW"/>
    <s v="Vanna Le - Count"/>
    <s v="vle5n@disqus.com"/>
    <s v="+1 (864) 694-6658"/>
    <s v="Spartanburg"/>
    <s v="United States"/>
    <s v="No"/>
    <s v="L-L-0.2"/>
    <s v="Liberica"/>
    <s v="Light"/>
    <n v="1"/>
    <n v="0.2"/>
    <n v="4.7549999999999999"/>
    <n v="4.7549999999999999"/>
    <n v="0.61814999999999998"/>
    <n v="0.61814999999999998"/>
    <n v="13"/>
  </r>
  <r>
    <s v="TMO-22785-872"/>
    <d v="2020-07-15T00:00:00"/>
    <s v="2020"/>
    <s v="July"/>
    <s v="01811-60350-CU"/>
    <s v="Sarette Ducarel"/>
    <s v="UNKNOWN"/>
    <s v="+1 (914) 915-4328"/>
    <s v="Staten Island"/>
    <s v="United States"/>
    <s v="No"/>
    <s v="E-M-1"/>
    <s v="Excelsa"/>
    <s v="Medium"/>
    <n v="6"/>
    <n v="1"/>
    <n v="13.75"/>
    <n v="82.5"/>
    <n v="1.5125"/>
    <n v="9.0749999999999993"/>
    <n v="10.999999999999998"/>
  </r>
  <r>
    <s v="TJG-73587-353"/>
    <d v="2020-02-22T00:00:00"/>
    <s v="2020"/>
    <s v="February"/>
    <s v="24766-58139-GT"/>
    <s v="Kendra Glison"/>
    <s v="UNKNOWN"/>
    <s v="+1 (202) 137-6867"/>
    <s v="Washington"/>
    <s v="United States"/>
    <s v="Yes"/>
    <s v="R-D-0.2"/>
    <s v="Robusta"/>
    <s v="Dark"/>
    <n v="3"/>
    <n v="0.2"/>
    <n v="2.6849999999999996"/>
    <n v="8.0549999999999997"/>
    <n v="0.16109999999999997"/>
    <n v="0.4832999999999999"/>
    <n v="5.9999999999999991"/>
  </r>
  <r>
    <s v="OOU-61343-455"/>
    <d v="2021-01-15T00:00:00"/>
    <s v="2021"/>
    <s v="January"/>
    <s v="90123-70970-NY"/>
    <s v="Nertie Poolman"/>
    <s v="npoolman5q@howstuffworks.com"/>
    <s v="UNKNOWN"/>
    <s v="Charlotte"/>
    <s v="United States"/>
    <s v="No"/>
    <s v="A-M-1"/>
    <s v="Arabica"/>
    <s v="Medium"/>
    <n v="2"/>
    <n v="1"/>
    <n v="11.25"/>
    <n v="22.5"/>
    <n v="1.0125"/>
    <n v="2.0249999999999999"/>
    <n v="9"/>
  </r>
  <r>
    <s v="RMA-08327-369"/>
    <d v="2021-01-11T00:00:00"/>
    <s v="2021"/>
    <s v="January"/>
    <s v="93809-05424-MG"/>
    <s v="Orbadiah Duny"/>
    <s v="oduny5r@constantcontact.com"/>
    <s v="+1 (806) 181-9003"/>
    <s v="Lubbock"/>
    <s v="United States"/>
    <s v="Yes"/>
    <s v="A-M-0.5"/>
    <s v="Arabica"/>
    <s v="Medium"/>
    <n v="6"/>
    <n v="0.5"/>
    <n v="6.75"/>
    <n v="40.5"/>
    <n v="0.60749999999999993"/>
    <n v="3.6449999999999996"/>
    <n v="8.9999999999999982"/>
  </r>
  <r>
    <s v="SFB-97929-779"/>
    <d v="2022-04-08T00:00:00"/>
    <s v="2022"/>
    <s v="April"/>
    <s v="85425-33494-HQ"/>
    <s v="Constance Halfhide"/>
    <s v="chalfhide5s@google.ru"/>
    <s v="+353 (885) 827-8865"/>
    <s v="Fermoy"/>
    <s v="Ireland"/>
    <s v="Yes"/>
    <s v="E-D-0.5"/>
    <s v="Excelsa"/>
    <s v="Dark"/>
    <n v="4"/>
    <n v="0.5"/>
    <n v="7.29"/>
    <n v="29.16"/>
    <n v="0.80190000000000006"/>
    <n v="3.2076000000000002"/>
    <n v="11"/>
  </r>
  <r>
    <s v="AUP-10128-606"/>
    <d v="2020-10-01T00:00:00"/>
    <s v="2020"/>
    <s v="October"/>
    <s v="54387-64897-XC"/>
    <s v="Fransisco Malecky"/>
    <s v="fmalecky5t@list-manage.com"/>
    <s v="+44 (738) 660-4264"/>
    <s v="Whitwell"/>
    <s v="United Kingdom"/>
    <s v="No"/>
    <s v="A-M-0.5"/>
    <s v="Arabica"/>
    <s v="Medium"/>
    <n v="1"/>
    <n v="0.5"/>
    <n v="6.75"/>
    <n v="6.75"/>
    <n v="0.60749999999999993"/>
    <n v="0.60749999999999993"/>
    <n v="8.9999999999999982"/>
  </r>
  <r>
    <s v="YTW-40242-005"/>
    <d v="2019-10-28T00:00:00"/>
    <s v="2019"/>
    <s v="October"/>
    <s v="01035-70465-UO"/>
    <s v="Anselma Attwater"/>
    <s v="aattwater5u@wikia.com"/>
    <s v="+1 (434) 821-8618"/>
    <s v="Charlottesville"/>
    <s v="United States"/>
    <s v="Yes"/>
    <s v="L-D-1"/>
    <s v="Liberica"/>
    <s v="Dark"/>
    <n v="4"/>
    <n v="1"/>
    <n v="12.95"/>
    <n v="51.8"/>
    <n v="1.6835"/>
    <n v="6.734"/>
    <n v="13"/>
  </r>
  <r>
    <s v="PRP-53390-819"/>
    <d v="2021-03-28T00:00:00"/>
    <s v="2021"/>
    <s v="March"/>
    <s v="84260-39432-ML"/>
    <s v="Minette Whellans"/>
    <s v="mwhellans5v@mapquest.com"/>
    <s v="UNKNOWN"/>
    <s v="New York City"/>
    <s v="United States"/>
    <s v="No"/>
    <s v="E-L-0.5"/>
    <s v="Excelsa"/>
    <s v="Light"/>
    <n v="6"/>
    <n v="0.5"/>
    <n v="8.91"/>
    <n v="53.46"/>
    <n v="0.98009999999999997"/>
    <n v="5.8805999999999994"/>
    <n v="10.999999999999998"/>
  </r>
  <r>
    <s v="GSJ-01065-125"/>
    <d v="2020-03-31T00:00:00"/>
    <s v="2020"/>
    <s v="March"/>
    <s v="69779-40609-RS"/>
    <s v="Dael Camilletti"/>
    <s v="dcamilletti5w@businesswire.com"/>
    <s v="+1 (540) 722-6065"/>
    <s v="Roanoke"/>
    <s v="United States"/>
    <s v="Yes"/>
    <s v="E-D-0.2"/>
    <s v="Excelsa"/>
    <s v="Dark"/>
    <n v="4"/>
    <n v="0.2"/>
    <n v="3.645"/>
    <n v="14.58"/>
    <n v="0.40095000000000003"/>
    <n v="1.6038000000000001"/>
    <n v="11"/>
  </r>
  <r>
    <s v="YQU-65147-580"/>
    <d v="2022-03-26T00:00:00"/>
    <s v="2022"/>
    <s v="March"/>
    <s v="80247-70000-HT"/>
    <s v="Emiline Galgey"/>
    <s v="egalgey5x@wufoo.com"/>
    <s v="+1 (718) 311-6732"/>
    <s v="New York City"/>
    <s v="United States"/>
    <s v="No"/>
    <s v="R-D-2.5"/>
    <s v="Robusta"/>
    <s v="Dark"/>
    <n v="1"/>
    <n v="2.5"/>
    <n v="20.584999999999997"/>
    <n v="20.584999999999997"/>
    <n v="1.2350999999999999"/>
    <n v="1.2350999999999999"/>
    <n v="6.0000000000000009"/>
  </r>
  <r>
    <s v="QPM-95832-683"/>
    <d v="2019-11-06T00:00:00"/>
    <s v="2019"/>
    <s v="November"/>
    <s v="35058-04550-VC"/>
    <s v="Murdock Hame"/>
    <s v="mhame5y@newsvine.com"/>
    <s v="+353 (649) 297-0884"/>
    <s v="Balally"/>
    <s v="Ireland"/>
    <s v="No"/>
    <s v="L-L-1"/>
    <s v="Liberica"/>
    <s v="Light"/>
    <n v="2"/>
    <n v="1"/>
    <n v="15.85"/>
    <n v="31.7"/>
    <n v="2.0605000000000002"/>
    <n v="4.1210000000000004"/>
    <n v="13"/>
  </r>
  <r>
    <s v="BNQ-88920-567"/>
    <d v="2019-12-30T00:00:00"/>
    <s v="2019"/>
    <s v="December"/>
    <s v="27226-53717-SY"/>
    <s v="Ilka Gurnee"/>
    <s v="igurnee5z@usnews.com"/>
    <s v="+1 (801) 642-0352"/>
    <s v="Salt Lake City"/>
    <s v="United States"/>
    <s v="No"/>
    <s v="L-D-0.2"/>
    <s v="Liberica"/>
    <s v="Dark"/>
    <n v="6"/>
    <n v="0.2"/>
    <n v="3.8849999999999998"/>
    <n v="23.31"/>
    <n v="0.50505"/>
    <n v="3.0303"/>
    <n v="13"/>
  </r>
  <r>
    <s v="PUX-47906-110"/>
    <d v="2021-10-01T00:00:00"/>
    <s v="2021"/>
    <s v="October"/>
    <s v="02002-98725-CH"/>
    <s v="Alfy Snowding"/>
    <s v="asnowding60@comsenz.com"/>
    <s v="+1 (419) 996-2492"/>
    <s v="Toledo"/>
    <s v="United States"/>
    <s v="Yes"/>
    <s v="L-M-1"/>
    <s v="Liberica"/>
    <s v="Medium"/>
    <n v="4"/>
    <n v="1"/>
    <n v="14.55"/>
    <n v="58.2"/>
    <n v="1.8915000000000002"/>
    <n v="7.5660000000000007"/>
    <n v="13"/>
  </r>
  <r>
    <s v="COL-72079-610"/>
    <d v="2020-12-09T00:00:00"/>
    <s v="2020"/>
    <s v="December"/>
    <s v="38487-01549-MV"/>
    <s v="Godfry Poinsett"/>
    <s v="gpoinsett61@berkeley.edu"/>
    <s v="+1 (626) 451-7397"/>
    <s v="Pasadena"/>
    <s v="United States"/>
    <s v="No"/>
    <s v="E-L-0.5"/>
    <s v="Excelsa"/>
    <s v="Light"/>
    <n v="4"/>
    <n v="0.5"/>
    <n v="8.91"/>
    <n v="35.64"/>
    <n v="0.98009999999999997"/>
    <n v="3.9203999999999999"/>
    <n v="11"/>
  </r>
  <r>
    <s v="LBC-45686-819"/>
    <d v="2021-05-01T00:00:00"/>
    <s v="2021"/>
    <s v="May"/>
    <s v="98573-41811-EQ"/>
    <s v="Rem Furman"/>
    <s v="rfurman62@t.co"/>
    <s v="+353 (829) 808-4788"/>
    <s v="Kinsale"/>
    <s v="Ireland"/>
    <s v="Yes"/>
    <s v="A-M-1"/>
    <s v="Arabica"/>
    <s v="Medium"/>
    <n v="5"/>
    <n v="1"/>
    <n v="11.25"/>
    <n v="56.25"/>
    <n v="1.0125"/>
    <n v="5.0625"/>
    <n v="9"/>
  </r>
  <r>
    <s v="BLQ-03709-265"/>
    <d v="2022-08-04T00:00:00"/>
    <s v="2022"/>
    <s v="August"/>
    <s v="72463-75685-MV"/>
    <s v="Charis Crosier"/>
    <s v="ccrosier63@xrea.com"/>
    <s v="+1 (816) 578-2743"/>
    <s v="Lees Summit"/>
    <s v="United States"/>
    <s v="No"/>
    <s v="R-L-0.2"/>
    <s v="Robusta"/>
    <s v="Light"/>
    <n v="3"/>
    <n v="0.2"/>
    <n v="3.5849999999999995"/>
    <n v="10.754999999999999"/>
    <n v="0.21509999999999996"/>
    <n v="0.64529999999999987"/>
    <n v="5.9999999999999991"/>
  </r>
  <r>
    <s v="BLQ-03709-265"/>
    <d v="2022-08-04T00:00:00"/>
    <s v="2022"/>
    <s v="August"/>
    <s v="72463-75685-MV"/>
    <s v="Charis Crosier"/>
    <s v="ccrosier63@xrea.com"/>
    <s v="+1 (816) 578-2743"/>
    <s v="Lees Summit"/>
    <s v="United States"/>
    <s v="No"/>
    <s v="R-M-0.2"/>
    <s v="Robusta"/>
    <s v="Medium"/>
    <n v="5"/>
    <n v="0.2"/>
    <n v="2.9849999999999999"/>
    <n v="14.924999999999999"/>
    <n v="0.17909999999999998"/>
    <n v="0.89549999999999996"/>
    <n v="6.0000000000000009"/>
  </r>
  <r>
    <s v="VFZ-91673-181"/>
    <d v="2021-11-13T00:00:00"/>
    <s v="2021"/>
    <s v="November"/>
    <s v="10225-91535-AI"/>
    <s v="Lenka Rushmer"/>
    <s v="lrushmer65@europa.eu"/>
    <s v="+1 (949) 869-7598"/>
    <s v="Irvine"/>
    <s v="United States"/>
    <s v="Yes"/>
    <s v="A-L-1"/>
    <s v="Arabica"/>
    <s v="Light"/>
    <n v="6"/>
    <n v="1"/>
    <n v="12.95"/>
    <n v="77.699999999999989"/>
    <n v="1.1655"/>
    <n v="6.9930000000000003"/>
    <n v="9.0000000000000018"/>
  </r>
  <r>
    <s v="WKD-81956-870"/>
    <d v="2020-09-16T00:00:00"/>
    <s v="2020"/>
    <s v="September"/>
    <s v="48090-06534-HI"/>
    <s v="Waneta Edinborough"/>
    <s v="wedinborough66@github.io"/>
    <s v="+1 (516) 445-4950"/>
    <s v="Hicksville"/>
    <s v="United States"/>
    <s v="No"/>
    <s v="L-D-0.5"/>
    <s v="Liberica"/>
    <s v="Dark"/>
    <n v="3"/>
    <n v="0.5"/>
    <n v="7.77"/>
    <n v="23.31"/>
    <n v="1.0101"/>
    <n v="3.0303"/>
    <n v="13"/>
  </r>
  <r>
    <s v="TNI-91067-006"/>
    <d v="2020-10-05T00:00:00"/>
    <s v="2020"/>
    <s v="October"/>
    <s v="80444-58185-FX"/>
    <s v="Bobbe Piggott"/>
    <s v="UNKNOWN"/>
    <s v="+1 (202) 650-1803"/>
    <s v="Washington"/>
    <s v="United States"/>
    <s v="Yes"/>
    <s v="E-L-1"/>
    <s v="Excelsa"/>
    <s v="Light"/>
    <n v="4"/>
    <n v="1"/>
    <n v="14.85"/>
    <n v="59.4"/>
    <n v="1.6335"/>
    <n v="6.5339999999999998"/>
    <n v="11"/>
  </r>
  <r>
    <s v="IZA-61469-812"/>
    <d v="2020-01-06T00:00:00"/>
    <s v="2020"/>
    <s v="January"/>
    <s v="13561-92774-WP"/>
    <s v="Ketty Bromehead"/>
    <s v="kbromehead68@un.org"/>
    <s v="+1 (646) 586-9964"/>
    <s v="New York City"/>
    <s v="United States"/>
    <s v="Yes"/>
    <s v="L-D-2.5"/>
    <s v="Liberica"/>
    <s v="Dark"/>
    <n v="4"/>
    <n v="2.5"/>
    <n v="29.784999999999997"/>
    <n v="119.13999999999999"/>
    <n v="3.8720499999999998"/>
    <n v="15.488199999999999"/>
    <n v="13"/>
  </r>
  <r>
    <s v="PSS-22466-862"/>
    <d v="2021-05-21T00:00:00"/>
    <s v="2021"/>
    <s v="May"/>
    <s v="11550-78378-GE"/>
    <s v="Elsbeth Westerman"/>
    <s v="ewesterman69@si.edu"/>
    <s v="+353 (343) 455-4020"/>
    <s v="Newmarket on Fergus"/>
    <s v="Ireland"/>
    <s v="No"/>
    <s v="R-L-0.2"/>
    <s v="Robusta"/>
    <s v="Light"/>
    <n v="4"/>
    <n v="0.2"/>
    <n v="3.5849999999999995"/>
    <n v="14.339999999999998"/>
    <n v="0.21509999999999996"/>
    <n v="0.86039999999999983"/>
    <n v="6"/>
  </r>
  <r>
    <s v="REH-56504-397"/>
    <d v="2020-02-26T00:00:00"/>
    <s v="2020"/>
    <s v="February"/>
    <s v="90961-35603-RP"/>
    <s v="Anabelle Hutchens"/>
    <s v="ahutchens6a@amazonaws.com"/>
    <s v="+1 (913) 108-5997"/>
    <s v="Shawnee Mission"/>
    <s v="United States"/>
    <s v="No"/>
    <s v="A-M-2.5"/>
    <s v="Arabica"/>
    <s v="Medium"/>
    <n v="5"/>
    <n v="2.5"/>
    <n v="25.874999999999996"/>
    <n v="129.37499999999997"/>
    <n v="2.3287499999999994"/>
    <n v="11.643749999999997"/>
    <n v="9"/>
  </r>
  <r>
    <s v="ALA-62598-016"/>
    <d v="2020-02-19T00:00:00"/>
    <s v="2020"/>
    <s v="February"/>
    <s v="57145-03803-ZL"/>
    <s v="Noak Wyvill"/>
    <s v="nwyvill6b@naver.com"/>
    <s v="+44 (872) 383-2829"/>
    <s v="Edinburgh"/>
    <s v="United Kingdom"/>
    <s v="Yes"/>
    <s v="R-D-0.2"/>
    <s v="Robusta"/>
    <s v="Dark"/>
    <n v="6"/>
    <n v="0.2"/>
    <n v="2.6849999999999996"/>
    <n v="16.11"/>
    <n v="0.16109999999999997"/>
    <n v="0.96659999999999979"/>
    <n v="5.9999999999999991"/>
  </r>
  <r>
    <s v="EYE-70374-835"/>
    <d v="2021-06-29T00:00:00"/>
    <s v="2021"/>
    <s v="June"/>
    <s v="89115-11966-VF"/>
    <s v="Beltran Mathon"/>
    <s v="bmathon6c@barnesandnoble.com"/>
    <s v="+1 (916) 915-5069"/>
    <s v="Sacramento"/>
    <s v="United States"/>
    <s v="No"/>
    <s v="R-L-0.2"/>
    <s v="Robusta"/>
    <s v="Light"/>
    <n v="5"/>
    <n v="0.2"/>
    <n v="3.5849999999999995"/>
    <n v="17.924999999999997"/>
    <n v="0.21509999999999996"/>
    <n v="1.0754999999999999"/>
    <n v="6.0000000000000009"/>
  </r>
  <r>
    <s v="CCZ-19589-212"/>
    <d v="2021-03-27T00:00:00"/>
    <s v="2021"/>
    <s v="March"/>
    <s v="05754-41702-FG"/>
    <s v="Kristos Streight"/>
    <s v="kstreight6d@about.com"/>
    <s v="+1 (570) 873-3891"/>
    <s v="Wilkes Barre"/>
    <s v="United States"/>
    <s v="No"/>
    <s v="L-M-0.2"/>
    <s v="Liberica"/>
    <s v="Medium"/>
    <n v="2"/>
    <n v="0.2"/>
    <n v="4.3650000000000002"/>
    <n v="8.73"/>
    <n v="0.56745000000000001"/>
    <n v="1.1349"/>
    <n v="13"/>
  </r>
  <r>
    <s v="BPT-83989-157"/>
    <d v="2021-10-27T00:00:00"/>
    <s v="2021"/>
    <s v="October"/>
    <s v="84269-49816-ML"/>
    <s v="Portie Cutchie"/>
    <s v="pcutchie6e@globo.com"/>
    <s v="+1 (336) 679-7755"/>
    <s v="Greensboro"/>
    <s v="United States"/>
    <s v="No"/>
    <s v="A-M-2.5"/>
    <s v="Arabica"/>
    <s v="Medium"/>
    <n v="2"/>
    <n v="2.5"/>
    <n v="25.874999999999996"/>
    <n v="51.749999999999993"/>
    <n v="2.3287499999999994"/>
    <n v="4.6574999999999989"/>
    <n v="9"/>
  </r>
  <r>
    <s v="YFH-87456-208"/>
    <d v="2019-06-12T00:00:00"/>
    <s v="2019"/>
    <s v="June"/>
    <s v="23600-98432-ME"/>
    <s v="Sinclare Edsell"/>
    <s v="UNKNOWN"/>
    <s v="+1 (302) 746-8950"/>
    <s v="Newark"/>
    <s v="United States"/>
    <s v="Yes"/>
    <s v="L-M-0.2"/>
    <s v="Liberica"/>
    <s v="Medium"/>
    <n v="2"/>
    <n v="0.2"/>
    <n v="4.3650000000000002"/>
    <n v="8.73"/>
    <n v="0.56745000000000001"/>
    <n v="1.1349"/>
    <n v="13"/>
  </r>
  <r>
    <s v="JLN-14700-924"/>
    <d v="2020-06-28T00:00:00"/>
    <s v="2020"/>
    <s v="June"/>
    <s v="79058-02767-CP"/>
    <s v="Conny Gheraldi"/>
    <s v="cgheraldi6g@opera.com"/>
    <s v="+44 (494) 875-2364"/>
    <s v="Kinloch"/>
    <s v="United Kingdom"/>
    <s v="No"/>
    <s v="L-L-0.2"/>
    <s v="Liberica"/>
    <s v="Light"/>
    <n v="5"/>
    <n v="0.2"/>
    <n v="4.7549999999999999"/>
    <n v="23.774999999999999"/>
    <n v="0.61814999999999998"/>
    <n v="3.0907499999999999"/>
    <n v="13"/>
  </r>
  <r>
    <s v="JVW-22582-137"/>
    <d v="2021-03-23T00:00:00"/>
    <s v="2021"/>
    <s v="March"/>
    <s v="89208-74646-UK"/>
    <s v="Beryle Kenwell"/>
    <s v="bkenwell6h@over-blog.com"/>
    <s v="+1 (808) 836-6023"/>
    <s v="Honolulu"/>
    <s v="United States"/>
    <s v="No"/>
    <s v="E-M-0.2"/>
    <s v="Excelsa"/>
    <s v="Medium"/>
    <n v="5"/>
    <n v="0.2"/>
    <n v="4.125"/>
    <n v="20.625"/>
    <n v="0.45374999999999999"/>
    <n v="2.2687499999999998"/>
    <n v="10.999999999999998"/>
  </r>
  <r>
    <s v="LAA-41879-001"/>
    <d v="2022-02-10T00:00:00"/>
    <s v="2022"/>
    <s v="February"/>
    <s v="11408-81032-UR"/>
    <s v="Tomas Sutty"/>
    <s v="tsutty6i@google.es"/>
    <s v="+1 (212) 586-1957"/>
    <s v="New York City"/>
    <s v="United States"/>
    <s v="No"/>
    <s v="L-L-2.5"/>
    <s v="Liberica"/>
    <s v="Light"/>
    <n v="1"/>
    <n v="2.5"/>
    <n v="36.454999999999998"/>
    <n v="36.454999999999998"/>
    <n v="4.7391499999999995"/>
    <n v="4.7391499999999995"/>
    <n v="13"/>
  </r>
  <r>
    <s v="BRV-64870-915"/>
    <d v="2019-04-16T00:00:00"/>
    <s v="2019"/>
    <s v="April"/>
    <s v="32070-55528-UG"/>
    <s v="Samuele Ales0"/>
    <s v="UNKNOWN"/>
    <s v="UNKNOWN"/>
    <s v="Ballinroad"/>
    <s v="Ireland"/>
    <s v="No"/>
    <s v="L-L-2.5"/>
    <s v="Liberica"/>
    <s v="Light"/>
    <n v="5"/>
    <n v="2.5"/>
    <n v="36.454999999999998"/>
    <n v="182.27499999999998"/>
    <n v="4.7391499999999995"/>
    <n v="23.695749999999997"/>
    <n v="13"/>
  </r>
  <r>
    <s v="RGJ-12544-083"/>
    <d v="2020-02-12T00:00:00"/>
    <s v="2020"/>
    <s v="February"/>
    <s v="48873-84433-PN"/>
    <s v="Carlie Harce"/>
    <s v="charce6k@cafepress.com"/>
    <s v="+353 (444) 423-0673"/>
    <s v="D煤n Laoghaire"/>
    <s v="Ireland"/>
    <s v="No"/>
    <s v="L-D-2.5"/>
    <s v="Liberica"/>
    <s v="Dark"/>
    <n v="3"/>
    <n v="2.5"/>
    <n v="29.784999999999997"/>
    <n v="89.35499999999999"/>
    <n v="3.8720499999999998"/>
    <n v="11.616149999999999"/>
    <n v="13"/>
  </r>
  <r>
    <s v="JJX-83339-346"/>
    <d v="2022-01-02T00:00:00"/>
    <s v="2022"/>
    <s v="January"/>
    <s v="32928-18158-OW"/>
    <s v="Craggy Bril"/>
    <s v="UNKNOWN"/>
    <s v="+1 (513) 461-0440"/>
    <s v="Cincinnati"/>
    <s v="United States"/>
    <s v="Yes"/>
    <s v="R-L-0.2"/>
    <s v="Robusta"/>
    <s v="Light"/>
    <n v="1"/>
    <n v="0.2"/>
    <n v="3.5849999999999995"/>
    <n v="3.5849999999999995"/>
    <n v="0.21509999999999996"/>
    <n v="0.21509999999999996"/>
    <n v="6"/>
  </r>
  <r>
    <s v="BIU-21970-705"/>
    <d v="2020-12-07T00:00:00"/>
    <s v="2020"/>
    <s v="December"/>
    <s v="89711-56688-GG"/>
    <s v="Friederike Drysdale"/>
    <s v="fdrysdale6m@symantec.com"/>
    <s v="+1 (989) 215-5282"/>
    <s v="Midland"/>
    <s v="United States"/>
    <s v="Yes"/>
    <s v="R-M-2.5"/>
    <s v="Robusta"/>
    <s v="Medium"/>
    <n v="2"/>
    <n v="2.5"/>
    <n v="22.884999999999998"/>
    <n v="45.769999999999996"/>
    <n v="1.3730999999999998"/>
    <n v="2.7461999999999995"/>
    <n v="6"/>
  </r>
  <r>
    <s v="ELJ-87741-745"/>
    <d v="2020-02-20T00:00:00"/>
    <s v="2020"/>
    <s v="February"/>
    <s v="48389-71976-JB"/>
    <s v="Devon Magowan"/>
    <s v="dmagowan6n@fc2.com"/>
    <s v="+1 (307) 159-5237"/>
    <s v="Cheyenne"/>
    <s v="United States"/>
    <s v="No"/>
    <s v="E-L-1"/>
    <s v="Excelsa"/>
    <s v="Light"/>
    <n v="4"/>
    <n v="1"/>
    <n v="14.85"/>
    <n v="59.4"/>
    <n v="1.6335"/>
    <n v="6.5339999999999998"/>
    <n v="11"/>
  </r>
  <r>
    <s v="SGI-48226-857"/>
    <d v="2020-06-11T00:00:00"/>
    <s v="2020"/>
    <s v="June"/>
    <s v="84033-80762-EQ"/>
    <s v="Codi Littrell"/>
    <s v="UNKNOWN"/>
    <s v="UNKNOWN"/>
    <s v="Atlanta"/>
    <s v="United States"/>
    <s v="Yes"/>
    <s v="A-M-2.5"/>
    <s v="Arabica"/>
    <s v="Medium"/>
    <n v="6"/>
    <n v="2.5"/>
    <n v="25.874999999999996"/>
    <n v="155.24999999999997"/>
    <n v="2.3287499999999994"/>
    <n v="13.972499999999997"/>
    <n v="9"/>
  </r>
  <r>
    <s v="AHV-66988-037"/>
    <d v="2020-09-08T00:00:00"/>
    <s v="2020"/>
    <s v="September"/>
    <s v="12743-00952-KO"/>
    <s v="Christel Speak"/>
    <s v="UNKNOWN"/>
    <s v="+1 (678) 222-0967"/>
    <s v="Duluth"/>
    <s v="United States"/>
    <s v="No"/>
    <s v="R-M-2.5"/>
    <s v="Robusta"/>
    <s v="Medium"/>
    <n v="2"/>
    <n v="2.5"/>
    <n v="22.884999999999998"/>
    <n v="45.769999999999996"/>
    <n v="1.3730999999999998"/>
    <n v="2.7461999999999995"/>
    <n v="6"/>
  </r>
  <r>
    <s v="ISK-42066-094"/>
    <d v="2020-03-28T00:00:00"/>
    <s v="2020"/>
    <s v="March"/>
    <s v="41505-42181-EF"/>
    <s v="Sibella Rushbrooke"/>
    <s v="srushbrooke6q@youku.com"/>
    <s v="+1 (916) 214-5665"/>
    <s v="Sacramento"/>
    <s v="United States"/>
    <s v="Yes"/>
    <s v="E-D-1"/>
    <s v="Excelsa"/>
    <s v="Dark"/>
    <n v="3"/>
    <n v="1"/>
    <n v="12.15"/>
    <n v="36.450000000000003"/>
    <n v="1.3365"/>
    <n v="4.0095000000000001"/>
    <n v="10.999999999999998"/>
  </r>
  <r>
    <s v="FTC-35822-530"/>
    <d v="2020-10-10T00:00:00"/>
    <s v="2020"/>
    <s v="October"/>
    <s v="14307-87663-KB"/>
    <s v="Tammie Drynan"/>
    <s v="tdrynan6r@deviantart.com"/>
    <s v="+1 (813) 619-0579"/>
    <s v="Tampa"/>
    <s v="United States"/>
    <s v="Yes"/>
    <s v="E-D-0.5"/>
    <s v="Excelsa"/>
    <s v="Dark"/>
    <n v="4"/>
    <n v="0.5"/>
    <n v="7.29"/>
    <n v="29.16"/>
    <n v="0.80190000000000006"/>
    <n v="3.2076000000000002"/>
    <n v="11"/>
  </r>
  <r>
    <s v="VSS-56247-688"/>
    <d v="2022-05-21T00:00:00"/>
    <s v="2022"/>
    <s v="May"/>
    <s v="08360-19442-GB"/>
    <s v="Effie Yurkov"/>
    <s v="eyurkov6s@hud.gov"/>
    <s v="+1 (808) 320-5976"/>
    <s v="Honolulu"/>
    <s v="United States"/>
    <s v="No"/>
    <s v="L-M-2.5"/>
    <s v="Liberica"/>
    <s v="Medium"/>
    <n v="4"/>
    <n v="2.5"/>
    <n v="33.464999999999996"/>
    <n v="133.85999999999999"/>
    <n v="4.3504499999999995"/>
    <n v="17.401799999999998"/>
    <n v="13"/>
  </r>
  <r>
    <s v="HVW-25584-144"/>
    <d v="2020-04-30T00:00:00"/>
    <s v="2020"/>
    <s v="April"/>
    <s v="93405-51204-UW"/>
    <s v="Lexie Mallan"/>
    <s v="lmallan6t@state.gov"/>
    <s v="+1 (225) 484-4771"/>
    <s v="Baton Rouge"/>
    <s v="United States"/>
    <s v="Yes"/>
    <s v="L-L-0.2"/>
    <s v="Liberica"/>
    <s v="Light"/>
    <n v="5"/>
    <n v="0.2"/>
    <n v="4.7549999999999999"/>
    <n v="23.774999999999999"/>
    <n v="0.61814999999999998"/>
    <n v="3.0907499999999999"/>
    <n v="13"/>
  </r>
  <r>
    <s v="MUY-15309-209"/>
    <d v="2021-12-12T00:00:00"/>
    <s v="2021"/>
    <s v="December"/>
    <s v="97152-03355-IW"/>
    <s v="Georgena Bentjens"/>
    <s v="gbentjens6u@netlog.com"/>
    <s v="+44 (610) 153-1208"/>
    <s v="Newbiggin"/>
    <s v="United Kingdom"/>
    <s v="No"/>
    <s v="L-D-1"/>
    <s v="Liberica"/>
    <s v="Dark"/>
    <n v="3"/>
    <n v="1"/>
    <n v="12.95"/>
    <n v="38.849999999999994"/>
    <n v="1.6835"/>
    <n v="5.0504999999999995"/>
    <n v="13"/>
  </r>
  <r>
    <s v="VAJ-44572-469"/>
    <d v="2020-10-27T00:00:00"/>
    <s v="2020"/>
    <s v="October"/>
    <s v="79216-73157-TE"/>
    <s v="Delmar Beasant"/>
    <s v="UNKNOWN"/>
    <s v="+353 (382) 208-0531"/>
    <s v="Kilkenny"/>
    <s v="Ireland"/>
    <s v="Yes"/>
    <s v="R-L-0.2"/>
    <s v="Robusta"/>
    <s v="Light"/>
    <n v="6"/>
    <n v="0.2"/>
    <n v="3.5849999999999995"/>
    <n v="21.509999999999998"/>
    <n v="0.21509999999999996"/>
    <n v="1.2905999999999997"/>
    <n v="5.9999999999999991"/>
  </r>
  <r>
    <s v="YJU-84377-606"/>
    <d v="2020-07-07T00:00:00"/>
    <s v="2020"/>
    <s v="July"/>
    <s v="20259-47723-AC"/>
    <s v="Lyn Entwistle"/>
    <s v="lentwistle6w@omniture.com"/>
    <s v="+1 (612) 972-1256"/>
    <s v="Minneapolis"/>
    <s v="United States"/>
    <s v="Yes"/>
    <s v="A-D-1"/>
    <s v="Arabica"/>
    <s v="Dark"/>
    <n v="1"/>
    <n v="1"/>
    <n v="9.9499999999999993"/>
    <n v="9.9499999999999993"/>
    <n v="0.89549999999999985"/>
    <n v="0.89549999999999985"/>
    <n v="9"/>
  </r>
  <r>
    <s v="VNC-93921-469"/>
    <d v="2020-01-31T00:00:00"/>
    <s v="2020"/>
    <s v="January"/>
    <s v="04666-71569-RI"/>
    <s v="Zacharias Kiffe"/>
    <s v="zkiffe74@cyberchimps.com"/>
    <s v="+1 (414) 703-7269"/>
    <s v="Milwaukee"/>
    <s v="United States"/>
    <s v="Yes"/>
    <s v="L-L-1"/>
    <s v="Liberica"/>
    <s v="Light"/>
    <n v="1"/>
    <n v="1"/>
    <n v="15.85"/>
    <n v="15.85"/>
    <n v="2.0605000000000002"/>
    <n v="2.0605000000000002"/>
    <n v="13"/>
  </r>
  <r>
    <s v="OGB-91614-810"/>
    <d v="2020-02-18T00:00:00"/>
    <s v="2020"/>
    <s v="February"/>
    <s v="08909-77713-CG"/>
    <s v="Mercedes Acott"/>
    <s v="macott6y@pagesperso-orange.fr"/>
    <s v="+1 (704) 892-0605"/>
    <s v="Charlotte"/>
    <s v="United States"/>
    <s v="Yes"/>
    <s v="R-M-0.2"/>
    <s v="Robusta"/>
    <s v="Medium"/>
    <n v="1"/>
    <n v="0.2"/>
    <n v="2.9849999999999999"/>
    <n v="2.9849999999999999"/>
    <n v="0.17909999999999998"/>
    <n v="0.17909999999999998"/>
    <n v="6"/>
  </r>
  <r>
    <s v="BQI-61647-496"/>
    <d v="2021-06-13T00:00:00"/>
    <s v="2021"/>
    <s v="June"/>
    <s v="84340-73931-VV"/>
    <s v="Connor Heaviside"/>
    <s v="cheaviside6z@rediff.com"/>
    <s v="+1 (602) 260-2399"/>
    <s v="Phoenix"/>
    <s v="United States"/>
    <s v="Yes"/>
    <s v="E-M-1"/>
    <s v="Excelsa"/>
    <s v="Medium"/>
    <n v="5"/>
    <n v="1"/>
    <n v="13.75"/>
    <n v="68.75"/>
    <n v="1.5125"/>
    <n v="7.5625"/>
    <n v="11"/>
  </r>
  <r>
    <s v="IOM-51636-823"/>
    <d v="2022-08-06T00:00:00"/>
    <s v="2022"/>
    <s v="August"/>
    <s v="04609-95151-XH"/>
    <s v="Devy Bulbrook"/>
    <s v="UNKNOWN"/>
    <s v="+1 (212) 360-7479"/>
    <s v="Jamaica"/>
    <s v="United States"/>
    <s v="No"/>
    <s v="A-D-1"/>
    <s v="Arabica"/>
    <s v="Dark"/>
    <n v="3"/>
    <n v="1"/>
    <n v="9.9499999999999993"/>
    <n v="29.849999999999998"/>
    <n v="0.89549999999999985"/>
    <n v="2.6864999999999997"/>
    <n v="9"/>
  </r>
  <r>
    <s v="GGD-38107-641"/>
    <d v="2021-11-23T00:00:00"/>
    <s v="2021"/>
    <s v="November"/>
    <s v="99562-88650-YF"/>
    <s v="Leia Kernan"/>
    <s v="lkernan71@wsj.com"/>
    <s v="+1 (217) 146-0949"/>
    <s v="Champaign"/>
    <s v="United States"/>
    <s v="No"/>
    <s v="L-M-1"/>
    <s v="Liberica"/>
    <s v="Medium"/>
    <n v="4"/>
    <n v="1"/>
    <n v="14.55"/>
    <n v="58.2"/>
    <n v="1.8915000000000002"/>
    <n v="7.5660000000000007"/>
    <n v="13"/>
  </r>
  <r>
    <s v="LTO-95975-728"/>
    <d v="2021-10-13T00:00:00"/>
    <s v="2021"/>
    <s v="October"/>
    <s v="46560-73885-PJ"/>
    <s v="Rosaline McLae"/>
    <s v="rmclae72@dailymotion.com"/>
    <s v="UNKNOWN"/>
    <s v="Swindon"/>
    <s v="United Kingdom"/>
    <s v="No"/>
    <s v="R-L-0.5"/>
    <s v="Robusta"/>
    <s v="Light"/>
    <n v="4"/>
    <n v="0.5"/>
    <n v="7.169999999999999"/>
    <n v="28.679999999999996"/>
    <n v="0.43019999999999992"/>
    <n v="1.7207999999999997"/>
    <n v="6"/>
  </r>
  <r>
    <s v="IGM-84664-265"/>
    <d v="2021-08-31T00:00:00"/>
    <s v="2021"/>
    <s v="August"/>
    <s v="80179-44620-WN"/>
    <s v="Cleve Blowfelde"/>
    <s v="cblowfelde73@ustream.tv"/>
    <s v="+1 (520) 951-0585"/>
    <s v="Tucson"/>
    <s v="United States"/>
    <s v="No"/>
    <s v="R-L-0.5"/>
    <s v="Robusta"/>
    <s v="Light"/>
    <n v="3"/>
    <n v="0.5"/>
    <n v="7.169999999999999"/>
    <n v="21.509999999999998"/>
    <n v="0.43019999999999992"/>
    <n v="1.2905999999999997"/>
    <n v="5.9999999999999991"/>
  </r>
  <r>
    <s v="SKO-45740-621"/>
    <d v="2020-01-16T00:00:00"/>
    <s v="2020"/>
    <s v="January"/>
    <s v="04666-71569-RI"/>
    <s v="Zacharias Kiffe"/>
    <s v="zkiffe74@cyberchimps.com"/>
    <s v="+1 (414) 703-7269"/>
    <s v="Milwaukee"/>
    <s v="United States"/>
    <s v="Yes"/>
    <s v="L-M-0.5"/>
    <s v="Liberica"/>
    <s v="Medium"/>
    <n v="2"/>
    <n v="0.5"/>
    <n v="8.73"/>
    <n v="17.46"/>
    <n v="1.1349"/>
    <n v="2.2698"/>
    <n v="13"/>
  </r>
  <r>
    <s v="FOJ-02234-063"/>
    <d v="2022-04-25T00:00:00"/>
    <s v="2022"/>
    <s v="April"/>
    <s v="59081-87231-VP"/>
    <s v="Denyse O'Calleran"/>
    <s v="docalleran75@ucla.edu"/>
    <s v="+1 (954) 368-3867"/>
    <s v="Pompano Beach"/>
    <s v="United States"/>
    <s v="Yes"/>
    <s v="E-D-2.5"/>
    <s v="Excelsa"/>
    <s v="Dark"/>
    <n v="1"/>
    <n v="2.5"/>
    <n v="27.945"/>
    <n v="27.945"/>
    <n v="3.07395"/>
    <n v="3.07395"/>
    <n v="11"/>
  </r>
  <r>
    <s v="MSJ-11909-468"/>
    <d v="2021-11-13T00:00:00"/>
    <s v="2021"/>
    <s v="November"/>
    <s v="07878-45872-CC"/>
    <s v="Cobby Cromwell"/>
    <s v="ccromwell76@desdev.cn"/>
    <s v="+1 (562) 516-6052"/>
    <s v="Whittier"/>
    <s v="United States"/>
    <s v="No"/>
    <s v="E-D-2.5"/>
    <s v="Excelsa"/>
    <s v="Dark"/>
    <n v="5"/>
    <n v="2.5"/>
    <n v="27.945"/>
    <n v="139.72499999999999"/>
    <n v="3.07395"/>
    <n v="15.36975"/>
    <n v="11"/>
  </r>
  <r>
    <s v="DKB-78053-329"/>
    <d v="2021-06-08T00:00:00"/>
    <s v="2021"/>
    <s v="June"/>
    <s v="12444-05174-OO"/>
    <s v="Irv Hay"/>
    <s v="ihay77@lulu.com"/>
    <s v="+44 (878) 199-6257"/>
    <s v="Sheffield"/>
    <s v="United Kingdom"/>
    <s v="No"/>
    <s v="R-M-0.2"/>
    <s v="Robusta"/>
    <s v="Medium"/>
    <n v="2"/>
    <n v="0.2"/>
    <n v="2.9849999999999999"/>
    <n v="5.97"/>
    <n v="0.17909999999999998"/>
    <n v="0.35819999999999996"/>
    <n v="6"/>
  </r>
  <r>
    <s v="DFZ-45083-941"/>
    <d v="2020-11-21T00:00:00"/>
    <s v="2020"/>
    <s v="November"/>
    <s v="34665-62561-AU"/>
    <s v="Tani Taffarello"/>
    <s v="ttaffarello78@sciencedaily.com"/>
    <s v="UNKNOWN"/>
    <s v="Saint Louis"/>
    <s v="United States"/>
    <s v="Yes"/>
    <s v="R-L-2.5"/>
    <s v="Robusta"/>
    <s v="Light"/>
    <n v="1"/>
    <n v="2.5"/>
    <n v="27.484999999999996"/>
    <n v="27.484999999999996"/>
    <n v="1.6490999999999998"/>
    <n v="1.6490999999999998"/>
    <n v="6.0000000000000009"/>
  </r>
  <r>
    <s v="OTA-40969-710"/>
    <d v="2019-03-14T00:00:00"/>
    <s v="2019"/>
    <s v="March"/>
    <s v="77877-11993-QH"/>
    <s v="Monique Canty"/>
    <s v="mcanty79@jigsy.com"/>
    <s v="+1 (814) 215-3753"/>
    <s v="Erie"/>
    <s v="United States"/>
    <s v="Yes"/>
    <s v="R-L-1"/>
    <s v="Robusta"/>
    <s v="Light"/>
    <n v="5"/>
    <n v="1"/>
    <n v="11.95"/>
    <n v="59.75"/>
    <n v="0.71699999999999997"/>
    <n v="3.585"/>
    <n v="6"/>
  </r>
  <r>
    <s v="GRH-45571-667"/>
    <d v="2019-08-16T00:00:00"/>
    <s v="2019"/>
    <s v="August"/>
    <s v="32291-18308-YZ"/>
    <s v="Javier Kopke"/>
    <s v="jkopke7a@auda.org.au"/>
    <s v="+1 (253) 638-4435"/>
    <s v="Tacoma"/>
    <s v="United States"/>
    <s v="No"/>
    <s v="E-M-1"/>
    <s v="Excelsa"/>
    <s v="Medium"/>
    <n v="3"/>
    <n v="1"/>
    <n v="13.75"/>
    <n v="41.25"/>
    <n v="1.5125"/>
    <n v="4.5374999999999996"/>
    <n v="10.999999999999998"/>
  </r>
  <r>
    <s v="NXV-05302-067"/>
    <d v="2019-04-22T00:00:00"/>
    <s v="2019"/>
    <s v="April"/>
    <s v="25754-33191-ZI"/>
    <s v="Mar McIver"/>
    <s v="UNKNOWN"/>
    <s v="+1 (571) 479-3812"/>
    <s v="Richmond"/>
    <s v="United States"/>
    <s v="No"/>
    <s v="L-M-2.5"/>
    <s v="Liberica"/>
    <s v="Medium"/>
    <n v="4"/>
    <n v="2.5"/>
    <n v="33.464999999999996"/>
    <n v="133.85999999999999"/>
    <n v="4.3504499999999995"/>
    <n v="17.401799999999998"/>
    <n v="13"/>
  </r>
  <r>
    <s v="VZH-86274-142"/>
    <d v="2022-05-02T00:00:00"/>
    <s v="2022"/>
    <s v="May"/>
    <s v="53120-45532-KL"/>
    <s v="Arabella Fransewich"/>
    <s v="UNKNOWN"/>
    <s v="+353 (336) 656-6944"/>
    <s v="Kinsealy-Drinan"/>
    <s v="Ireland"/>
    <s v="Yes"/>
    <s v="R-L-1"/>
    <s v="Robusta"/>
    <s v="Light"/>
    <n v="5"/>
    <n v="1"/>
    <n v="11.95"/>
    <n v="59.75"/>
    <n v="0.71699999999999997"/>
    <n v="3.585"/>
    <n v="6"/>
  </r>
  <r>
    <s v="KIX-93248-135"/>
    <d v="2020-02-11T00:00:00"/>
    <s v="2020"/>
    <s v="February"/>
    <s v="36605-83052-WB"/>
    <s v="Violette Hellmore"/>
    <s v="vhellmore7d@bbc.co.uk"/>
    <s v="+1 (501) 899-4038"/>
    <s v="Little Rock"/>
    <s v="United States"/>
    <s v="Yes"/>
    <s v="A-D-0.5"/>
    <s v="Arabica"/>
    <s v="Dark"/>
    <n v="1"/>
    <n v="0.5"/>
    <n v="5.97"/>
    <n v="5.97"/>
    <n v="0.5373"/>
    <n v="0.5373"/>
    <n v="9.0000000000000018"/>
  </r>
  <r>
    <s v="AXR-10962-010"/>
    <d v="2021-03-28T00:00:00"/>
    <s v="2021"/>
    <s v="March"/>
    <s v="53683-35977-KI"/>
    <s v="Myles Seawright"/>
    <s v="mseawright7e@nbcnews.com"/>
    <s v="+44 (638) 528-2467"/>
    <s v="Newton"/>
    <s v="United Kingdom"/>
    <s v="No"/>
    <s v="E-D-1"/>
    <s v="Excelsa"/>
    <s v="Dark"/>
    <n v="2"/>
    <n v="1"/>
    <n v="12.15"/>
    <n v="24.3"/>
    <n v="1.3365"/>
    <n v="2.673"/>
    <n v="11"/>
  </r>
  <r>
    <s v="IHS-71573-008"/>
    <d v="2021-05-08T00:00:00"/>
    <s v="2021"/>
    <s v="May"/>
    <s v="07972-83134-NM"/>
    <s v="Silvana Northeast"/>
    <s v="snortheast7f@mashable.com"/>
    <s v="+1 (775) 344-1930"/>
    <s v="Sparks"/>
    <s v="United States"/>
    <s v="Yes"/>
    <s v="E-D-0.2"/>
    <s v="Excelsa"/>
    <s v="Dark"/>
    <n v="6"/>
    <n v="0.2"/>
    <n v="3.645"/>
    <n v="21.87"/>
    <n v="0.40095000000000003"/>
    <n v="2.4057000000000004"/>
    <n v="11.000000000000002"/>
  </r>
  <r>
    <s v="QTR-19001-114"/>
    <d v="2019-11-21T00:00:00"/>
    <s v="2019"/>
    <s v="November"/>
    <s v="01035-70465-UO"/>
    <s v="Anselma Attwater"/>
    <s v="aattwater5u@wikia.com"/>
    <s v="+1 (434) 821-8618"/>
    <s v="Charlottesville"/>
    <s v="United States"/>
    <s v="Yes"/>
    <s v="A-D-1"/>
    <s v="Arabica"/>
    <s v="Dark"/>
    <n v="2"/>
    <n v="1"/>
    <n v="9.9499999999999993"/>
    <n v="19.899999999999999"/>
    <n v="0.89549999999999985"/>
    <n v="1.7909999999999997"/>
    <n v="9"/>
  </r>
  <r>
    <s v="WBK-62297-910"/>
    <d v="2021-05-17T00:00:00"/>
    <s v="2021"/>
    <s v="May"/>
    <s v="25514-23938-IQ"/>
    <s v="Monica Fearon"/>
    <s v="mfearon7h@reverbnation.com"/>
    <s v="+1 (972) 686-6332"/>
    <s v="Denton"/>
    <s v="United States"/>
    <s v="No"/>
    <s v="A-D-0.2"/>
    <s v="Arabica"/>
    <s v="Dark"/>
    <n v="2"/>
    <n v="0.2"/>
    <n v="2.9849999999999999"/>
    <n v="5.97"/>
    <n v="0.26865"/>
    <n v="0.5373"/>
    <n v="9.0000000000000018"/>
  </r>
  <r>
    <s v="OGY-19377-175"/>
    <d v="2019-07-09T00:00:00"/>
    <s v="2019"/>
    <s v="July"/>
    <s v="49084-44492-OJ"/>
    <s v="Barney Chisnell"/>
    <s v="UNKNOWN"/>
    <s v="UNKNOWN"/>
    <s v="Tullamore"/>
    <s v="Ireland"/>
    <s v="Yes"/>
    <s v="E-D-0.5"/>
    <s v="Excelsa"/>
    <s v="Dark"/>
    <n v="1"/>
    <n v="0.5"/>
    <n v="7.29"/>
    <n v="7.29"/>
    <n v="0.80190000000000006"/>
    <n v="0.80190000000000006"/>
    <n v="11"/>
  </r>
  <r>
    <s v="ESR-66651-814"/>
    <d v="2020-05-20T00:00:00"/>
    <s v="2020"/>
    <s v="May"/>
    <s v="76624-72205-CK"/>
    <s v="Jasper Sisneros"/>
    <s v="jsisneros7j@a8.net"/>
    <s v="+1 (919) 448-8909"/>
    <s v="Raleigh"/>
    <s v="United States"/>
    <s v="Yes"/>
    <s v="A-D-0.2"/>
    <s v="Arabica"/>
    <s v="Dark"/>
    <n v="4"/>
    <n v="0.2"/>
    <n v="2.9849999999999999"/>
    <n v="11.94"/>
    <n v="0.26865"/>
    <n v="1.0746"/>
    <n v="9.0000000000000018"/>
  </r>
  <r>
    <s v="CPX-46916-770"/>
    <d v="2021-08-27T00:00:00"/>
    <s v="2021"/>
    <s v="August"/>
    <s v="12729-50170-JE"/>
    <s v="Zachariah Carlson"/>
    <s v="zcarlson7k@bigcartel.com"/>
    <s v="+353 (259) 651-4128"/>
    <s v="Shankill"/>
    <s v="Ireland"/>
    <s v="Yes"/>
    <s v="R-L-1"/>
    <s v="Robusta"/>
    <s v="Light"/>
    <n v="6"/>
    <n v="1"/>
    <n v="11.95"/>
    <n v="71.699999999999989"/>
    <n v="0.71699999999999997"/>
    <n v="4.3019999999999996"/>
    <n v="6.0000000000000009"/>
  </r>
  <r>
    <s v="MDC-03318-645"/>
    <d v="2022-04-30T00:00:00"/>
    <s v="2022"/>
    <s v="April"/>
    <s v="43974-44760-QI"/>
    <s v="Warner Maddox"/>
    <s v="wmaddox7l@timesonline.co.uk"/>
    <s v="+1 (917) 310-4684"/>
    <s v="New York City"/>
    <s v="United States"/>
    <s v="No"/>
    <s v="A-L-0.2"/>
    <s v="Arabica"/>
    <s v="Light"/>
    <n v="2"/>
    <n v="0.2"/>
    <n v="3.8849999999999998"/>
    <n v="7.77"/>
    <n v="0.34964999999999996"/>
    <n v="0.69929999999999992"/>
    <n v="9"/>
  </r>
  <r>
    <s v="SFF-86059-407"/>
    <d v="2020-06-03T00:00:00"/>
    <s v="2020"/>
    <s v="June"/>
    <s v="30585-48726-BK"/>
    <s v="Donnie Hedlestone"/>
    <s v="dhedlestone7m@craigslist.org"/>
    <s v="+1 (203) 768-3169"/>
    <s v="Stamford"/>
    <s v="United States"/>
    <s v="No"/>
    <s v="A-M-2.5"/>
    <s v="Arabica"/>
    <s v="Medium"/>
    <n v="1"/>
    <n v="2.5"/>
    <n v="25.874999999999996"/>
    <n v="25.874999999999996"/>
    <n v="2.3287499999999994"/>
    <n v="2.3287499999999994"/>
    <n v="9"/>
  </r>
  <r>
    <s v="SCL-94540-788"/>
    <d v="2022-06-13T00:00:00"/>
    <s v="2022"/>
    <s v="June"/>
    <s v="16123-07017-TY"/>
    <s v="Teddi Crowthe"/>
    <s v="tcrowthe7n@europa.eu"/>
    <s v="+1 (419) 561-6809"/>
    <s v="Toledo"/>
    <s v="United States"/>
    <s v="No"/>
    <s v="E-L-2.5"/>
    <s v="Excelsa"/>
    <s v="Light"/>
    <n v="6"/>
    <n v="2.5"/>
    <n v="34.154999999999994"/>
    <n v="204.92999999999995"/>
    <n v="3.7570499999999996"/>
    <n v="22.542299999999997"/>
    <n v="11.000000000000002"/>
  </r>
  <r>
    <s v="HVU-21634-076"/>
    <d v="2020-06-10T00:00:00"/>
    <s v="2020"/>
    <s v="June"/>
    <s v="27723-45097-MH"/>
    <s v="Dorelia Bury"/>
    <s v="dbury7o@tinyurl.com"/>
    <s v="+353 (262) 842-7103"/>
    <s v="Castleblayney"/>
    <s v="Ireland"/>
    <s v="Yes"/>
    <s v="R-L-2.5"/>
    <s v="Robusta"/>
    <s v="Light"/>
    <n v="4"/>
    <n v="2.5"/>
    <n v="27.484999999999996"/>
    <n v="109.93999999999998"/>
    <n v="1.6490999999999998"/>
    <n v="6.5963999999999992"/>
    <n v="6.0000000000000009"/>
  </r>
  <r>
    <s v="XUS-73326-418"/>
    <d v="2020-12-18T00:00:00"/>
    <s v="2020"/>
    <s v="December"/>
    <s v="37078-56703-AF"/>
    <s v="Gussy Broadbear"/>
    <s v="gbroadbear7p@omniture.com"/>
    <s v="+1 (573) 758-1104"/>
    <s v="Columbia"/>
    <s v="United States"/>
    <s v="No"/>
    <s v="E-L-1"/>
    <s v="Excelsa"/>
    <s v="Light"/>
    <n v="6"/>
    <n v="1"/>
    <n v="14.85"/>
    <n v="89.1"/>
    <n v="1.6335"/>
    <n v="9.8010000000000002"/>
    <n v="11.000000000000002"/>
  </r>
  <r>
    <s v="XWD-18933-006"/>
    <d v="2019-08-31T00:00:00"/>
    <s v="2019"/>
    <s v="August"/>
    <s v="79420-11075-MY"/>
    <s v="Emlynne Palfrey"/>
    <s v="epalfrey7q@devhub.com"/>
    <s v="+1 (260) 500-7893"/>
    <s v="Fort Wayne"/>
    <s v="United States"/>
    <s v="Yes"/>
    <s v="A-L-0.2"/>
    <s v="Arabica"/>
    <s v="Light"/>
    <n v="2"/>
    <n v="0.2"/>
    <n v="3.8849999999999998"/>
    <n v="7.77"/>
    <n v="0.34964999999999996"/>
    <n v="0.69929999999999992"/>
    <n v="9"/>
  </r>
  <r>
    <s v="HPD-65272-772"/>
    <d v="2019-02-25T00:00:00"/>
    <s v="2019"/>
    <s v="February"/>
    <s v="57504-13456-UO"/>
    <s v="Parsifal Metrick"/>
    <s v="pmetrick7r@rakuten.co.jp"/>
    <s v="+1 (314) 572-2164"/>
    <s v="Saint Louis"/>
    <s v="United States"/>
    <s v="Yes"/>
    <s v="L-M-2.5"/>
    <s v="Liberica"/>
    <s v="Medium"/>
    <n v="1"/>
    <n v="2.5"/>
    <n v="33.464999999999996"/>
    <n v="33.464999999999996"/>
    <n v="4.3504499999999995"/>
    <n v="4.3504499999999995"/>
    <n v="13"/>
  </r>
  <r>
    <s v="JEG-93140-224"/>
    <d v="2021-02-07T00:00:00"/>
    <s v="2021"/>
    <s v="February"/>
    <s v="53751-57560-CN"/>
    <s v="Christopher Grieveson"/>
    <s v="UNKNOWN"/>
    <s v="+1 (208) 826-3825"/>
    <s v="Portland"/>
    <s v="United States"/>
    <s v="Yes"/>
    <s v="E-M-0.5"/>
    <s v="Excelsa"/>
    <s v="Medium"/>
    <n v="5"/>
    <n v="0.5"/>
    <n v="8.25"/>
    <n v="41.25"/>
    <n v="0.90749999999999997"/>
    <n v="4.5374999999999996"/>
    <n v="10.999999999999998"/>
  </r>
  <r>
    <s v="NNH-62058-950"/>
    <d v="2021-01-14T00:00:00"/>
    <s v="2021"/>
    <s v="January"/>
    <s v="96112-42558-EA"/>
    <s v="Karlan Karby"/>
    <s v="kkarby7t@sbwire.com"/>
    <s v="+1 (303) 516-4935"/>
    <s v="Boulder"/>
    <s v="United States"/>
    <s v="Yes"/>
    <s v="E-L-1"/>
    <s v="Excelsa"/>
    <s v="Light"/>
    <n v="4"/>
    <n v="1"/>
    <n v="14.85"/>
    <n v="59.4"/>
    <n v="1.6335"/>
    <n v="6.5339999999999998"/>
    <n v="11"/>
  </r>
  <r>
    <s v="LTD-71429-845"/>
    <d v="2019-02-24T00:00:00"/>
    <s v="2019"/>
    <s v="February"/>
    <s v="03157-23165-UB"/>
    <s v="Flory Crumpe"/>
    <s v="fcrumpe7u@ftc.gov"/>
    <s v="+44 (564) 507-1056"/>
    <s v="Norton"/>
    <s v="United Kingdom"/>
    <s v="No"/>
    <s v="A-L-0.5"/>
    <s v="Arabica"/>
    <s v="Light"/>
    <n v="1"/>
    <n v="0.5"/>
    <n v="7.77"/>
    <n v="7.77"/>
    <n v="0.69929999999999992"/>
    <n v="0.69929999999999992"/>
    <n v="9"/>
  </r>
  <r>
    <s v="MPV-26985-215"/>
    <d v="2019-06-23T00:00:00"/>
    <s v="2019"/>
    <s v="June"/>
    <s v="51466-52850-AG"/>
    <s v="Amity Chatto"/>
    <s v="achatto7v@sakura.ne.jp"/>
    <s v="+44 (522) 740-3583"/>
    <s v="Sheffield"/>
    <s v="United Kingdom"/>
    <s v="Yes"/>
    <s v="R-D-0.5"/>
    <s v="Robusta"/>
    <s v="Dark"/>
    <n v="1"/>
    <n v="0.5"/>
    <n v="5.3699999999999992"/>
    <n v="5.3699999999999992"/>
    <n v="0.32219999999999993"/>
    <n v="0.32219999999999993"/>
    <n v="6"/>
  </r>
  <r>
    <s v="IYO-10245-081"/>
    <d v="2020-05-09T00:00:00"/>
    <s v="2020"/>
    <s v="May"/>
    <s v="57145-31023-FK"/>
    <s v="Nanine McCarthy"/>
    <s v="UNKNOWN"/>
    <s v="+1 (502) 913-2943"/>
    <s v="Louisville"/>
    <s v="United States"/>
    <s v="No"/>
    <s v="E-M-2.5"/>
    <s v="Excelsa"/>
    <s v="Medium"/>
    <n v="3"/>
    <n v="2.5"/>
    <n v="31.624999999999996"/>
    <n v="94.874999999999986"/>
    <n v="3.4787499999999998"/>
    <n v="10.436249999999999"/>
    <n v="11.000000000000002"/>
  </r>
  <r>
    <s v="BYZ-39669-954"/>
    <d v="2020-07-18T00:00:00"/>
    <s v="2020"/>
    <s v="July"/>
    <s v="66408-53777-VE"/>
    <s v="Lyndsey Megany"/>
    <s v="UNKNOWN"/>
    <s v="+1 (716) 790-4379"/>
    <s v="Buffalo"/>
    <s v="United States"/>
    <s v="No"/>
    <s v="L-L-2.5"/>
    <s v="Liberica"/>
    <s v="Light"/>
    <n v="1"/>
    <n v="2.5"/>
    <n v="36.454999999999998"/>
    <n v="36.454999999999998"/>
    <n v="4.7391499999999995"/>
    <n v="4.7391499999999995"/>
    <n v="13"/>
  </r>
  <r>
    <s v="EFB-72860-209"/>
    <d v="2019-10-17T00:00:00"/>
    <s v="2019"/>
    <s v="October"/>
    <s v="53035-99701-WG"/>
    <s v="Byram Mergue"/>
    <s v="bmergue7y@umn.edu"/>
    <s v="UNKNOWN"/>
    <s v="Canton"/>
    <s v="United States"/>
    <s v="Yes"/>
    <s v="A-M-0.2"/>
    <s v="Arabica"/>
    <s v="Medium"/>
    <n v="4"/>
    <n v="0.2"/>
    <n v="3.375"/>
    <n v="13.5"/>
    <n v="0.30374999999999996"/>
    <n v="1.2149999999999999"/>
    <n v="8.9999999999999982"/>
  </r>
  <r>
    <s v="GMM-72397-378"/>
    <d v="2022-05-16T00:00:00"/>
    <s v="2022"/>
    <s v="May"/>
    <s v="45899-92796-EI"/>
    <s v="Kerr Patise"/>
    <s v="kpatise7z@jigsy.com"/>
    <s v="+1 (617) 552-8968"/>
    <s v="Boston"/>
    <s v="United States"/>
    <s v="No"/>
    <s v="R-L-0.2"/>
    <s v="Robusta"/>
    <s v="Light"/>
    <n v="4"/>
    <n v="0.2"/>
    <n v="3.5849999999999995"/>
    <n v="14.339999999999998"/>
    <n v="0.21509999999999996"/>
    <n v="0.86039999999999983"/>
    <n v="6"/>
  </r>
  <r>
    <s v="LYP-52345-883"/>
    <d v="2021-03-24T00:00:00"/>
    <s v="2021"/>
    <s v="March"/>
    <s v="17649-28133-PY"/>
    <s v="Mathew Goulter"/>
    <s v="UNKNOWN"/>
    <s v="+353 (968) 887-1849"/>
    <s v="Kinlough"/>
    <s v="Ireland"/>
    <s v="Yes"/>
    <s v="E-M-0.5"/>
    <s v="Excelsa"/>
    <s v="Medium"/>
    <n v="1"/>
    <n v="0.5"/>
    <n v="8.25"/>
    <n v="8.25"/>
    <n v="0.90749999999999997"/>
    <n v="0.90749999999999997"/>
    <n v="11"/>
  </r>
  <r>
    <s v="DFK-35846-692"/>
    <d v="2019-11-03T00:00:00"/>
    <s v="2019"/>
    <s v="November"/>
    <s v="49612-33852-CN"/>
    <s v="Marris Grcic"/>
    <s v="UNKNOWN"/>
    <s v="UNKNOWN"/>
    <s v="Lynchburg"/>
    <s v="United States"/>
    <s v="Yes"/>
    <s v="R-D-0.2"/>
    <s v="Robusta"/>
    <s v="Dark"/>
    <n v="5"/>
    <n v="0.2"/>
    <n v="2.6849999999999996"/>
    <n v="13.424999999999997"/>
    <n v="0.16109999999999997"/>
    <n v="0.80549999999999988"/>
    <n v="6.0000000000000009"/>
  </r>
  <r>
    <s v="XAH-93337-609"/>
    <d v="2021-10-28T00:00:00"/>
    <s v="2021"/>
    <s v="October"/>
    <s v="66976-43829-YG"/>
    <s v="Domeniga Duke"/>
    <s v="dduke82@vkontakte.ru"/>
    <s v="+1 (626) 268-7265"/>
    <s v="Los Angeles"/>
    <s v="United States"/>
    <s v="No"/>
    <s v="A-D-1"/>
    <s v="Arabica"/>
    <s v="Dark"/>
    <n v="5"/>
    <n v="1"/>
    <n v="9.9499999999999993"/>
    <n v="49.75"/>
    <n v="0.89549999999999985"/>
    <n v="4.4774999999999991"/>
    <n v="8.9999999999999982"/>
  </r>
  <r>
    <s v="QKA-72582-644"/>
    <d v="2020-12-16T00:00:00"/>
    <s v="2020"/>
    <s v="December"/>
    <s v="64852-04619-XZ"/>
    <s v="Violante Skouling"/>
    <s v="UNKNOWN"/>
    <s v="UNKNOWN"/>
    <s v="Drumcondra"/>
    <s v="Ireland"/>
    <s v="No"/>
    <s v="E-M-0.5"/>
    <s v="Excelsa"/>
    <s v="Medium"/>
    <n v="2"/>
    <n v="0.5"/>
    <n v="8.25"/>
    <n v="16.5"/>
    <n v="0.90749999999999997"/>
    <n v="1.8149999999999999"/>
    <n v="11"/>
  </r>
  <r>
    <s v="ZDK-84567-102"/>
    <d v="2021-11-29T00:00:00"/>
    <s v="2021"/>
    <s v="November"/>
    <s v="58690-31815-VY"/>
    <s v="Isidore Hussey"/>
    <s v="ihussey84@mapy.cz"/>
    <s v="UNKNOWN"/>
    <s v="Birmingham"/>
    <s v="United States"/>
    <s v="No"/>
    <s v="A-D-0.5"/>
    <s v="Arabica"/>
    <s v="Dark"/>
    <n v="3"/>
    <n v="0.5"/>
    <n v="5.97"/>
    <n v="17.91"/>
    <n v="0.5373"/>
    <n v="1.6118999999999999"/>
    <n v="9"/>
  </r>
  <r>
    <s v="WAV-38301-984"/>
    <d v="2021-03-20T00:00:00"/>
    <s v="2021"/>
    <s v="March"/>
    <s v="62863-81239-DT"/>
    <s v="Cassie Pinkerton"/>
    <s v="cpinkerton85@upenn.edu"/>
    <s v="+1 (202) 727-7464"/>
    <s v="Alexandria"/>
    <s v="United States"/>
    <s v="No"/>
    <s v="A-D-0.5"/>
    <s v="Arabica"/>
    <s v="Dark"/>
    <n v="5"/>
    <n v="0.5"/>
    <n v="5.97"/>
    <n v="29.849999999999998"/>
    <n v="0.5373"/>
    <n v="2.6865000000000001"/>
    <n v="9.0000000000000018"/>
  </r>
  <r>
    <s v="KZR-33023-209"/>
    <d v="2022-04-08T00:00:00"/>
    <s v="2022"/>
    <s v="April"/>
    <s v="21177-40725-CF"/>
    <s v="Micki Fero"/>
    <s v="UNKNOWN"/>
    <s v="+1 (203) 722-1559"/>
    <s v="Danbury"/>
    <s v="United States"/>
    <s v="No"/>
    <s v="E-L-1"/>
    <s v="Excelsa"/>
    <s v="Light"/>
    <n v="3"/>
    <n v="1"/>
    <n v="14.85"/>
    <n v="44.55"/>
    <n v="1.6335"/>
    <n v="4.9005000000000001"/>
    <n v="11.000000000000002"/>
  </r>
  <r>
    <s v="ULM-49433-003"/>
    <d v="2020-08-14T00:00:00"/>
    <s v="2020"/>
    <s v="August"/>
    <s v="99421-80253-UI"/>
    <s v="Cybill Graddell"/>
    <s v="UNKNOWN"/>
    <s v="UNKNOWN"/>
    <s v="Albany"/>
    <s v="United States"/>
    <s v="No"/>
    <s v="E-M-1"/>
    <s v="Excelsa"/>
    <s v="Medium"/>
    <n v="2"/>
    <n v="1"/>
    <n v="13.75"/>
    <n v="27.5"/>
    <n v="1.5125"/>
    <n v="3.0249999999999999"/>
    <n v="11"/>
  </r>
  <r>
    <s v="SIB-83254-136"/>
    <d v="2019-05-12T00:00:00"/>
    <s v="2019"/>
    <s v="May"/>
    <s v="45315-50206-DK"/>
    <s v="Dorian Vizor"/>
    <s v="dvizor88@furl.net"/>
    <s v="+1 (941) 130-0581"/>
    <s v="Naples"/>
    <s v="United States"/>
    <s v="Yes"/>
    <s v="R-M-0.5"/>
    <s v="Robusta"/>
    <s v="Medium"/>
    <n v="6"/>
    <n v="0.5"/>
    <n v="5.97"/>
    <n v="35.82"/>
    <n v="0.35819999999999996"/>
    <n v="2.1491999999999996"/>
    <n v="5.9999999999999982"/>
  </r>
  <r>
    <s v="NOK-50349-551"/>
    <d v="2021-03-03T00:00:00"/>
    <s v="2021"/>
    <s v="March"/>
    <s v="09595-95726-OV"/>
    <s v="Eddi Sedgebeer"/>
    <s v="esedgebeer89@oaic.gov.au"/>
    <s v="+1 (305) 898-4252"/>
    <s v="Miami Beach"/>
    <s v="United States"/>
    <s v="Yes"/>
    <s v="R-D-0.5"/>
    <s v="Robusta"/>
    <s v="Dark"/>
    <n v="3"/>
    <n v="0.5"/>
    <n v="5.3699999999999992"/>
    <n v="16.11"/>
    <n v="0.32219999999999993"/>
    <n v="0.96659999999999979"/>
    <n v="5.9999999999999991"/>
  </r>
  <r>
    <s v="YIS-96268-844"/>
    <d v="2020-02-11T00:00:00"/>
    <s v="2020"/>
    <s v="February"/>
    <s v="60221-67036-TD"/>
    <s v="Ken Lestrange"/>
    <s v="klestrange8a@lulu.com"/>
    <s v="+1 (404) 479-6402"/>
    <s v="Atlanta"/>
    <s v="United States"/>
    <s v="Yes"/>
    <s v="E-L-0.2"/>
    <s v="Excelsa"/>
    <s v="Light"/>
    <n v="6"/>
    <n v="0.2"/>
    <n v="4.4550000000000001"/>
    <n v="26.73"/>
    <n v="0.49004999999999999"/>
    <n v="2.9402999999999997"/>
    <n v="10.999999999999998"/>
  </r>
  <r>
    <s v="CXI-04933-855"/>
    <d v="2019-04-27T00:00:00"/>
    <s v="2019"/>
    <s v="April"/>
    <s v="62923-29397-KX"/>
    <s v="Lacee Tanti"/>
    <s v="ltanti8b@techcrunch.com"/>
    <s v="+1 (361) 383-8015"/>
    <s v="Corpus Christi"/>
    <s v="United States"/>
    <s v="Yes"/>
    <s v="E-L-2.5"/>
    <s v="Excelsa"/>
    <s v="Light"/>
    <n v="6"/>
    <n v="2.5"/>
    <n v="34.154999999999994"/>
    <n v="204.92999999999995"/>
    <n v="3.7570499999999996"/>
    <n v="22.542299999999997"/>
    <n v="11.000000000000002"/>
  </r>
  <r>
    <s v="IZU-90429-382"/>
    <d v="2022-03-26T00:00:00"/>
    <s v="2022"/>
    <s v="March"/>
    <s v="33011-52383-BA"/>
    <s v="Arel De Lasci"/>
    <s v="ade8c@1und1.de"/>
    <s v="+1 (808) 868-6669"/>
    <s v="Honolulu"/>
    <s v="United States"/>
    <s v="Yes"/>
    <s v="A-L-1"/>
    <s v="Arabica"/>
    <s v="Light"/>
    <n v="3"/>
    <n v="1"/>
    <n v="12.95"/>
    <n v="38.849999999999994"/>
    <n v="1.1655"/>
    <n v="3.4965000000000002"/>
    <n v="9.0000000000000018"/>
  </r>
  <r>
    <s v="WIT-40912-783"/>
    <d v="2020-09-28T00:00:00"/>
    <s v="2020"/>
    <s v="September"/>
    <s v="86768-91598-FA"/>
    <s v="Trescha Jedrachowicz"/>
    <s v="tjedrachowicz8d@acquirethisname.com"/>
    <s v="+1 (512) 635-4547"/>
    <s v="Austin"/>
    <s v="United States"/>
    <s v="Yes"/>
    <s v="L-D-0.2"/>
    <s v="Liberica"/>
    <s v="Dark"/>
    <n v="4"/>
    <n v="0.2"/>
    <n v="3.8849999999999998"/>
    <n v="15.54"/>
    <n v="0.50505"/>
    <n v="2.0202"/>
    <n v="13"/>
  </r>
  <r>
    <s v="PSD-57291-590"/>
    <d v="2019-10-24T00:00:00"/>
    <s v="2019"/>
    <s v="October"/>
    <s v="37191-12203-MX"/>
    <s v="Perkin Stonner"/>
    <s v="pstonner8e@moonfruit.com"/>
    <s v="+1 (410) 158-5285"/>
    <s v="Baltimore"/>
    <s v="United States"/>
    <s v="No"/>
    <s v="A-M-0.5"/>
    <s v="Arabica"/>
    <s v="Medium"/>
    <n v="1"/>
    <n v="0.5"/>
    <n v="6.75"/>
    <n v="6.75"/>
    <n v="0.60749999999999993"/>
    <n v="0.60749999999999993"/>
    <n v="8.9999999999999982"/>
  </r>
  <r>
    <s v="GOI-41472-677"/>
    <d v="2021-08-04T00:00:00"/>
    <s v="2021"/>
    <s v="August"/>
    <s v="16545-76328-JY"/>
    <s v="Darrin Tingly"/>
    <s v="dtingly8f@goo.ne.jp"/>
    <s v="UNKNOWN"/>
    <s v="Lexington"/>
    <s v="United States"/>
    <s v="Yes"/>
    <s v="E-D-2.5"/>
    <s v="Excelsa"/>
    <s v="Dark"/>
    <n v="4"/>
    <n v="2.5"/>
    <n v="27.945"/>
    <n v="111.78"/>
    <n v="3.07395"/>
    <n v="12.2958"/>
    <n v="11"/>
  </r>
  <r>
    <s v="KTX-17944-494"/>
    <d v="2019-12-29T00:00:00"/>
    <s v="2019"/>
    <s v="December"/>
    <s v="74330-29286-RO"/>
    <s v="Claudetta Rushe"/>
    <s v="crushe8n@about.me"/>
    <s v="+1 (704) 883-8274"/>
    <s v="Charlotte"/>
    <s v="United States"/>
    <s v="Yes"/>
    <s v="A-L-0.2"/>
    <s v="Arabica"/>
    <s v="Light"/>
    <n v="1"/>
    <n v="0.2"/>
    <n v="3.8849999999999998"/>
    <n v="3.8849999999999998"/>
    <n v="0.34964999999999996"/>
    <n v="0.34964999999999996"/>
    <n v="9"/>
  </r>
  <r>
    <s v="RDM-99811-230"/>
    <d v="2019-11-27T00:00:00"/>
    <s v="2019"/>
    <s v="November"/>
    <s v="22349-47389-GY"/>
    <s v="Benn Checci"/>
    <s v="bchecci8h@usa.gov"/>
    <s v="+44 (237) 377-1917"/>
    <s v="Eaton"/>
    <s v="United Kingdom"/>
    <s v="No"/>
    <s v="L-M-0.2"/>
    <s v="Liberica"/>
    <s v="Medium"/>
    <n v="5"/>
    <n v="0.2"/>
    <n v="4.3650000000000002"/>
    <n v="21.825000000000003"/>
    <n v="0.56745000000000001"/>
    <n v="2.83725"/>
    <n v="12.999999999999998"/>
  </r>
  <r>
    <s v="JTU-55897-581"/>
    <d v="2020-02-29T00:00:00"/>
    <s v="2020"/>
    <s v="February"/>
    <s v="70290-38099-GB"/>
    <s v="Janifer Bagot"/>
    <s v="jbagot8i@mac.com"/>
    <s v="+1 (402) 659-3815"/>
    <s v="Lincoln"/>
    <s v="United States"/>
    <s v="No"/>
    <s v="R-M-0.2"/>
    <s v="Robusta"/>
    <s v="Medium"/>
    <n v="5"/>
    <n v="0.2"/>
    <n v="2.9849999999999999"/>
    <n v="14.924999999999999"/>
    <n v="0.17909999999999998"/>
    <n v="0.89549999999999996"/>
    <n v="6.0000000000000009"/>
  </r>
  <r>
    <s v="CRK-07584-240"/>
    <d v="2021-01-31T00:00:00"/>
    <s v="2021"/>
    <s v="January"/>
    <s v="18741-72071-PP"/>
    <s v="Ermin Beeble"/>
    <s v="ebeeble8j@soundcloud.com"/>
    <s v="+1 (513) 141-9892"/>
    <s v="Cincinnati"/>
    <s v="United States"/>
    <s v="Yes"/>
    <s v="A-M-1"/>
    <s v="Arabica"/>
    <s v="Medium"/>
    <n v="3"/>
    <n v="1"/>
    <n v="11.25"/>
    <n v="33.75"/>
    <n v="1.0125"/>
    <n v="3.0374999999999996"/>
    <n v="8.9999999999999982"/>
  </r>
  <r>
    <s v="MKE-75518-399"/>
    <d v="2022-06-17T00:00:00"/>
    <s v="2022"/>
    <s v="June"/>
    <s v="62588-82624-II"/>
    <s v="Cos Fluin"/>
    <s v="cfluin8k@flickr.com"/>
    <s v="UNKNOWN"/>
    <s v="Sheffield"/>
    <s v="United Kingdom"/>
    <s v="No"/>
    <s v="A-M-1"/>
    <s v="Arabica"/>
    <s v="Medium"/>
    <n v="3"/>
    <n v="1"/>
    <n v="11.25"/>
    <n v="33.75"/>
    <n v="1.0125"/>
    <n v="3.0374999999999996"/>
    <n v="8.9999999999999982"/>
  </r>
  <r>
    <s v="AEL-51169-725"/>
    <d v="2020-02-03T00:00:00"/>
    <s v="2020"/>
    <s v="February"/>
    <s v="37430-29579-HD"/>
    <s v="Eveleen Bletsor"/>
    <s v="ebletsor8l@vinaora.com"/>
    <s v="+1 (860) 182-4246"/>
    <s v="West Hartford"/>
    <s v="United States"/>
    <s v="Yes"/>
    <s v="L-M-0.2"/>
    <s v="Liberica"/>
    <s v="Medium"/>
    <n v="6"/>
    <n v="0.2"/>
    <n v="4.3650000000000002"/>
    <n v="26.19"/>
    <n v="0.56745000000000001"/>
    <n v="3.4047000000000001"/>
    <n v="13"/>
  </r>
  <r>
    <s v="ZGM-83108-823"/>
    <d v="2022-01-25T00:00:00"/>
    <s v="2022"/>
    <s v="January"/>
    <s v="84132-22322-QT"/>
    <s v="Paola Brydell"/>
    <s v="pbrydell8m@bloglovin.com"/>
    <s v="+353 (522) 527-0155"/>
    <s v="Listowel"/>
    <s v="Ireland"/>
    <s v="No"/>
    <s v="E-L-1"/>
    <s v="Excelsa"/>
    <s v="Light"/>
    <n v="1"/>
    <n v="1"/>
    <n v="14.85"/>
    <n v="14.85"/>
    <n v="1.6335"/>
    <n v="1.6335"/>
    <n v="11"/>
  </r>
  <r>
    <s v="JBP-78754-392"/>
    <d v="2020-04-30T00:00:00"/>
    <s v="2020"/>
    <s v="April"/>
    <s v="74330-29286-RO"/>
    <s v="Claudetta Rushe"/>
    <s v="crushe8n@about.me"/>
    <s v="+1 (704) 883-8274"/>
    <s v="Charlotte"/>
    <s v="United States"/>
    <s v="Yes"/>
    <s v="E-M-2.5"/>
    <s v="Excelsa"/>
    <s v="Medium"/>
    <n v="6"/>
    <n v="2.5"/>
    <n v="31.624999999999996"/>
    <n v="189.74999999999997"/>
    <n v="3.4787499999999998"/>
    <n v="20.872499999999999"/>
    <n v="11.000000000000002"/>
  </r>
  <r>
    <s v="RNH-54912-747"/>
    <d v="2021-05-01T00:00:00"/>
    <s v="2021"/>
    <s v="May"/>
    <s v="37445-17791-NQ"/>
    <s v="Natka Leethem"/>
    <s v="nleethem8o@mac.com"/>
    <s v="+1 (318) 839-1492"/>
    <s v="Alexandria"/>
    <s v="United States"/>
    <s v="Yes"/>
    <s v="R-M-0.5"/>
    <s v="Robusta"/>
    <s v="Medium"/>
    <n v="1"/>
    <n v="0.5"/>
    <n v="5.97"/>
    <n v="5.97"/>
    <n v="0.35819999999999996"/>
    <n v="0.35819999999999996"/>
    <n v="6"/>
  </r>
  <r>
    <s v="JDS-33440-914"/>
    <d v="2021-10-28T00:00:00"/>
    <s v="2021"/>
    <s v="October"/>
    <s v="58511-10548-ZU"/>
    <s v="Ailene Nesfield"/>
    <s v="anesfield8p@people.com.cn"/>
    <s v="+44 (418) 372-8139"/>
    <s v="Belfast"/>
    <s v="United Kingdom"/>
    <s v="Yes"/>
    <s v="R-M-1"/>
    <s v="Robusta"/>
    <s v="Medium"/>
    <n v="3"/>
    <n v="1"/>
    <n v="9.9499999999999993"/>
    <n v="29.849999999999998"/>
    <n v="0.59699999999999998"/>
    <n v="1.7909999999999999"/>
    <n v="6.0000000000000009"/>
  </r>
  <r>
    <s v="SYX-48878-182"/>
    <d v="2021-08-29T00:00:00"/>
    <s v="2021"/>
    <s v="August"/>
    <s v="47725-34771-FJ"/>
    <s v="Stacy Pickworth"/>
    <s v="UNKNOWN"/>
    <s v="+1 (702) 723-3139"/>
    <s v="Las Vegas"/>
    <s v="United States"/>
    <s v="No"/>
    <s v="R-D-1"/>
    <s v="Robusta"/>
    <s v="Dark"/>
    <n v="5"/>
    <n v="1"/>
    <n v="8.9499999999999993"/>
    <n v="44.75"/>
    <n v="0.53699999999999992"/>
    <n v="2.6849999999999996"/>
    <n v="5.9999999999999991"/>
  </r>
  <r>
    <s v="ZGD-94763-868"/>
    <d v="2019-12-27T00:00:00"/>
    <s v="2019"/>
    <s v="December"/>
    <s v="53086-67334-KT"/>
    <s v="Melli Brockway"/>
    <s v="mbrockway8r@ibm.com"/>
    <s v="+1 (515) 216-0617"/>
    <s v="Des Moines"/>
    <s v="United States"/>
    <s v="Yes"/>
    <s v="E-L-2.5"/>
    <s v="Excelsa"/>
    <s v="Light"/>
    <n v="1"/>
    <n v="2.5"/>
    <n v="34.154999999999994"/>
    <n v="34.154999999999994"/>
    <n v="3.7570499999999996"/>
    <n v="3.7570499999999996"/>
    <n v="11"/>
  </r>
  <r>
    <s v="CZY-70361-485"/>
    <d v="2019-06-25T00:00:00"/>
    <s v="2019"/>
    <s v="June"/>
    <s v="83308-82257-UN"/>
    <s v="Nanny Lush"/>
    <s v="nlush8s@dedecms.com"/>
    <s v="+353 (360) 805-4030"/>
    <s v="Ballivor"/>
    <s v="Ireland"/>
    <s v="No"/>
    <s v="E-L-2.5"/>
    <s v="Excelsa"/>
    <s v="Light"/>
    <n v="6"/>
    <n v="2.5"/>
    <n v="34.154999999999994"/>
    <n v="204.92999999999995"/>
    <n v="3.7570499999999996"/>
    <n v="22.542299999999997"/>
    <n v="11.000000000000002"/>
  </r>
  <r>
    <s v="RJR-12175-899"/>
    <d v="2019-03-02T00:00:00"/>
    <s v="2019"/>
    <s v="March"/>
    <s v="37274-08534-FM"/>
    <s v="Selma McMillian"/>
    <s v="smcmillian8t@csmonitor.com"/>
    <s v="+1 (330) 407-0631"/>
    <s v="Akron"/>
    <s v="United States"/>
    <s v="No"/>
    <s v="E-D-0.5"/>
    <s v="Excelsa"/>
    <s v="Dark"/>
    <n v="3"/>
    <n v="0.5"/>
    <n v="7.29"/>
    <n v="21.87"/>
    <n v="0.80190000000000006"/>
    <n v="2.4057000000000004"/>
    <n v="11.000000000000002"/>
  </r>
  <r>
    <s v="ELB-07929-407"/>
    <d v="2022-01-02T00:00:00"/>
    <s v="2022"/>
    <s v="January"/>
    <s v="54004-04664-AA"/>
    <s v="Tess Bennison"/>
    <s v="tbennison8u@google.cn"/>
    <s v="+1 (561) 413-7904"/>
    <s v="West Palm Beach"/>
    <s v="United States"/>
    <s v="Yes"/>
    <s v="A-M-2.5"/>
    <s v="Arabica"/>
    <s v="Medium"/>
    <n v="2"/>
    <n v="2.5"/>
    <n v="25.874999999999996"/>
    <n v="51.749999999999993"/>
    <n v="2.3287499999999994"/>
    <n v="4.6574999999999989"/>
    <n v="9"/>
  </r>
  <r>
    <s v="UJQ-54441-340"/>
    <d v="2019-07-30T00:00:00"/>
    <s v="2019"/>
    <s v="July"/>
    <s v="26822-19510-SD"/>
    <s v="Gabie Tweed"/>
    <s v="gtweed8v@yolasite.com"/>
    <s v="UNKNOWN"/>
    <s v="Fresno"/>
    <s v="United States"/>
    <s v="Yes"/>
    <s v="E-M-0.2"/>
    <s v="Excelsa"/>
    <s v="Medium"/>
    <n v="2"/>
    <n v="0.2"/>
    <n v="4.125"/>
    <n v="8.25"/>
    <n v="0.45374999999999999"/>
    <n v="0.90749999999999997"/>
    <n v="11"/>
  </r>
  <r>
    <s v="UJQ-54441-340"/>
    <d v="2019-07-30T00:00:00"/>
    <s v="2019"/>
    <s v="July"/>
    <s v="26822-19510-SD"/>
    <s v="Gabie Tweed"/>
    <s v="gtweed8v@yolasite.com"/>
    <s v="UNKNOWN"/>
    <s v="Fresno"/>
    <s v="United States"/>
    <s v="Yes"/>
    <s v="A-L-0.2"/>
    <s v="Arabica"/>
    <s v="Light"/>
    <n v="5"/>
    <n v="0.2"/>
    <n v="3.8849999999999998"/>
    <n v="19.424999999999997"/>
    <n v="0.34964999999999996"/>
    <n v="1.7482499999999999"/>
    <n v="9.0000000000000018"/>
  </r>
  <r>
    <s v="OWY-43108-475"/>
    <d v="2020-12-05T00:00:00"/>
    <s v="2020"/>
    <s v="December"/>
    <s v="06432-73165-ML"/>
    <s v="Gaile Goggin"/>
    <s v="ggoggin8x@wix.com"/>
    <s v="+353 (484) 159-9549"/>
    <s v="Sandyford"/>
    <s v="Ireland"/>
    <s v="Yes"/>
    <s v="A-M-0.2"/>
    <s v="Arabica"/>
    <s v="Medium"/>
    <n v="6"/>
    <n v="0.2"/>
    <n v="3.375"/>
    <n v="20.25"/>
    <n v="0.30374999999999996"/>
    <n v="1.8224999999999998"/>
    <n v="8.9999999999999982"/>
  </r>
  <r>
    <s v="GNO-91911-159"/>
    <d v="2020-12-17T00:00:00"/>
    <s v="2020"/>
    <s v="December"/>
    <s v="96503-31833-CW"/>
    <s v="Skylar Jeyness"/>
    <s v="sjeyness8y@biglobe.ne.jp"/>
    <s v="+353 (460) 272-4069"/>
    <s v="Dublin"/>
    <s v="Ireland"/>
    <s v="No"/>
    <s v="L-D-0.5"/>
    <s v="Liberica"/>
    <s v="Dark"/>
    <n v="3"/>
    <n v="0.5"/>
    <n v="7.77"/>
    <n v="23.31"/>
    <n v="1.0101"/>
    <n v="3.0303"/>
    <n v="13"/>
  </r>
  <r>
    <s v="CNY-06284-066"/>
    <d v="2021-06-26T00:00:00"/>
    <s v="2021"/>
    <s v="June"/>
    <s v="63985-64148-MG"/>
    <s v="Donica Bonhome"/>
    <s v="dbonhome8z@shinystat.com"/>
    <s v="+1 (865) 238-4985"/>
    <s v="Knoxville"/>
    <s v="United States"/>
    <s v="Yes"/>
    <s v="E-D-0.2"/>
    <s v="Excelsa"/>
    <s v="Dark"/>
    <n v="5"/>
    <n v="0.2"/>
    <n v="3.645"/>
    <n v="18.225000000000001"/>
    <n v="0.40095000000000003"/>
    <n v="2.00475"/>
    <n v="10.999999999999998"/>
  </r>
  <r>
    <s v="OQS-46321-904"/>
    <d v="2019-07-20T00:00:00"/>
    <s v="2019"/>
    <s v="July"/>
    <s v="19597-91185-CM"/>
    <s v="Diena Peetermann"/>
    <s v="UNKNOWN"/>
    <s v="+1 (913) 671-7118"/>
    <s v="Shawnee Mission"/>
    <s v="United States"/>
    <s v="No"/>
    <s v="E-M-1"/>
    <s v="Excelsa"/>
    <s v="Medium"/>
    <n v="1"/>
    <n v="1"/>
    <n v="13.75"/>
    <n v="13.75"/>
    <n v="1.5125"/>
    <n v="1.5125"/>
    <n v="11"/>
  </r>
  <r>
    <s v="IBW-87442-480"/>
    <d v="2022-07-14T00:00:00"/>
    <s v="2022"/>
    <s v="July"/>
    <s v="79814-23626-JR"/>
    <s v="Trina Le Sarr"/>
    <s v="tle91@epa.gov"/>
    <s v="+1 (415) 176-8216"/>
    <s v="San Francisco"/>
    <s v="United States"/>
    <s v="Yes"/>
    <s v="A-L-2.5"/>
    <s v="Arabica"/>
    <s v="Light"/>
    <n v="1"/>
    <n v="2.5"/>
    <n v="29.784999999999997"/>
    <n v="29.784999999999997"/>
    <n v="2.6806499999999995"/>
    <n v="2.6806499999999995"/>
    <n v="9"/>
  </r>
  <r>
    <s v="DGZ-82537-477"/>
    <d v="2020-08-14T00:00:00"/>
    <s v="2020"/>
    <s v="August"/>
    <s v="43439-94003-DW"/>
    <s v="Flynn Antony"/>
    <s v="UNKNOWN"/>
    <s v="+1 (205) 680-5859"/>
    <s v="Birmingham"/>
    <s v="United States"/>
    <s v="No"/>
    <s v="R-D-1"/>
    <s v="Robusta"/>
    <s v="Dark"/>
    <n v="5"/>
    <n v="1"/>
    <n v="8.9499999999999993"/>
    <n v="44.75"/>
    <n v="0.53699999999999992"/>
    <n v="2.6849999999999996"/>
    <n v="5.9999999999999991"/>
  </r>
  <r>
    <s v="LPS-39089-432"/>
    <d v="2019-04-24T00:00:00"/>
    <s v="2019"/>
    <s v="April"/>
    <s v="97655-45555-LI"/>
    <s v="Baudoin Alldridge"/>
    <s v="balldridge93@yandex.ru"/>
    <s v="+1 (646) 561-0082"/>
    <s v="Brooklyn"/>
    <s v="United States"/>
    <s v="Yes"/>
    <s v="R-D-1"/>
    <s v="Robusta"/>
    <s v="Dark"/>
    <n v="5"/>
    <n v="1"/>
    <n v="8.9499999999999993"/>
    <n v="44.75"/>
    <n v="0.53699999999999992"/>
    <n v="2.6849999999999996"/>
    <n v="5.9999999999999991"/>
  </r>
  <r>
    <s v="MQU-86100-929"/>
    <d v="2019-06-04T00:00:00"/>
    <s v="2019"/>
    <s v="June"/>
    <s v="64418-01720-VW"/>
    <s v="Homer Dulany"/>
    <s v="UNKNOWN"/>
    <s v="+1 (915) 761-6081"/>
    <s v="El Paso"/>
    <s v="United States"/>
    <s v="Yes"/>
    <s v="L-L-0.5"/>
    <s v="Liberica"/>
    <s v="Light"/>
    <n v="4"/>
    <n v="0.5"/>
    <n v="9.51"/>
    <n v="38.04"/>
    <n v="1.2363"/>
    <n v="4.9451999999999998"/>
    <n v="13"/>
  </r>
  <r>
    <s v="XUR-14132-391"/>
    <d v="2022-08-08T00:00:00"/>
    <s v="2022"/>
    <s v="August"/>
    <s v="96836-09258-RI"/>
    <s v="Lisa Goodger"/>
    <s v="lgoodger95@guardian.co.uk"/>
    <s v="UNKNOWN"/>
    <s v="Sacramento"/>
    <s v="United States"/>
    <s v="Yes"/>
    <s v="R-D-0.5"/>
    <s v="Robusta"/>
    <s v="Dark"/>
    <n v="4"/>
    <n v="0.5"/>
    <n v="5.3699999999999992"/>
    <n v="21.479999999999997"/>
    <n v="0.32219999999999993"/>
    <n v="1.2887999999999997"/>
    <n v="6"/>
  </r>
  <r>
    <s v="OVI-27064-381"/>
    <d v="2019-11-13T00:00:00"/>
    <s v="2019"/>
    <s v="November"/>
    <s v="37274-08534-FM"/>
    <s v="Selma McMillian"/>
    <s v="smcmillian8t@csmonitor.com"/>
    <s v="+1 (330) 407-0631"/>
    <s v="Akron"/>
    <s v="United States"/>
    <s v="No"/>
    <s v="R-D-0.5"/>
    <s v="Robusta"/>
    <s v="Dark"/>
    <n v="3"/>
    <n v="0.5"/>
    <n v="5.3699999999999992"/>
    <n v="16.11"/>
    <n v="0.32219999999999993"/>
    <n v="0.96659999999999979"/>
    <n v="5.9999999999999991"/>
  </r>
  <r>
    <s v="SHP-17012-870"/>
    <d v="2020-06-07T00:00:00"/>
    <s v="2020"/>
    <s v="June"/>
    <s v="69529-07533-CV"/>
    <s v="Corine Drewett"/>
    <s v="cdrewett97@wikipedia.org"/>
    <s v="+1 (561) 651-3098"/>
    <s v="Boynton Beach"/>
    <s v="United States"/>
    <s v="Yes"/>
    <s v="R-M-2.5"/>
    <s v="Robusta"/>
    <s v="Medium"/>
    <n v="1"/>
    <n v="2.5"/>
    <n v="22.884999999999998"/>
    <n v="22.884999999999998"/>
    <n v="1.3730999999999998"/>
    <n v="1.3730999999999998"/>
    <n v="6"/>
  </r>
  <r>
    <s v="FDY-03414-903"/>
    <d v="2019-08-12T00:00:00"/>
    <s v="2019"/>
    <s v="August"/>
    <s v="94840-49457-UD"/>
    <s v="Quinn Parsons"/>
    <s v="qparsons98@blogtalkradio.com"/>
    <s v="+1 (323) 848-5169"/>
    <s v="Los Angeles"/>
    <s v="United States"/>
    <s v="Yes"/>
    <s v="A-D-0.5"/>
    <s v="Arabica"/>
    <s v="Dark"/>
    <n v="3"/>
    <n v="0.5"/>
    <n v="5.97"/>
    <n v="17.91"/>
    <n v="0.5373"/>
    <n v="1.6118999999999999"/>
    <n v="9"/>
  </r>
  <r>
    <s v="WXT-85291-143"/>
    <d v="2019-09-04T00:00:00"/>
    <s v="2019"/>
    <s v="September"/>
    <s v="81414-81273-DK"/>
    <s v="Vivyan Ceely"/>
    <s v="vceely99@auda.org.au"/>
    <s v="+1 (410) 876-8486"/>
    <s v="Baltimore"/>
    <s v="United States"/>
    <s v="Yes"/>
    <s v="R-M-0.5"/>
    <s v="Robusta"/>
    <s v="Medium"/>
    <n v="4"/>
    <n v="0.5"/>
    <n v="5.97"/>
    <n v="23.88"/>
    <n v="0.35819999999999996"/>
    <n v="1.4327999999999999"/>
    <n v="6"/>
  </r>
  <r>
    <s v="QNP-18893-547"/>
    <d v="2019-10-04T00:00:00"/>
    <s v="2019"/>
    <s v="October"/>
    <s v="76930-61689-CH"/>
    <s v="Elonore Goodings"/>
    <s v="UNKNOWN"/>
    <s v="UNKNOWN"/>
    <s v="Salt Lake City"/>
    <s v="United States"/>
    <s v="No"/>
    <s v="R-L-1"/>
    <s v="Robusta"/>
    <s v="Light"/>
    <n v="5"/>
    <n v="1"/>
    <n v="11.95"/>
    <n v="59.75"/>
    <n v="0.71699999999999997"/>
    <n v="3.585"/>
    <n v="6"/>
  </r>
  <r>
    <s v="DOH-92927-530"/>
    <d v="2020-02-24T00:00:00"/>
    <s v="2020"/>
    <s v="February"/>
    <s v="12839-56537-TQ"/>
    <s v="Clement Vasiliev"/>
    <s v="cvasiliev9b@discuz.net"/>
    <s v="+1 (214) 507-8264"/>
    <s v="Garland"/>
    <s v="United States"/>
    <s v="Yes"/>
    <s v="L-L-0.2"/>
    <s v="Liberica"/>
    <s v="Light"/>
    <n v="6"/>
    <n v="0.2"/>
    <n v="4.7549999999999999"/>
    <n v="28.53"/>
    <n v="0.61814999999999998"/>
    <n v="3.7088999999999999"/>
    <n v="12.999999999999998"/>
  </r>
  <r>
    <s v="HGJ-82768-173"/>
    <d v="2021-08-26T00:00:00"/>
    <s v="2021"/>
    <s v="August"/>
    <s v="62741-01322-HU"/>
    <s v="Terencio O'Moylan"/>
    <s v="tomoylan9c@liveinternet.ru"/>
    <s v="+44 (911) 807-7254"/>
    <s v="Church End"/>
    <s v="United Kingdom"/>
    <s v="No"/>
    <s v="A-M-1"/>
    <s v="Arabica"/>
    <s v="Medium"/>
    <n v="4"/>
    <n v="1"/>
    <n v="11.25"/>
    <n v="45"/>
    <n v="1.0125"/>
    <n v="4.05"/>
    <n v="9"/>
  </r>
  <r>
    <s v="YPT-95383-088"/>
    <d v="2021-10-03T00:00:00"/>
    <s v="2021"/>
    <s v="October"/>
    <s v="43439-94003-DW"/>
    <s v="Flynn Antony"/>
    <s v="UNKNOWN"/>
    <s v="+1 (205) 680-5859"/>
    <s v="Birmingham"/>
    <s v="United States"/>
    <s v="No"/>
    <s v="E-D-2.5"/>
    <s v="Excelsa"/>
    <s v="Dark"/>
    <n v="2"/>
    <n v="2.5"/>
    <n v="27.945"/>
    <n v="55.89"/>
    <n v="3.07395"/>
    <n v="6.1478999999999999"/>
    <n v="11"/>
  </r>
  <r>
    <s v="OYH-16533-767"/>
    <d v="2020-06-13T00:00:00"/>
    <s v="2020"/>
    <s v="June"/>
    <s v="44932-34838-RM"/>
    <s v="Wyatan Fetherston"/>
    <s v="wfetherston9e@constantcontact.com"/>
    <s v="+1 (212) 724-3420"/>
    <s v="New York City"/>
    <s v="United States"/>
    <s v="No"/>
    <s v="E-L-1"/>
    <s v="Excelsa"/>
    <s v="Light"/>
    <n v="4"/>
    <n v="1"/>
    <n v="14.85"/>
    <n v="59.4"/>
    <n v="1.6335"/>
    <n v="6.5339999999999998"/>
    <n v="11"/>
  </r>
  <r>
    <s v="DWW-28642-549"/>
    <d v="2021-03-01T00:00:00"/>
    <s v="2021"/>
    <s v="March"/>
    <s v="91181-19412-RQ"/>
    <s v="Emmaline Rasmus"/>
    <s v="erasmus9f@techcrunch.com"/>
    <s v="+1 (617) 830-9474"/>
    <s v="Boston"/>
    <s v="United States"/>
    <s v="Yes"/>
    <s v="E-D-0.2"/>
    <s v="Excelsa"/>
    <s v="Dark"/>
    <n v="2"/>
    <n v="0.2"/>
    <n v="3.645"/>
    <n v="7.29"/>
    <n v="0.40095000000000003"/>
    <n v="0.80190000000000006"/>
    <n v="11"/>
  </r>
  <r>
    <s v="CGO-79583-871"/>
    <d v="2019-03-04T00:00:00"/>
    <s v="2019"/>
    <s v="March"/>
    <s v="37182-54930-XC"/>
    <s v="Wesley Giorgioni"/>
    <s v="wgiorgioni9g@wikipedia.org"/>
    <s v="+1 (415) 960-7198"/>
    <s v="San Francisco"/>
    <s v="United States"/>
    <s v="Yes"/>
    <s v="E-D-0.5"/>
    <s v="Excelsa"/>
    <s v="Dark"/>
    <n v="1"/>
    <n v="0.5"/>
    <n v="7.29"/>
    <n v="7.29"/>
    <n v="0.80190000000000006"/>
    <n v="0.80190000000000006"/>
    <n v="11"/>
  </r>
  <r>
    <s v="TFY-52090-386"/>
    <d v="2019-10-13T00:00:00"/>
    <s v="2019"/>
    <s v="October"/>
    <s v="08613-17327-XT"/>
    <s v="Lucienne Scargle"/>
    <s v="lscargle9h@myspace.com"/>
    <s v="+1 (317) 136-7045"/>
    <s v="Indianapolis"/>
    <s v="United States"/>
    <s v="No"/>
    <s v="E-L-0.5"/>
    <s v="Excelsa"/>
    <s v="Light"/>
    <n v="2"/>
    <n v="0.5"/>
    <n v="8.91"/>
    <n v="17.82"/>
    <n v="0.98009999999999997"/>
    <n v="1.9601999999999999"/>
    <n v="11"/>
  </r>
  <r>
    <s v="TFY-52090-386"/>
    <d v="2019-10-13T00:00:00"/>
    <s v="2019"/>
    <s v="October"/>
    <s v="08613-17327-XT"/>
    <s v="Lucienne Scargle"/>
    <s v="lscargle9h@myspace.com"/>
    <s v="+1 (317) 136-7045"/>
    <s v="Indianapolis"/>
    <s v="United States"/>
    <s v="No"/>
    <s v="L-D-0.5"/>
    <s v="Liberica"/>
    <s v="Dark"/>
    <n v="5"/>
    <n v="0.5"/>
    <n v="7.77"/>
    <n v="38.849999999999994"/>
    <n v="1.0101"/>
    <n v="5.0504999999999995"/>
    <n v="13"/>
  </r>
  <r>
    <s v="NYY-73968-094"/>
    <d v="2019-08-15T00:00:00"/>
    <s v="2019"/>
    <s v="August"/>
    <s v="70451-38048-AH"/>
    <s v="Noam Climance"/>
    <s v="nclimance9j@europa.eu"/>
    <s v="UNKNOWN"/>
    <s v="Seattle"/>
    <s v="United States"/>
    <s v="No"/>
    <s v="R-D-0.5"/>
    <s v="Robusta"/>
    <s v="Dark"/>
    <n v="6"/>
    <n v="0.5"/>
    <n v="5.3699999999999992"/>
    <n v="32.22"/>
    <n v="0.32219999999999993"/>
    <n v="1.9331999999999996"/>
    <n v="5.9999999999999991"/>
  </r>
  <r>
    <s v="QEY-71761-460"/>
    <d v="2021-11-29T00:00:00"/>
    <s v="2021"/>
    <s v="November"/>
    <s v="35442-75769-PL"/>
    <s v="Catarina Donn"/>
    <s v="UNKNOWN"/>
    <s v="+353 (950) 306-4776"/>
    <s v="Dunmanway"/>
    <s v="Ireland"/>
    <s v="Yes"/>
    <s v="R-M-1"/>
    <s v="Robusta"/>
    <s v="Medium"/>
    <n v="2"/>
    <n v="1"/>
    <n v="9.9499999999999993"/>
    <n v="19.899999999999999"/>
    <n v="0.59699999999999998"/>
    <n v="1.194"/>
    <n v="6.0000000000000009"/>
  </r>
  <r>
    <s v="GKQ-82603-910"/>
    <d v="2020-01-19T00:00:00"/>
    <s v="2020"/>
    <s v="January"/>
    <s v="83737-56117-JE"/>
    <s v="Ameline Snazle"/>
    <s v="asnazle9l@oracle.com"/>
    <s v="+1 (334) 193-6359"/>
    <s v="Montgomery"/>
    <s v="United States"/>
    <s v="No"/>
    <s v="R-L-1"/>
    <s v="Robusta"/>
    <s v="Light"/>
    <n v="5"/>
    <n v="1"/>
    <n v="11.95"/>
    <n v="59.75"/>
    <n v="0.71699999999999997"/>
    <n v="3.585"/>
    <n v="6"/>
  </r>
  <r>
    <s v="IOB-32673-745"/>
    <d v="2021-05-28T00:00:00"/>
    <s v="2021"/>
    <s v="May"/>
    <s v="07095-81281-NJ"/>
    <s v="Rebeka Worg"/>
    <s v="rworg9m@arstechnica.com"/>
    <s v="+1 (214) 985-2470"/>
    <s v="Dallas"/>
    <s v="United States"/>
    <s v="Yes"/>
    <s v="A-L-0.5"/>
    <s v="Arabica"/>
    <s v="Light"/>
    <n v="3"/>
    <n v="0.5"/>
    <n v="7.77"/>
    <n v="23.31"/>
    <n v="0.69929999999999992"/>
    <n v="2.0978999999999997"/>
    <n v="9"/>
  </r>
  <r>
    <s v="YAU-98893-150"/>
    <d v="2022-01-15T00:00:00"/>
    <s v="2022"/>
    <s v="January"/>
    <s v="77043-48851-HG"/>
    <s v="Lewes Danes"/>
    <s v="ldanes9n@umn.edu"/>
    <s v="+1 (785) 398-5129"/>
    <s v="Topeka"/>
    <s v="United States"/>
    <s v="No"/>
    <s v="L-M-1"/>
    <s v="Liberica"/>
    <s v="Medium"/>
    <n v="3"/>
    <n v="1"/>
    <n v="14.55"/>
    <n v="43.650000000000006"/>
    <n v="1.8915000000000002"/>
    <n v="5.6745000000000001"/>
    <n v="12.999999999999998"/>
  </r>
  <r>
    <s v="XNM-14163-951"/>
    <d v="2019-12-04T00:00:00"/>
    <s v="2019"/>
    <s v="December"/>
    <s v="78224-60622-KH"/>
    <s v="Shelli Keynd"/>
    <s v="skeynd9o@narod.ru"/>
    <s v="+1 (903) 299-3053"/>
    <s v="Tyler"/>
    <s v="United States"/>
    <s v="No"/>
    <s v="E-L-2.5"/>
    <s v="Excelsa"/>
    <s v="Light"/>
    <n v="6"/>
    <n v="2.5"/>
    <n v="34.154999999999994"/>
    <n v="204.92999999999995"/>
    <n v="3.7570499999999996"/>
    <n v="22.542299999999997"/>
    <n v="11.000000000000002"/>
  </r>
  <r>
    <s v="JPB-45297-000"/>
    <d v="2022-07-01T00:00:00"/>
    <s v="2022"/>
    <s v="July"/>
    <s v="83105-86631-IU"/>
    <s v="Dell Daveridge"/>
    <s v="ddaveridge9p@arstechnica.com"/>
    <s v="+1 (213) 474-2139"/>
    <s v="Los Angeles"/>
    <s v="United States"/>
    <s v="No"/>
    <s v="R-L-0.2"/>
    <s v="Robusta"/>
    <s v="Light"/>
    <n v="4"/>
    <n v="0.2"/>
    <n v="3.5849999999999995"/>
    <n v="14.339999999999998"/>
    <n v="0.21509999999999996"/>
    <n v="0.86039999999999983"/>
    <n v="6"/>
  </r>
  <r>
    <s v="MOU-74341-266"/>
    <d v="2019-05-07T00:00:00"/>
    <s v="2019"/>
    <s v="May"/>
    <s v="99358-65399-TC"/>
    <s v="Joshuah Awdry"/>
    <s v="jawdry9q@utexas.edu"/>
    <s v="+1 (318) 747-7610"/>
    <s v="Shreveport"/>
    <s v="United States"/>
    <s v="No"/>
    <s v="A-D-0.5"/>
    <s v="Arabica"/>
    <s v="Dark"/>
    <n v="4"/>
    <n v="0.5"/>
    <n v="5.97"/>
    <n v="23.88"/>
    <n v="0.5373"/>
    <n v="2.1492"/>
    <n v="9.0000000000000018"/>
  </r>
  <r>
    <s v="DHJ-87461-571"/>
    <d v="2020-08-23T00:00:00"/>
    <s v="2020"/>
    <s v="August"/>
    <s v="94525-76037-JP"/>
    <s v="Ethel Ryles"/>
    <s v="eryles9r@fastcompany.com"/>
    <s v="+1 (208) 760-1705"/>
    <s v="Boise"/>
    <s v="United States"/>
    <s v="No"/>
    <s v="A-M-1"/>
    <s v="Arabica"/>
    <s v="Medium"/>
    <n v="2"/>
    <n v="1"/>
    <n v="11.25"/>
    <n v="22.5"/>
    <n v="1.0125"/>
    <n v="2.0249999999999999"/>
    <n v="9"/>
  </r>
  <r>
    <s v="DKM-97676-850"/>
    <d v="2020-06-02T00:00:00"/>
    <s v="2020"/>
    <s v="June"/>
    <s v="43439-94003-DW"/>
    <s v="Flynn Antony"/>
    <s v="UNKNOWN"/>
    <s v="+1 (205) 680-5859"/>
    <s v="Birmingham"/>
    <s v="United States"/>
    <s v="No"/>
    <s v="E-D-0.5"/>
    <s v="Excelsa"/>
    <s v="Dark"/>
    <n v="5"/>
    <n v="0.5"/>
    <n v="7.29"/>
    <n v="36.450000000000003"/>
    <n v="0.80190000000000006"/>
    <n v="4.0095000000000001"/>
    <n v="10.999999999999998"/>
  </r>
  <r>
    <s v="UEB-09112-118"/>
    <d v="2020-01-30T00:00:00"/>
    <s v="2020"/>
    <s v="January"/>
    <s v="82718-93677-XO"/>
    <s v="Maitilde Boxill"/>
    <s v="UNKNOWN"/>
    <s v="+1 (334) 191-0127"/>
    <s v="Montgomery"/>
    <s v="United States"/>
    <s v="Yes"/>
    <s v="A-M-0.5"/>
    <s v="Arabica"/>
    <s v="Medium"/>
    <n v="4"/>
    <n v="0.5"/>
    <n v="6.75"/>
    <n v="27"/>
    <n v="0.60749999999999993"/>
    <n v="2.4299999999999997"/>
    <n v="8.9999999999999982"/>
  </r>
  <r>
    <s v="ORZ-67699-748"/>
    <d v="2020-02-15T00:00:00"/>
    <s v="2020"/>
    <s v="February"/>
    <s v="44708-78241-DF"/>
    <s v="Jodee Caldicott"/>
    <s v="jcaldicott9u@usda.gov"/>
    <s v="UNKNOWN"/>
    <s v="Fort Pierce"/>
    <s v="United States"/>
    <s v="No"/>
    <s v="A-M-2.5"/>
    <s v="Arabica"/>
    <s v="Medium"/>
    <n v="6"/>
    <n v="2.5"/>
    <n v="25.874999999999996"/>
    <n v="155.24999999999997"/>
    <n v="2.3287499999999994"/>
    <n v="13.972499999999997"/>
    <n v="9"/>
  </r>
  <r>
    <s v="JXP-28398-485"/>
    <d v="2021-06-11T00:00:00"/>
    <s v="2021"/>
    <s v="June"/>
    <s v="23039-93032-FN"/>
    <s v="Marianna Vedmore"/>
    <s v="mvedmore9v@a8.net"/>
    <s v="+1 (336) 366-8873"/>
    <s v="Greensboro"/>
    <s v="United States"/>
    <s v="Yes"/>
    <s v="A-D-2.5"/>
    <s v="Arabica"/>
    <s v="Dark"/>
    <n v="5"/>
    <n v="2.5"/>
    <n v="22.884999999999998"/>
    <n v="114.42499999999998"/>
    <n v="2.0596499999999995"/>
    <n v="10.298249999999998"/>
    <n v="9"/>
  </r>
  <r>
    <s v="WWH-92259-198"/>
    <d v="2022-03-11T00:00:00"/>
    <s v="2022"/>
    <s v="March"/>
    <s v="35256-12529-FT"/>
    <s v="Willey Romao"/>
    <s v="wromao9w@chronoengine.com"/>
    <s v="+1 (916) 623-2394"/>
    <s v="Sacramento"/>
    <s v="United States"/>
    <s v="Yes"/>
    <s v="L-D-1"/>
    <s v="Liberica"/>
    <s v="Dark"/>
    <n v="4"/>
    <n v="1"/>
    <n v="12.95"/>
    <n v="51.8"/>
    <n v="1.6835"/>
    <n v="6.734"/>
    <n v="13"/>
  </r>
  <r>
    <s v="FLR-82914-153"/>
    <d v="2021-09-09T00:00:00"/>
    <s v="2021"/>
    <s v="September"/>
    <s v="86100-33488-WP"/>
    <s v="Enriqueta Ixor"/>
    <s v="UNKNOWN"/>
    <s v="+1 (512) 200-9234"/>
    <s v="Round Rock"/>
    <s v="United States"/>
    <s v="No"/>
    <s v="A-M-2.5"/>
    <s v="Arabica"/>
    <s v="Medium"/>
    <n v="6"/>
    <n v="2.5"/>
    <n v="25.874999999999996"/>
    <n v="155.24999999999997"/>
    <n v="2.3287499999999994"/>
    <n v="13.972499999999997"/>
    <n v="9"/>
  </r>
  <r>
    <s v="AMB-93600-000"/>
    <d v="2019-05-14T00:00:00"/>
    <s v="2019"/>
    <s v="May"/>
    <s v="64435-53100-WM"/>
    <s v="Tomasina Cotmore"/>
    <s v="tcotmore9y@amazonaws.com"/>
    <s v="+1 (571) 250-3012"/>
    <s v="Reston"/>
    <s v="United States"/>
    <s v="No"/>
    <s v="A-L-2.5"/>
    <s v="Arabica"/>
    <s v="Light"/>
    <n v="1"/>
    <n v="2.5"/>
    <n v="29.784999999999997"/>
    <n v="29.784999999999997"/>
    <n v="2.6806499999999995"/>
    <n v="2.6806499999999995"/>
    <n v="9"/>
  </r>
  <r>
    <s v="FEP-36895-658"/>
    <d v="2019-04-08T00:00:00"/>
    <s v="2019"/>
    <s v="April"/>
    <s v="44699-43836-UH"/>
    <s v="Yuma Skipsey"/>
    <s v="yskipsey9z@spotify.com"/>
    <s v="+44 (257) 759-9950"/>
    <s v="Charlton"/>
    <s v="United Kingdom"/>
    <s v="No"/>
    <s v="R-L-0.2"/>
    <s v="Robusta"/>
    <s v="Light"/>
    <n v="6"/>
    <n v="0.2"/>
    <n v="3.5849999999999995"/>
    <n v="21.509999999999998"/>
    <n v="0.21509999999999996"/>
    <n v="1.2905999999999997"/>
    <n v="5.9999999999999991"/>
  </r>
  <r>
    <s v="RXW-91413-276"/>
    <d v="2020-08-15T00:00:00"/>
    <s v="2020"/>
    <s v="August"/>
    <s v="29588-35679-RG"/>
    <s v="Nicko Corps"/>
    <s v="ncorpsa0@gmpg.org"/>
    <s v="+1 (803) 730-8217"/>
    <s v="Columbia"/>
    <s v="United States"/>
    <s v="No"/>
    <s v="R-D-2.5"/>
    <s v="Robusta"/>
    <s v="Dark"/>
    <n v="2"/>
    <n v="2.5"/>
    <n v="20.584999999999997"/>
    <n v="41.169999999999995"/>
    <n v="1.2350999999999999"/>
    <n v="2.4701999999999997"/>
    <n v="6.0000000000000009"/>
  </r>
  <r>
    <s v="RXW-91413-276"/>
    <d v="2020-08-15T00:00:00"/>
    <s v="2020"/>
    <s v="August"/>
    <s v="29588-35679-RG"/>
    <s v="Nicko Corps"/>
    <s v="ncorpsa0@gmpg.org"/>
    <s v="+1 (803) 730-8217"/>
    <s v="Columbia"/>
    <s v="United States"/>
    <s v="No"/>
    <s v="R-M-0.5"/>
    <s v="Robusta"/>
    <s v="Medium"/>
    <n v="1"/>
    <n v="0.5"/>
    <n v="5.97"/>
    <n v="5.97"/>
    <n v="0.35819999999999996"/>
    <n v="0.35819999999999996"/>
    <n v="6"/>
  </r>
  <r>
    <s v="SDB-77492-188"/>
    <d v="2022-05-05T00:00:00"/>
    <s v="2022"/>
    <s v="May"/>
    <s v="64815-54078-HH"/>
    <s v="Feliks Babber"/>
    <s v="fbabbera2@stanford.edu"/>
    <s v="+1 (623) 550-6050"/>
    <s v="Phoenix"/>
    <s v="United States"/>
    <s v="Yes"/>
    <s v="E-L-1"/>
    <s v="Excelsa"/>
    <s v="Light"/>
    <n v="5"/>
    <n v="1"/>
    <n v="14.85"/>
    <n v="74.25"/>
    <n v="1.6335"/>
    <n v="8.1675000000000004"/>
    <n v="11"/>
  </r>
  <r>
    <s v="RZN-65182-395"/>
    <d v="2021-03-27T00:00:00"/>
    <s v="2021"/>
    <s v="March"/>
    <s v="59572-41990-XY"/>
    <s v="Kaja Loxton"/>
    <s v="kloxtona3@opensource.org"/>
    <s v="UNKNOWN"/>
    <s v="Miami"/>
    <s v="United States"/>
    <s v="No"/>
    <s v="L-M-1"/>
    <s v="Liberica"/>
    <s v="Medium"/>
    <n v="6"/>
    <n v="1"/>
    <n v="14.55"/>
    <n v="87.300000000000011"/>
    <n v="1.8915000000000002"/>
    <n v="11.349"/>
    <n v="12.999999999999998"/>
  </r>
  <r>
    <s v="HDQ-86094-507"/>
    <d v="2019-04-27T00:00:00"/>
    <s v="2019"/>
    <s v="April"/>
    <s v="32481-61533-ZJ"/>
    <s v="Parker Tofful"/>
    <s v="ptoffula4@posterous.com"/>
    <s v="+1 (310) 210-6841"/>
    <s v="Fresno"/>
    <s v="United States"/>
    <s v="Yes"/>
    <s v="E-D-1"/>
    <s v="Excelsa"/>
    <s v="Dark"/>
    <n v="6"/>
    <n v="1"/>
    <n v="12.15"/>
    <n v="72.900000000000006"/>
    <n v="1.3365"/>
    <n v="8.0190000000000001"/>
    <n v="10.999999999999998"/>
  </r>
  <r>
    <s v="YXO-79631-417"/>
    <d v="2021-09-25T00:00:00"/>
    <s v="2021"/>
    <s v="September"/>
    <s v="31587-92570-HL"/>
    <s v="Casi Gwinnett"/>
    <s v="cgwinnetta5@behance.net"/>
    <s v="UNKNOWN"/>
    <s v="Anaheim"/>
    <s v="United States"/>
    <s v="No"/>
    <s v="L-D-0.5"/>
    <s v="Liberica"/>
    <s v="Dark"/>
    <n v="1"/>
    <n v="0.5"/>
    <n v="7.77"/>
    <n v="7.77"/>
    <n v="1.0101"/>
    <n v="1.0101"/>
    <n v="13"/>
  </r>
  <r>
    <s v="SNF-57032-096"/>
    <d v="2020-02-13T00:00:00"/>
    <s v="2020"/>
    <s v="February"/>
    <s v="93832-04799-ID"/>
    <s v="Saree Ellesworth"/>
    <s v="UNKNOWN"/>
    <s v="+1 (757) 211-0153"/>
    <s v="Newport News"/>
    <s v="United States"/>
    <s v="No"/>
    <s v="E-D-0.5"/>
    <s v="Excelsa"/>
    <s v="Dark"/>
    <n v="6"/>
    <n v="0.5"/>
    <n v="7.29"/>
    <n v="43.74"/>
    <n v="0.80190000000000006"/>
    <n v="4.8114000000000008"/>
    <n v="11.000000000000002"/>
  </r>
  <r>
    <s v="DGL-29648-995"/>
    <d v="2021-07-16T00:00:00"/>
    <s v="2021"/>
    <s v="July"/>
    <s v="59367-30821-ZQ"/>
    <s v="Silvio Iorizzi"/>
    <s v="UNKNOWN"/>
    <s v="UNKNOWN"/>
    <s v="Spartanburg"/>
    <s v="United States"/>
    <s v="Yes"/>
    <s v="L-M-0.2"/>
    <s v="Liberica"/>
    <s v="Medium"/>
    <n v="2"/>
    <n v="0.2"/>
    <n v="4.3650000000000002"/>
    <n v="8.73"/>
    <n v="0.56745000000000001"/>
    <n v="1.1349"/>
    <n v="13"/>
  </r>
  <r>
    <s v="GPU-65651-504"/>
    <d v="2022-05-11T00:00:00"/>
    <s v="2022"/>
    <s v="May"/>
    <s v="83947-45528-ET"/>
    <s v="Leesa Flaonier"/>
    <s v="lflaoniera8@wordpress.org"/>
    <s v="+1 (718) 586-2839"/>
    <s v="Staten Island"/>
    <s v="United States"/>
    <s v="No"/>
    <s v="E-M-2.5"/>
    <s v="Excelsa"/>
    <s v="Medium"/>
    <n v="2"/>
    <n v="2.5"/>
    <n v="31.624999999999996"/>
    <n v="63.249999999999993"/>
    <n v="3.4787499999999998"/>
    <n v="6.9574999999999996"/>
    <n v="11"/>
  </r>
  <r>
    <s v="OJU-34452-896"/>
    <d v="2019-02-04T00:00:00"/>
    <s v="2019"/>
    <s v="February"/>
    <s v="60799-92593-CX"/>
    <s v="Abba Pummell"/>
    <s v="UNKNOWN"/>
    <s v="UNKNOWN"/>
    <s v="Las Vegas"/>
    <s v="United States"/>
    <s v="Yes"/>
    <s v="E-L-0.5"/>
    <s v="Excelsa"/>
    <s v="Light"/>
    <n v="1"/>
    <n v="0.5"/>
    <n v="8.91"/>
    <n v="8.91"/>
    <n v="0.98009999999999997"/>
    <n v="0.98009999999999997"/>
    <n v="11"/>
  </r>
  <r>
    <s v="GZS-50547-887"/>
    <d v="2019-02-05T00:00:00"/>
    <s v="2019"/>
    <s v="February"/>
    <s v="61600-55136-UM"/>
    <s v="Corinna Catcheside"/>
    <s v="ccatchesideaa@macromedia.com"/>
    <s v="+1 (801) 121-6042"/>
    <s v="Salt Lake City"/>
    <s v="United States"/>
    <s v="Yes"/>
    <s v="E-D-1"/>
    <s v="Excelsa"/>
    <s v="Dark"/>
    <n v="2"/>
    <n v="1"/>
    <n v="12.15"/>
    <n v="24.3"/>
    <n v="1.3365"/>
    <n v="2.673"/>
    <n v="11"/>
  </r>
  <r>
    <s v="ESR-54041-053"/>
    <d v="2022-05-24T00:00:00"/>
    <s v="2022"/>
    <s v="May"/>
    <s v="59771-90302-OF"/>
    <s v="Cortney Gibbonson"/>
    <s v="cgibbonsonab@accuweather.com"/>
    <s v="+1 (206) 848-3585"/>
    <s v="Seattle"/>
    <s v="United States"/>
    <s v="Yes"/>
    <s v="A-L-0.5"/>
    <s v="Arabica"/>
    <s v="Light"/>
    <n v="6"/>
    <n v="0.5"/>
    <n v="7.77"/>
    <n v="46.62"/>
    <n v="0.69929999999999992"/>
    <n v="4.1957999999999993"/>
    <n v="9"/>
  </r>
  <r>
    <s v="OGD-10781-526"/>
    <d v="2020-10-04T00:00:00"/>
    <s v="2020"/>
    <s v="October"/>
    <s v="16880-78077-FB"/>
    <s v="Terri Farra"/>
    <s v="tfarraac@behance.net"/>
    <s v="+1 (432) 648-9589"/>
    <s v="Odessa"/>
    <s v="United States"/>
    <s v="No"/>
    <s v="R-L-0.5"/>
    <s v="Robusta"/>
    <s v="Light"/>
    <n v="6"/>
    <n v="0.5"/>
    <n v="7.169999999999999"/>
    <n v="43.019999999999996"/>
    <n v="0.43019999999999992"/>
    <n v="2.5811999999999995"/>
    <n v="5.9999999999999991"/>
  </r>
  <r>
    <s v="FVH-29271-315"/>
    <d v="2022-06-30T00:00:00"/>
    <s v="2022"/>
    <s v="June"/>
    <s v="74415-50873-FC"/>
    <s v="Corney Curme"/>
    <s v="UNKNOWN"/>
    <s v="+353 (772) 127-7148"/>
    <s v="Castleknock"/>
    <s v="Ireland"/>
    <s v="Yes"/>
    <s v="A-D-0.5"/>
    <s v="Arabica"/>
    <s v="Dark"/>
    <n v="3"/>
    <n v="0.5"/>
    <n v="5.97"/>
    <n v="17.91"/>
    <n v="0.5373"/>
    <n v="1.6118999999999999"/>
    <n v="9"/>
  </r>
  <r>
    <s v="BNZ-20544-633"/>
    <d v="2020-10-21T00:00:00"/>
    <s v="2020"/>
    <s v="October"/>
    <s v="31798-95707-NR"/>
    <s v="Gothart Bamfield"/>
    <s v="gbamfieldae@yellowpages.com"/>
    <s v="+1 (214) 200-7886"/>
    <s v="Irving"/>
    <s v="United States"/>
    <s v="Yes"/>
    <s v="L-L-0.5"/>
    <s v="Liberica"/>
    <s v="Light"/>
    <n v="4"/>
    <n v="0.5"/>
    <n v="9.51"/>
    <n v="38.04"/>
    <n v="1.2363"/>
    <n v="4.9451999999999998"/>
    <n v="13"/>
  </r>
  <r>
    <s v="FUX-85791-078"/>
    <d v="2020-10-16T00:00:00"/>
    <s v="2020"/>
    <s v="October"/>
    <s v="59122-08794-WT"/>
    <s v="Waylin Hollingdale"/>
    <s v="whollingdaleaf@about.me"/>
    <s v="+1 (937) 354-2653"/>
    <s v="Dayton"/>
    <s v="United States"/>
    <s v="Yes"/>
    <s v="A-M-0.2"/>
    <s v="Arabica"/>
    <s v="Medium"/>
    <n v="2"/>
    <n v="0.2"/>
    <n v="3.375"/>
    <n v="6.75"/>
    <n v="0.30374999999999996"/>
    <n v="0.60749999999999993"/>
    <n v="8.9999999999999982"/>
  </r>
  <r>
    <s v="YXP-20078-116"/>
    <d v="2020-09-23T00:00:00"/>
    <s v="2020"/>
    <s v="September"/>
    <s v="37238-52421-JJ"/>
    <s v="Judd De Leek"/>
    <s v="jdeag@xrea.com"/>
    <s v="+1 (616) 966-1581"/>
    <s v="Grand Rapids"/>
    <s v="United States"/>
    <s v="Yes"/>
    <s v="R-M-0.5"/>
    <s v="Robusta"/>
    <s v="Medium"/>
    <n v="1"/>
    <n v="0.5"/>
    <n v="5.97"/>
    <n v="5.97"/>
    <n v="0.35819999999999996"/>
    <n v="0.35819999999999996"/>
    <n v="6"/>
  </r>
  <r>
    <s v="VQV-59984-866"/>
    <d v="2019-03-08T00:00:00"/>
    <s v="2019"/>
    <s v="March"/>
    <s v="48854-01899-FN"/>
    <s v="Vanya Skullet"/>
    <s v="vskulletah@tinyurl.com"/>
    <s v="+353 (215) 420-1467"/>
    <s v="Balally"/>
    <s v="Ireland"/>
    <s v="No"/>
    <s v="R-D-0.2"/>
    <s v="Robusta"/>
    <s v="Dark"/>
    <n v="3"/>
    <n v="0.2"/>
    <n v="2.6849999999999996"/>
    <n v="8.0549999999999997"/>
    <n v="0.16109999999999997"/>
    <n v="0.4832999999999999"/>
    <n v="5.9999999999999991"/>
  </r>
  <r>
    <s v="JEH-37276-048"/>
    <d v="2021-06-30T00:00:00"/>
    <s v="2021"/>
    <s v="June"/>
    <s v="80896-38819-DW"/>
    <s v="Jany Rudeforth"/>
    <s v="jrudeforthai@wunderground.com"/>
    <s v="+353 (232) 377-5407"/>
    <s v="Tullyallen"/>
    <s v="Ireland"/>
    <s v="Yes"/>
    <s v="A-L-0.5"/>
    <s v="Arabica"/>
    <s v="Light"/>
    <n v="3"/>
    <n v="0.5"/>
    <n v="7.77"/>
    <n v="23.31"/>
    <n v="0.69929999999999992"/>
    <n v="2.0978999999999997"/>
    <n v="9"/>
  </r>
  <r>
    <s v="VYD-28555-589"/>
    <d v="2019-08-13T00:00:00"/>
    <s v="2019"/>
    <s v="August"/>
    <s v="29814-01459-RC"/>
    <s v="Ashbey Tomaszewski"/>
    <s v="atomaszewskiaj@answers.com"/>
    <s v="UNKNOWN"/>
    <s v="Sutton"/>
    <s v="United Kingdom"/>
    <s v="Yes"/>
    <s v="R-L-0.5"/>
    <s v="Robusta"/>
    <s v="Light"/>
    <n v="6"/>
    <n v="0.5"/>
    <n v="7.169999999999999"/>
    <n v="43.019999999999996"/>
    <n v="0.43019999999999992"/>
    <n v="2.5811999999999995"/>
    <n v="5.9999999999999991"/>
  </r>
  <r>
    <s v="WUG-76466-650"/>
    <d v="2021-02-22T00:00:00"/>
    <s v="2021"/>
    <s v="February"/>
    <s v="43439-94003-DW"/>
    <s v="Flynn Antony"/>
    <s v="UNKNOWN"/>
    <s v="+1 (205) 680-5859"/>
    <s v="Birmingham"/>
    <s v="United States"/>
    <s v="No"/>
    <s v="L-D-0.5"/>
    <s v="Liberica"/>
    <s v="Dark"/>
    <n v="3"/>
    <n v="0.5"/>
    <n v="7.77"/>
    <n v="23.31"/>
    <n v="1.0101"/>
    <n v="3.0303"/>
    <n v="13"/>
  </r>
  <r>
    <s v="RJV-08261-583"/>
    <d v="2022-03-26T00:00:00"/>
    <s v="2022"/>
    <s v="March"/>
    <s v="48497-29281-FE"/>
    <s v="Pren Bess"/>
    <s v="pbessal@qq.com"/>
    <s v="+1 (949) 121-4600"/>
    <s v="Los Angeles"/>
    <s v="United States"/>
    <s v="Yes"/>
    <s v="A-D-0.2"/>
    <s v="Arabica"/>
    <s v="Dark"/>
    <n v="5"/>
    <n v="0.2"/>
    <n v="2.9849999999999999"/>
    <n v="14.924999999999999"/>
    <n v="0.26865"/>
    <n v="1.3432500000000001"/>
    <n v="9.0000000000000018"/>
  </r>
  <r>
    <s v="PMR-56062-609"/>
    <d v="2020-01-10T00:00:00"/>
    <s v="2020"/>
    <s v="January"/>
    <s v="43605-12616-YH"/>
    <s v="Elka Windress"/>
    <s v="ewindressam@marketwatch.com"/>
    <s v="+1 (443) 619-7953"/>
    <s v="Baltimore"/>
    <s v="United States"/>
    <s v="No"/>
    <s v="E-D-0.5"/>
    <s v="Excelsa"/>
    <s v="Dark"/>
    <n v="3"/>
    <n v="0.5"/>
    <n v="7.29"/>
    <n v="21.87"/>
    <n v="0.80190000000000006"/>
    <n v="2.4057000000000004"/>
    <n v="11.000000000000002"/>
  </r>
  <r>
    <s v="XLD-12920-505"/>
    <d v="2019-05-01T00:00:00"/>
    <s v="2019"/>
    <s v="May"/>
    <s v="21907-75962-VB"/>
    <s v="Marty Kidstoun"/>
    <s v="UNKNOWN"/>
    <s v="+1 (717) 990-3931"/>
    <s v="Harrisburg"/>
    <s v="United States"/>
    <s v="Yes"/>
    <s v="E-L-0.5"/>
    <s v="Excelsa"/>
    <s v="Light"/>
    <n v="6"/>
    <n v="0.5"/>
    <n v="8.91"/>
    <n v="53.46"/>
    <n v="0.98009999999999997"/>
    <n v="5.8805999999999994"/>
    <n v="10.999999999999998"/>
  </r>
  <r>
    <s v="UBW-50312-037"/>
    <d v="2020-02-09T00:00:00"/>
    <s v="2020"/>
    <s v="February"/>
    <s v="69503-12127-YD"/>
    <s v="Nickey Dimbleby"/>
    <s v="UNKNOWN"/>
    <s v="+1 (469) 579-2051"/>
    <s v="Dallas"/>
    <s v="United States"/>
    <s v="No"/>
    <s v="A-L-2.5"/>
    <s v="Arabica"/>
    <s v="Light"/>
    <n v="4"/>
    <n v="2.5"/>
    <n v="29.784999999999997"/>
    <n v="119.13999999999999"/>
    <n v="2.6806499999999995"/>
    <n v="10.722599999999998"/>
    <n v="9"/>
  </r>
  <r>
    <s v="QAW-05889-019"/>
    <d v="2021-12-29T00:00:00"/>
    <s v="2021"/>
    <s v="December"/>
    <s v="68810-07329-EU"/>
    <s v="Virgil Baumadier"/>
    <s v="vbaumadierap@google.cn"/>
    <s v="+1 (816) 987-4857"/>
    <s v="Kansas City"/>
    <s v="United States"/>
    <s v="Yes"/>
    <s v="L-M-0.5"/>
    <s v="Liberica"/>
    <s v="Medium"/>
    <n v="5"/>
    <n v="0.5"/>
    <n v="8.73"/>
    <n v="43.650000000000006"/>
    <n v="1.1349"/>
    <n v="5.6745000000000001"/>
    <n v="12.999999999999998"/>
  </r>
  <r>
    <s v="EPT-12715-397"/>
    <d v="2020-09-09T00:00:00"/>
    <s v="2020"/>
    <s v="September"/>
    <s v="08478-75251-OG"/>
    <s v="Lenore Messenbird"/>
    <s v="UNKNOWN"/>
    <s v="+1 (217) 713-5108"/>
    <s v="Springfield"/>
    <s v="United States"/>
    <s v="Yes"/>
    <s v="A-D-0.2"/>
    <s v="Arabica"/>
    <s v="Dark"/>
    <n v="6"/>
    <n v="0.2"/>
    <n v="2.9849999999999999"/>
    <n v="17.91"/>
    <n v="0.26865"/>
    <n v="1.6118999999999999"/>
    <n v="9"/>
  </r>
  <r>
    <s v="DHT-93810-053"/>
    <d v="2021-09-16T00:00:00"/>
    <s v="2021"/>
    <s v="September"/>
    <s v="17005-82030-EA"/>
    <s v="Shirleen Welds"/>
    <s v="sweldsar@wired.com"/>
    <s v="+1 (203) 568-7058"/>
    <s v="New Haven"/>
    <s v="United States"/>
    <s v="Yes"/>
    <s v="E-L-1"/>
    <s v="Excelsa"/>
    <s v="Light"/>
    <n v="5"/>
    <n v="1"/>
    <n v="14.85"/>
    <n v="74.25"/>
    <n v="1.6335"/>
    <n v="8.1675000000000004"/>
    <n v="11"/>
  </r>
  <r>
    <s v="DMY-96037-963"/>
    <d v="2020-10-26T00:00:00"/>
    <s v="2020"/>
    <s v="October"/>
    <s v="42179-95059-DO"/>
    <s v="Maisie Sarvar"/>
    <s v="msarvaras@artisteer.com"/>
    <s v="+1 (404) 401-6865"/>
    <s v="Lawrenceville"/>
    <s v="United States"/>
    <s v="Yes"/>
    <s v="L-D-0.2"/>
    <s v="Liberica"/>
    <s v="Dark"/>
    <n v="3"/>
    <n v="0.2"/>
    <n v="3.8849999999999998"/>
    <n v="11.654999999999999"/>
    <n v="0.50505"/>
    <n v="1.51515"/>
    <n v="13"/>
  </r>
  <r>
    <s v="MBM-55936-917"/>
    <d v="2019-03-12T00:00:00"/>
    <s v="2019"/>
    <s v="March"/>
    <s v="55989-39849-WO"/>
    <s v="Andrej Havick"/>
    <s v="ahavickat@nsw.gov.au"/>
    <s v="+1 (828) 769-0743"/>
    <s v="Asheville"/>
    <s v="United States"/>
    <s v="Yes"/>
    <s v="L-D-0.5"/>
    <s v="Liberica"/>
    <s v="Dark"/>
    <n v="3"/>
    <n v="0.5"/>
    <n v="7.77"/>
    <n v="23.31"/>
    <n v="1.0101"/>
    <n v="3.0303"/>
    <n v="13"/>
  </r>
  <r>
    <s v="TPA-93614-840"/>
    <d v="2021-02-18T00:00:00"/>
    <s v="2021"/>
    <s v="February"/>
    <s v="28932-49296-TM"/>
    <s v="Sloan Diviny"/>
    <s v="sdivinyau@ask.com"/>
    <s v="UNKNOWN"/>
    <s v="Saint Paul"/>
    <s v="United States"/>
    <s v="Yes"/>
    <s v="E-D-0.5"/>
    <s v="Excelsa"/>
    <s v="Dark"/>
    <n v="2"/>
    <n v="0.5"/>
    <n v="7.29"/>
    <n v="14.58"/>
    <n v="0.80190000000000006"/>
    <n v="1.6038000000000001"/>
    <n v="11"/>
  </r>
  <r>
    <s v="WDM-77521-710"/>
    <d v="2020-10-29T00:00:00"/>
    <s v="2020"/>
    <s v="October"/>
    <s v="86144-10144-CB"/>
    <s v="Itch Norquoy"/>
    <s v="inorquoyav@businessweek.com"/>
    <s v="UNKNOWN"/>
    <s v="Minneapolis"/>
    <s v="United States"/>
    <s v="No"/>
    <s v="A-M-0.5"/>
    <s v="Arabica"/>
    <s v="Medium"/>
    <n v="2"/>
    <n v="0.5"/>
    <n v="6.75"/>
    <n v="13.5"/>
    <n v="0.60749999999999993"/>
    <n v="1.2149999999999999"/>
    <n v="8.9999999999999982"/>
  </r>
  <r>
    <s v="EIP-19142-462"/>
    <d v="2021-09-06T00:00:00"/>
    <s v="2021"/>
    <s v="September"/>
    <s v="60973-72562-DQ"/>
    <s v="Anson Iddison"/>
    <s v="aiddisonaw@usa.gov"/>
    <s v="+1 (714) 658-0310"/>
    <s v="Santa Ana"/>
    <s v="United States"/>
    <s v="No"/>
    <s v="E-L-1"/>
    <s v="Excelsa"/>
    <s v="Light"/>
    <n v="6"/>
    <n v="1"/>
    <n v="14.85"/>
    <n v="89.1"/>
    <n v="1.6335"/>
    <n v="9.8010000000000002"/>
    <n v="11.000000000000002"/>
  </r>
  <r>
    <s v="EIP-19142-462"/>
    <d v="2021-09-06T00:00:00"/>
    <s v="2021"/>
    <s v="September"/>
    <s v="60973-72562-DQ"/>
    <s v="Anson Iddison"/>
    <s v="aiddisonaw@usa.gov"/>
    <s v="+1 (714) 658-0310"/>
    <s v="Santa Ana"/>
    <s v="United States"/>
    <s v="No"/>
    <s v="A-L-0.2"/>
    <s v="Arabica"/>
    <s v="Light"/>
    <n v="1"/>
    <n v="0.2"/>
    <n v="3.8849999999999998"/>
    <n v="3.8849999999999998"/>
    <n v="0.34964999999999996"/>
    <n v="0.34964999999999996"/>
    <n v="9"/>
  </r>
  <r>
    <s v="ZZL-76364-387"/>
    <d v="2020-09-09T00:00:00"/>
    <s v="2020"/>
    <s v="September"/>
    <s v="11263-86515-VU"/>
    <s v="Randal Longfield"/>
    <s v="rlongfielday@bluehost.com"/>
    <s v="+1 (612) 210-6966"/>
    <s v="Minneapolis"/>
    <s v="United States"/>
    <s v="No"/>
    <s v="R-L-2.5"/>
    <s v="Robusta"/>
    <s v="Light"/>
    <n v="4"/>
    <n v="2.5"/>
    <n v="27.484999999999996"/>
    <n v="109.93999999999998"/>
    <n v="1.6490999999999998"/>
    <n v="6.5963999999999992"/>
    <n v="6.0000000000000009"/>
  </r>
  <r>
    <s v="GMF-18638-786"/>
    <d v="2021-09-26T00:00:00"/>
    <s v="2021"/>
    <s v="September"/>
    <s v="60004-62976-NI"/>
    <s v="Gregorius Kislingbury"/>
    <s v="gkislingburyaz@samsung.com"/>
    <s v="UNKNOWN"/>
    <s v="Washington"/>
    <s v="United States"/>
    <s v="Yes"/>
    <s v="L-D-0.5"/>
    <s v="Liberica"/>
    <s v="Dark"/>
    <n v="6"/>
    <n v="0.5"/>
    <n v="7.77"/>
    <n v="46.62"/>
    <n v="1.0101"/>
    <n v="6.0606"/>
    <n v="13"/>
  </r>
  <r>
    <s v="TDJ-20844-787"/>
    <d v="2020-11-05T00:00:00"/>
    <s v="2020"/>
    <s v="November"/>
    <s v="77876-28498-HI"/>
    <s v="Xenos Gibbons"/>
    <s v="xgibbonsb0@artisteer.com"/>
    <s v="+1 (909) 614-0008"/>
    <s v="San Bernardino"/>
    <s v="United States"/>
    <s v="No"/>
    <s v="A-L-0.5"/>
    <s v="Arabica"/>
    <s v="Light"/>
    <n v="5"/>
    <n v="0.5"/>
    <n v="7.77"/>
    <n v="38.849999999999994"/>
    <n v="0.69929999999999992"/>
    <n v="3.4964999999999997"/>
    <n v="9.0000000000000018"/>
  </r>
  <r>
    <s v="BWK-39400-446"/>
    <d v="2019-09-12T00:00:00"/>
    <s v="2019"/>
    <s v="September"/>
    <s v="61302-06948-EH"/>
    <s v="Fleur Parres"/>
    <s v="fparresb1@imageshack.us"/>
    <s v="+1 (585) 672-4256"/>
    <s v="Rochester"/>
    <s v="United States"/>
    <s v="Yes"/>
    <s v="L-D-0.5"/>
    <s v="Liberica"/>
    <s v="Dark"/>
    <n v="4"/>
    <n v="0.5"/>
    <n v="7.77"/>
    <n v="31.08"/>
    <n v="1.0101"/>
    <n v="4.0404"/>
    <n v="13"/>
  </r>
  <r>
    <s v="LCB-02099-995"/>
    <d v="2019-07-31T00:00:00"/>
    <s v="2019"/>
    <s v="July"/>
    <s v="06757-96251-UH"/>
    <s v="Gran Sibray"/>
    <s v="gsibrayb2@wsj.com"/>
    <s v="+1 (360) 389-5295"/>
    <s v="Vancouver"/>
    <s v="United States"/>
    <s v="Yes"/>
    <s v="A-D-0.2"/>
    <s v="Arabica"/>
    <s v="Dark"/>
    <n v="6"/>
    <n v="0.2"/>
    <n v="2.9849999999999999"/>
    <n v="17.91"/>
    <n v="0.26865"/>
    <n v="1.6118999999999999"/>
    <n v="9"/>
  </r>
  <r>
    <s v="UBA-43678-174"/>
    <d v="2019-03-15T00:00:00"/>
    <s v="2019"/>
    <s v="March"/>
    <s v="44530-75983-OD"/>
    <s v="Ingelbert Hotchkin"/>
    <s v="ihotchkinb3@mit.edu"/>
    <s v="+44 (387) 464-9544"/>
    <s v="Preston"/>
    <s v="United Kingdom"/>
    <s v="No"/>
    <s v="E-D-2.5"/>
    <s v="Excelsa"/>
    <s v="Dark"/>
    <n v="6"/>
    <n v="2.5"/>
    <n v="27.945"/>
    <n v="167.67000000000002"/>
    <n v="3.07395"/>
    <n v="18.4437"/>
    <n v="10.999999999999998"/>
  </r>
  <r>
    <s v="UDH-24280-432"/>
    <d v="2021-05-16T00:00:00"/>
    <s v="2021"/>
    <s v="May"/>
    <s v="44865-58249-RY"/>
    <s v="Neely Broadberrie"/>
    <s v="nbroadberrieb4@gnu.org"/>
    <s v="+1 (202) 327-2217"/>
    <s v="Washington"/>
    <s v="United States"/>
    <s v="No"/>
    <s v="L-L-1"/>
    <s v="Liberica"/>
    <s v="Light"/>
    <n v="4"/>
    <n v="1"/>
    <n v="15.85"/>
    <n v="63.4"/>
    <n v="2.0605000000000002"/>
    <n v="8.2420000000000009"/>
    <n v="13"/>
  </r>
  <r>
    <s v="IDQ-20193-502"/>
    <d v="2019-05-06T00:00:00"/>
    <s v="2019"/>
    <s v="May"/>
    <s v="36021-61205-DF"/>
    <s v="Rutger Pithcock"/>
    <s v="rpithcockb5@yellowbook.com"/>
    <s v="+1 (865) 655-9540"/>
    <s v="Knoxville"/>
    <s v="United States"/>
    <s v="Yes"/>
    <s v="L-M-0.2"/>
    <s v="Liberica"/>
    <s v="Medium"/>
    <n v="2"/>
    <n v="0.2"/>
    <n v="4.3650000000000002"/>
    <n v="8.73"/>
    <n v="0.56745000000000001"/>
    <n v="1.1349"/>
    <n v="13"/>
  </r>
  <r>
    <s v="DJG-14442-608"/>
    <d v="2019-02-06T00:00:00"/>
    <s v="2019"/>
    <s v="February"/>
    <s v="75716-12782-SS"/>
    <s v="Gale Croysdale"/>
    <s v="gcroysdaleb6@nih.gov"/>
    <s v="+1 (304) 384-2939"/>
    <s v="Charleston"/>
    <s v="United States"/>
    <s v="Yes"/>
    <s v="R-D-1"/>
    <s v="Robusta"/>
    <s v="Dark"/>
    <n v="3"/>
    <n v="1"/>
    <n v="8.9499999999999993"/>
    <n v="26.849999999999998"/>
    <n v="0.53699999999999992"/>
    <n v="1.6109999999999998"/>
    <n v="6"/>
  </r>
  <r>
    <s v="DWB-61381-370"/>
    <d v="2021-04-09T00:00:00"/>
    <s v="2021"/>
    <s v="April"/>
    <s v="11812-00461-KH"/>
    <s v="Benedetto Gozzett"/>
    <s v="bgozzettb7@github.com"/>
    <s v="+1 (214) 700-0229"/>
    <s v="Dallas"/>
    <s v="United States"/>
    <s v="No"/>
    <s v="L-L-0.2"/>
    <s v="Liberica"/>
    <s v="Light"/>
    <n v="2"/>
    <n v="0.2"/>
    <n v="4.7549999999999999"/>
    <n v="9.51"/>
    <n v="0.61814999999999998"/>
    <n v="1.2363"/>
    <n v="13"/>
  </r>
  <r>
    <s v="FRD-17347-990"/>
    <d v="2020-05-20T00:00:00"/>
    <s v="2020"/>
    <s v="May"/>
    <s v="46681-78850-ZW"/>
    <s v="Tania Craggs"/>
    <s v="tcraggsb8@house.gov"/>
    <s v="+353 (239) 197-6142"/>
    <s v="Whitegate"/>
    <s v="Ireland"/>
    <s v="No"/>
    <s v="A-D-1"/>
    <s v="Arabica"/>
    <s v="Dark"/>
    <n v="4"/>
    <n v="1"/>
    <n v="9.9499999999999993"/>
    <n v="39.799999999999997"/>
    <n v="0.89549999999999985"/>
    <n v="3.5819999999999994"/>
    <n v="9"/>
  </r>
  <r>
    <s v="YPP-27450-525"/>
    <d v="2020-12-02T00:00:00"/>
    <s v="2020"/>
    <s v="December"/>
    <s v="01932-87052-KO"/>
    <s v="Leonie Cullrford"/>
    <s v="lcullrfordb9@xing.com"/>
    <s v="+1 (530) 998-9789"/>
    <s v="Chico"/>
    <s v="United States"/>
    <s v="Yes"/>
    <s v="E-M-0.5"/>
    <s v="Excelsa"/>
    <s v="Medium"/>
    <n v="3"/>
    <n v="0.5"/>
    <n v="8.25"/>
    <n v="24.75"/>
    <n v="0.90749999999999997"/>
    <n v="2.7225000000000001"/>
    <n v="11"/>
  </r>
  <r>
    <s v="EFC-39577-424"/>
    <d v="2021-08-08T00:00:00"/>
    <s v="2021"/>
    <s v="August"/>
    <s v="16046-34805-ZF"/>
    <s v="Auguste Rizon"/>
    <s v="arizonba@xing.com"/>
    <s v="+1 (501) 732-3644"/>
    <s v="Little Rock"/>
    <s v="United States"/>
    <s v="Yes"/>
    <s v="E-M-1"/>
    <s v="Excelsa"/>
    <s v="Medium"/>
    <n v="5"/>
    <n v="1"/>
    <n v="13.75"/>
    <n v="68.75"/>
    <n v="1.5125"/>
    <n v="7.5625"/>
    <n v="11"/>
  </r>
  <r>
    <s v="LAW-80062-016"/>
    <d v="2022-02-03T00:00:00"/>
    <s v="2022"/>
    <s v="February"/>
    <s v="34546-70516-LR"/>
    <s v="Lorin Guerrazzi"/>
    <s v="UNKNOWN"/>
    <s v="+353 (764) 294-5957"/>
    <s v="Balrothery"/>
    <s v="Ireland"/>
    <s v="No"/>
    <s v="E-M-0.5"/>
    <s v="Excelsa"/>
    <s v="Medium"/>
    <n v="6"/>
    <n v="0.5"/>
    <n v="8.25"/>
    <n v="49.5"/>
    <n v="0.90749999999999997"/>
    <n v="5.4450000000000003"/>
    <n v="11"/>
  </r>
  <r>
    <s v="WKL-27981-758"/>
    <d v="2022-04-08T00:00:00"/>
    <s v="2022"/>
    <s v="April"/>
    <s v="73699-93557-FZ"/>
    <s v="Felice Miell"/>
    <s v="fmiellbc@spiegel.de"/>
    <s v="+1 (732) 770-5368"/>
    <s v="New Brunswick"/>
    <s v="United States"/>
    <s v="Yes"/>
    <s v="A-M-2.5"/>
    <s v="Arabica"/>
    <s v="Medium"/>
    <n v="2"/>
    <n v="2.5"/>
    <n v="25.874999999999996"/>
    <n v="51.749999999999993"/>
    <n v="2.3287499999999994"/>
    <n v="4.6574999999999989"/>
    <n v="9"/>
  </r>
  <r>
    <s v="VRT-39834-265"/>
    <d v="2021-01-07T00:00:00"/>
    <s v="2021"/>
    <s v="January"/>
    <s v="86686-37462-CK"/>
    <s v="Hamish Skeech"/>
    <s v="UNKNOWN"/>
    <s v="+353 (677) 415-3920"/>
    <s v="Valleymount"/>
    <s v="Ireland"/>
    <s v="Yes"/>
    <s v="L-L-1"/>
    <s v="Liberica"/>
    <s v="Light"/>
    <n v="3"/>
    <n v="1"/>
    <n v="15.85"/>
    <n v="47.55"/>
    <n v="2.0605000000000002"/>
    <n v="6.1815000000000007"/>
    <n v="13.000000000000004"/>
  </r>
  <r>
    <s v="QTC-71005-730"/>
    <d v="2021-09-02T00:00:00"/>
    <s v="2021"/>
    <s v="September"/>
    <s v="14298-02150-KH"/>
    <s v="Giordano Lorenzin"/>
    <s v="UNKNOWN"/>
    <s v="+1 (415) 414-0382"/>
    <s v="San Francisco"/>
    <s v="United States"/>
    <s v="No"/>
    <s v="A-L-0.2"/>
    <s v="Arabica"/>
    <s v="Light"/>
    <n v="4"/>
    <n v="0.2"/>
    <n v="3.8849999999999998"/>
    <n v="15.54"/>
    <n v="0.34964999999999996"/>
    <n v="1.3985999999999998"/>
    <n v="9"/>
  </r>
  <r>
    <s v="TNX-09857-717"/>
    <d v="2021-11-04T00:00:00"/>
    <s v="2021"/>
    <s v="November"/>
    <s v="48675-07824-HJ"/>
    <s v="Harwilll Bishell"/>
    <s v="UNKNOWN"/>
    <s v="+1 (337) 322-9762"/>
    <s v="Lafayette"/>
    <s v="United States"/>
    <s v="Yes"/>
    <s v="L-M-1"/>
    <s v="Liberica"/>
    <s v="Medium"/>
    <n v="6"/>
    <n v="1"/>
    <n v="14.55"/>
    <n v="87.300000000000011"/>
    <n v="1.8915000000000002"/>
    <n v="11.349"/>
    <n v="12.999999999999998"/>
  </r>
  <r>
    <s v="JZV-43874-185"/>
    <d v="2021-08-02T00:00:00"/>
    <s v="2021"/>
    <s v="August"/>
    <s v="18551-80943-YQ"/>
    <s v="Freeland Missenden"/>
    <s v="UNKNOWN"/>
    <s v="+1 (619) 481-1493"/>
    <s v="San Diego"/>
    <s v="United States"/>
    <s v="Yes"/>
    <s v="A-M-1"/>
    <s v="Arabica"/>
    <s v="Medium"/>
    <n v="5"/>
    <n v="1"/>
    <n v="11.25"/>
    <n v="56.25"/>
    <n v="1.0125"/>
    <n v="5.0625"/>
    <n v="9"/>
  </r>
  <r>
    <s v="ICF-17486-106"/>
    <d v="2020-01-27T00:00:00"/>
    <s v="2020"/>
    <s v="January"/>
    <s v="19196-09748-DB"/>
    <s v="Waylan Springall"/>
    <s v="wspringallbh@jugem.jp"/>
    <s v="+1 (626) 495-9253"/>
    <s v="Alhambra"/>
    <s v="United States"/>
    <s v="Yes"/>
    <s v="L-L-2.5"/>
    <s v="Liberica"/>
    <s v="Light"/>
    <n v="1"/>
    <n v="2.5"/>
    <n v="36.454999999999998"/>
    <n v="36.454999999999998"/>
    <n v="4.7391499999999995"/>
    <n v="4.7391499999999995"/>
    <n v="13"/>
  </r>
  <r>
    <s v="BMK-49520-383"/>
    <d v="2019-12-03T00:00:00"/>
    <s v="2019"/>
    <s v="December"/>
    <s v="72233-08665-IP"/>
    <s v="Kiri Avramow"/>
    <s v="UNKNOWN"/>
    <s v="+1 (903) 801-9492"/>
    <s v="Tyler"/>
    <s v="United States"/>
    <s v="Yes"/>
    <s v="R-L-0.2"/>
    <s v="Robusta"/>
    <s v="Light"/>
    <n v="3"/>
    <n v="0.2"/>
    <n v="3.5849999999999995"/>
    <n v="10.754999999999999"/>
    <n v="0.21509999999999996"/>
    <n v="0.64529999999999987"/>
    <n v="5.9999999999999991"/>
  </r>
  <r>
    <s v="HTS-15020-632"/>
    <d v="2019-08-06T00:00:00"/>
    <s v="2019"/>
    <s v="August"/>
    <s v="53817-13148-RK"/>
    <s v="Gregg Hawkyens"/>
    <s v="ghawkyensbj@census.gov"/>
    <s v="UNKNOWN"/>
    <s v="Lafayette"/>
    <s v="United States"/>
    <s v="No"/>
    <s v="R-M-0.2"/>
    <s v="Robusta"/>
    <s v="Medium"/>
    <n v="3"/>
    <n v="0.2"/>
    <n v="2.9849999999999999"/>
    <n v="8.9550000000000001"/>
    <n v="0.17909999999999998"/>
    <n v="0.53729999999999989"/>
    <n v="5.9999999999999982"/>
  </r>
  <r>
    <s v="YLE-18247-749"/>
    <d v="2020-03-11T00:00:00"/>
    <s v="2020"/>
    <s v="March"/>
    <s v="92227-49331-QR"/>
    <s v="Reggis Pracy"/>
    <s v="UNKNOWN"/>
    <s v="+1 (937) 683-0925"/>
    <s v="Dayton"/>
    <s v="United States"/>
    <s v="Yes"/>
    <s v="A-L-0.5"/>
    <s v="Arabica"/>
    <s v="Light"/>
    <n v="3"/>
    <n v="0.5"/>
    <n v="7.77"/>
    <n v="23.31"/>
    <n v="0.69929999999999992"/>
    <n v="2.0978999999999997"/>
    <n v="9"/>
  </r>
  <r>
    <s v="KJJ-12573-591"/>
    <d v="2021-09-18T00:00:00"/>
    <s v="2021"/>
    <s v="September"/>
    <s v="12997-41076-FQ"/>
    <s v="Paula Denis"/>
    <s v="UNKNOWN"/>
    <s v="+1 (602) 598-9823"/>
    <s v="Phoenix"/>
    <s v="United States"/>
    <s v="Yes"/>
    <s v="A-L-2.5"/>
    <s v="Arabica"/>
    <s v="Light"/>
    <n v="1"/>
    <n v="2.5"/>
    <n v="29.784999999999997"/>
    <n v="29.784999999999997"/>
    <n v="2.6806499999999995"/>
    <n v="2.6806499999999995"/>
    <n v="9"/>
  </r>
  <r>
    <s v="RGU-43561-950"/>
    <d v="2020-11-07T00:00:00"/>
    <s v="2020"/>
    <s v="November"/>
    <s v="44220-00348-MB"/>
    <s v="Broderick McGilvra"/>
    <s v="bmcgilvrabm@so-net.ne.jp"/>
    <s v="UNKNOWN"/>
    <s v="Sacramento"/>
    <s v="United States"/>
    <s v="Yes"/>
    <s v="A-L-2.5"/>
    <s v="Arabica"/>
    <s v="Light"/>
    <n v="5"/>
    <n v="2.5"/>
    <n v="29.784999999999997"/>
    <n v="148.92499999999998"/>
    <n v="2.6806499999999995"/>
    <n v="13.403249999999998"/>
    <n v="9"/>
  </r>
  <r>
    <s v="JSN-73975-443"/>
    <d v="2022-06-27T00:00:00"/>
    <s v="2022"/>
    <s v="June"/>
    <s v="93047-98331-DD"/>
    <s v="Annabella Danzey"/>
    <s v="adanzeybn@github.com"/>
    <s v="+1 (402) 633-9913"/>
    <s v="Lincoln"/>
    <s v="United States"/>
    <s v="Yes"/>
    <s v="L-M-0.5"/>
    <s v="Liberica"/>
    <s v="Medium"/>
    <n v="1"/>
    <n v="0.5"/>
    <n v="8.73"/>
    <n v="8.73"/>
    <n v="1.1349"/>
    <n v="1.1349"/>
    <n v="13"/>
  </r>
  <r>
    <s v="WNR-71736-993"/>
    <d v="2020-02-05T00:00:00"/>
    <s v="2020"/>
    <s v="February"/>
    <s v="16880-78077-FB"/>
    <s v="Terri Farra"/>
    <s v="tfarraac@behance.net"/>
    <s v="+1 (432) 648-9589"/>
    <s v="Odessa"/>
    <s v="United States"/>
    <s v="No"/>
    <s v="L-D-0.5"/>
    <s v="Liberica"/>
    <s v="Dark"/>
    <n v="4"/>
    <n v="0.5"/>
    <n v="7.77"/>
    <n v="31.08"/>
    <n v="1.0101"/>
    <n v="4.0404"/>
    <n v="13"/>
  </r>
  <r>
    <s v="WNR-71736-993"/>
    <d v="2020-02-05T00:00:00"/>
    <s v="2020"/>
    <s v="February"/>
    <s v="16880-78077-FB"/>
    <s v="Terri Farra"/>
    <s v="tfarraac@behance.net"/>
    <s v="+1 (432) 648-9589"/>
    <s v="Odessa"/>
    <s v="United States"/>
    <s v="No"/>
    <s v="A-D-2.5"/>
    <s v="Arabica"/>
    <s v="Dark"/>
    <n v="6"/>
    <n v="2.5"/>
    <n v="22.884999999999998"/>
    <n v="137.31"/>
    <n v="2.0596499999999995"/>
    <n v="12.357899999999997"/>
    <n v="8.9999999999999982"/>
  </r>
  <r>
    <s v="HNI-91338-546"/>
    <d v="2020-02-07T00:00:00"/>
    <s v="2020"/>
    <s v="February"/>
    <s v="67285-75317-XI"/>
    <s v="Nevins Glowacz"/>
    <s v="UNKNOWN"/>
    <s v="+1 (608) 617-1365"/>
    <s v="Madison"/>
    <s v="United States"/>
    <s v="No"/>
    <s v="A-D-0.5"/>
    <s v="Arabica"/>
    <s v="Dark"/>
    <n v="5"/>
    <n v="0.5"/>
    <n v="5.97"/>
    <n v="29.849999999999998"/>
    <n v="0.5373"/>
    <n v="2.6865000000000001"/>
    <n v="9.0000000000000018"/>
  </r>
  <r>
    <s v="CYH-53243-218"/>
    <d v="2020-12-18T00:00:00"/>
    <s v="2020"/>
    <s v="December"/>
    <s v="88167-57964-PH"/>
    <s v="Adelice Isabell"/>
    <s v="UNKNOWN"/>
    <s v="+1 (304) 604-2131"/>
    <s v="Charleston"/>
    <s v="United States"/>
    <s v="No"/>
    <s v="R-M-0.5"/>
    <s v="Robusta"/>
    <s v="Medium"/>
    <n v="3"/>
    <n v="0.5"/>
    <n v="5.97"/>
    <n v="17.91"/>
    <n v="0.35819999999999996"/>
    <n v="1.0745999999999998"/>
    <n v="5.9999999999999982"/>
  </r>
  <r>
    <s v="SVD-75407-177"/>
    <d v="2021-08-23T00:00:00"/>
    <s v="2021"/>
    <s v="August"/>
    <s v="16106-36039-QS"/>
    <s v="Yulma Dombrell"/>
    <s v="ydombrellbs@dedecms.com"/>
    <s v="+1 (501) 136-0040"/>
    <s v="Little Rock"/>
    <s v="United States"/>
    <s v="Yes"/>
    <s v="E-L-0.5"/>
    <s v="Excelsa"/>
    <s v="Light"/>
    <n v="3"/>
    <n v="0.5"/>
    <n v="8.91"/>
    <n v="26.73"/>
    <n v="0.98009999999999997"/>
    <n v="2.9402999999999997"/>
    <n v="10.999999999999998"/>
  </r>
  <r>
    <s v="NVN-66443-451"/>
    <d v="2021-08-20T00:00:00"/>
    <s v="2021"/>
    <s v="August"/>
    <s v="98921-82417-GN"/>
    <s v="Alric Darth"/>
    <s v="adarthbt@t.co"/>
    <s v="+1 (907) 557-6903"/>
    <s v="Anchorage"/>
    <s v="United States"/>
    <s v="No"/>
    <s v="R-D-1"/>
    <s v="Robusta"/>
    <s v="Dark"/>
    <n v="2"/>
    <n v="1"/>
    <n v="8.9499999999999993"/>
    <n v="17.899999999999999"/>
    <n v="0.53699999999999992"/>
    <n v="1.0739999999999998"/>
    <n v="6"/>
  </r>
  <r>
    <s v="JUA-13580-095"/>
    <d v="2019-04-01T00:00:00"/>
    <s v="2019"/>
    <s v="April"/>
    <s v="55265-75151-AK"/>
    <s v="Manuel Darrigoe"/>
    <s v="mdarrigoebu@hud.gov"/>
    <s v="+353 (973) 320-9537"/>
    <s v="Longwood"/>
    <s v="Ireland"/>
    <s v="Yes"/>
    <s v="R-L-0.2"/>
    <s v="Robusta"/>
    <s v="Light"/>
    <n v="4"/>
    <n v="0.2"/>
    <n v="3.5849999999999995"/>
    <n v="14.339999999999998"/>
    <n v="0.21509999999999996"/>
    <n v="0.86039999999999983"/>
    <n v="6"/>
  </r>
  <r>
    <s v="ACY-56225-839"/>
    <d v="2021-01-28T00:00:00"/>
    <s v="2021"/>
    <s v="January"/>
    <s v="47386-50743-FG"/>
    <s v="Kynthia Berick"/>
    <s v="UNKNOWN"/>
    <s v="+1 (562) 331-4713"/>
    <s v="San Francisco"/>
    <s v="United States"/>
    <s v="Yes"/>
    <s v="A-M-2.5"/>
    <s v="Arabica"/>
    <s v="Medium"/>
    <n v="3"/>
    <n v="2.5"/>
    <n v="25.874999999999996"/>
    <n v="77.624999999999986"/>
    <n v="2.3287499999999994"/>
    <n v="6.9862499999999983"/>
    <n v="9"/>
  </r>
  <r>
    <s v="QBB-07903-622"/>
    <d v="2019-10-21T00:00:00"/>
    <s v="2019"/>
    <s v="October"/>
    <s v="32622-54551-UC"/>
    <s v="Minetta Ackrill"/>
    <s v="mackrillbw@bandcamp.com"/>
    <s v="+1 (330) 603-2373"/>
    <s v="Warren"/>
    <s v="United States"/>
    <s v="No"/>
    <s v="R-L-1"/>
    <s v="Robusta"/>
    <s v="Light"/>
    <n v="5"/>
    <n v="1"/>
    <n v="11.95"/>
    <n v="59.75"/>
    <n v="0.71699999999999997"/>
    <n v="3.585"/>
    <n v="6"/>
  </r>
  <r>
    <s v="JLJ-81802-619"/>
    <d v="2021-06-20T00:00:00"/>
    <s v="2021"/>
    <s v="June"/>
    <s v="16880-78077-FB"/>
    <s v="Terri Farra"/>
    <s v="tfarraac@behance.net"/>
    <s v="+1 (432) 648-9589"/>
    <s v="Odessa"/>
    <s v="United States"/>
    <s v="No"/>
    <s v="A-L-1"/>
    <s v="Arabica"/>
    <s v="Light"/>
    <n v="6"/>
    <n v="1"/>
    <n v="12.95"/>
    <n v="77.699999999999989"/>
    <n v="1.1655"/>
    <n v="6.9930000000000003"/>
    <n v="9.0000000000000018"/>
  </r>
  <r>
    <s v="HFT-77191-168"/>
    <d v="2021-11-04T00:00:00"/>
    <s v="2021"/>
    <s v="November"/>
    <s v="48419-02347-XP"/>
    <s v="Melosa Kippen"/>
    <s v="mkippenby@dion.ne.jp"/>
    <s v="+1 (601) 262-2557"/>
    <s v="Jackson"/>
    <s v="United States"/>
    <s v="Yes"/>
    <s v="R-D-0.2"/>
    <s v="Robusta"/>
    <s v="Dark"/>
    <n v="2"/>
    <n v="0.2"/>
    <n v="2.6849999999999996"/>
    <n v="5.3699999999999992"/>
    <n v="0.16109999999999997"/>
    <n v="0.32219999999999993"/>
    <n v="6"/>
  </r>
  <r>
    <s v="SZR-35951-530"/>
    <d v="2021-04-05T00:00:00"/>
    <s v="2021"/>
    <s v="April"/>
    <s v="14121-20527-OJ"/>
    <s v="Witty Ranson"/>
    <s v="wransonbz@ted.com"/>
    <s v="+353 (376) 165-2897"/>
    <s v="Kildare"/>
    <s v="Ireland"/>
    <s v="Yes"/>
    <s v="E-D-2.5"/>
    <s v="Excelsa"/>
    <s v="Dark"/>
    <n v="3"/>
    <n v="2.5"/>
    <n v="27.945"/>
    <n v="83.835000000000008"/>
    <n v="3.07395"/>
    <n v="9.2218499999999999"/>
    <n v="10.999999999999998"/>
  </r>
  <r>
    <s v="IKL-95976-565"/>
    <d v="2019-12-09T00:00:00"/>
    <s v="2019"/>
    <s v="December"/>
    <s v="53486-73919-BQ"/>
    <s v="Rod Gowdie"/>
    <s v="UNKNOWN"/>
    <s v="+1 (360) 347-6756"/>
    <s v="Milwaukee"/>
    <s v="United States"/>
    <s v="No"/>
    <s v="A-M-1"/>
    <s v="Arabica"/>
    <s v="Medium"/>
    <n v="2"/>
    <n v="1"/>
    <n v="11.25"/>
    <n v="22.5"/>
    <n v="1.0125"/>
    <n v="2.0249999999999999"/>
    <n v="9"/>
  </r>
  <r>
    <s v="XEY-48929-474"/>
    <d v="2022-01-02T00:00:00"/>
    <s v="2022"/>
    <s v="January"/>
    <s v="21889-94615-WT"/>
    <s v="Lemuel Rignold"/>
    <s v="lrignoldc1@miibeian.gov.cn"/>
    <s v="+1 (916) 472-7804"/>
    <s v="Sacramento"/>
    <s v="United States"/>
    <s v="Yes"/>
    <s v="L-M-2.5"/>
    <s v="Liberica"/>
    <s v="Medium"/>
    <n v="6"/>
    <n v="2.5"/>
    <n v="33.464999999999996"/>
    <n v="200.78999999999996"/>
    <n v="4.3504499999999995"/>
    <n v="26.102699999999999"/>
    <n v="13"/>
  </r>
  <r>
    <s v="SQT-07286-736"/>
    <d v="2019-12-08T00:00:00"/>
    <s v="2019"/>
    <s v="December"/>
    <s v="87726-16941-QW"/>
    <s v="Nevsa Fields"/>
    <s v="UNKNOWN"/>
    <s v="+1 (617) 535-7583"/>
    <s v="Boston"/>
    <s v="United States"/>
    <s v="No"/>
    <s v="A-M-1"/>
    <s v="Arabica"/>
    <s v="Medium"/>
    <n v="6"/>
    <n v="1"/>
    <n v="11.25"/>
    <n v="67.5"/>
    <n v="1.0125"/>
    <n v="6.0749999999999993"/>
    <n v="8.9999999999999982"/>
  </r>
  <r>
    <s v="QDU-45390-361"/>
    <d v="2021-11-28T00:00:00"/>
    <s v="2021"/>
    <s v="November"/>
    <s v="03677-09134-BC"/>
    <s v="Chance Rowthorn"/>
    <s v="crowthornc3@msn.com"/>
    <s v="+1 (785) 380-3311"/>
    <s v="Topeka"/>
    <s v="United States"/>
    <s v="No"/>
    <s v="E-M-0.5"/>
    <s v="Excelsa"/>
    <s v="Medium"/>
    <n v="1"/>
    <n v="0.5"/>
    <n v="8.25"/>
    <n v="8.25"/>
    <n v="0.90749999999999997"/>
    <n v="0.90749999999999997"/>
    <n v="11"/>
  </r>
  <r>
    <s v="RUJ-30649-712"/>
    <d v="2022-03-11T00:00:00"/>
    <s v="2022"/>
    <s v="March"/>
    <s v="93224-71517-WV"/>
    <s v="Orly Ryland"/>
    <s v="orylandc4@deviantart.com"/>
    <s v="+1 (701) 417-3513"/>
    <s v="Fargo"/>
    <s v="United States"/>
    <s v="Yes"/>
    <s v="L-L-0.2"/>
    <s v="Liberica"/>
    <s v="Light"/>
    <n v="2"/>
    <n v="0.2"/>
    <n v="4.7549999999999999"/>
    <n v="9.51"/>
    <n v="0.61814999999999998"/>
    <n v="1.2363"/>
    <n v="13"/>
  </r>
  <r>
    <s v="WSV-49732-075"/>
    <d v="2021-01-17T00:00:00"/>
    <s v="2021"/>
    <s v="January"/>
    <s v="76263-95145-GJ"/>
    <s v="Willabella Abramski"/>
    <s v="UNKNOWN"/>
    <s v="+1 (832) 263-0050"/>
    <s v="Houston"/>
    <s v="United States"/>
    <s v="No"/>
    <s v="L-D-2.5"/>
    <s v="Liberica"/>
    <s v="Dark"/>
    <n v="1"/>
    <n v="2.5"/>
    <n v="29.784999999999997"/>
    <n v="29.784999999999997"/>
    <n v="3.8720499999999998"/>
    <n v="3.8720499999999998"/>
    <n v="13"/>
  </r>
  <r>
    <s v="VJF-46305-323"/>
    <d v="2019-01-18T00:00:00"/>
    <s v="2019"/>
    <s v="January"/>
    <s v="68555-89840-GZ"/>
    <s v="Morgen Seson"/>
    <s v="msesonck@census.gov"/>
    <s v="+1 (206) 642-0902"/>
    <s v="Seattle"/>
    <s v="United States"/>
    <s v="No"/>
    <s v="L-D-0.5"/>
    <s v="Liberica"/>
    <s v="Dark"/>
    <n v="2"/>
    <n v="0.5"/>
    <n v="7.77"/>
    <n v="15.54"/>
    <n v="1.0101"/>
    <n v="2.0202"/>
    <n v="13"/>
  </r>
  <r>
    <s v="CXD-74176-600"/>
    <d v="2019-04-07T00:00:00"/>
    <s v="2019"/>
    <s v="April"/>
    <s v="70624-19112-AO"/>
    <s v="Chickie Ragless"/>
    <s v="craglessc7@webmd.com"/>
    <s v="+353 (736) 602-8469"/>
    <s v="Caherconlish"/>
    <s v="Ireland"/>
    <s v="No"/>
    <s v="E-L-0.5"/>
    <s v="Excelsa"/>
    <s v="Light"/>
    <n v="4"/>
    <n v="0.5"/>
    <n v="8.91"/>
    <n v="35.64"/>
    <n v="0.98009999999999997"/>
    <n v="3.9203999999999999"/>
    <n v="11"/>
  </r>
  <r>
    <s v="ADX-50674-975"/>
    <d v="2021-02-03T00:00:00"/>
    <s v="2021"/>
    <s v="February"/>
    <s v="58916-61837-QH"/>
    <s v="Freda Hollows"/>
    <s v="fhollowsc8@blogtalkradio.com"/>
    <s v="+1 (716) 632-6865"/>
    <s v="Buffalo"/>
    <s v="United States"/>
    <s v="Yes"/>
    <s v="A-M-2.5"/>
    <s v="Arabica"/>
    <s v="Medium"/>
    <n v="4"/>
    <n v="2.5"/>
    <n v="25.874999999999996"/>
    <n v="103.49999999999999"/>
    <n v="2.3287499999999994"/>
    <n v="9.3149999999999977"/>
    <n v="9"/>
  </r>
  <r>
    <s v="RRP-51647-420"/>
    <d v="2019-04-18T00:00:00"/>
    <s v="2019"/>
    <s v="April"/>
    <s v="89292-52335-YZ"/>
    <s v="Livy Lathleiff"/>
    <s v="llathleiffc9@nationalgeographic.com"/>
    <s v="+353 (895) 566-0110"/>
    <s v="Shankill"/>
    <s v="Ireland"/>
    <s v="Yes"/>
    <s v="E-D-1"/>
    <s v="Excelsa"/>
    <s v="Dark"/>
    <n v="3"/>
    <n v="1"/>
    <n v="12.15"/>
    <n v="36.450000000000003"/>
    <n v="1.3365"/>
    <n v="4.0095000000000001"/>
    <n v="10.999999999999998"/>
  </r>
  <r>
    <s v="PKJ-99134-523"/>
    <d v="2021-07-07T00:00:00"/>
    <s v="2021"/>
    <s v="July"/>
    <s v="77284-34297-YY"/>
    <s v="Koralle Heads"/>
    <s v="kheadsca@jalbum.net"/>
    <s v="+1 (484) 131-2636"/>
    <s v="Bethlehem"/>
    <s v="United States"/>
    <s v="No"/>
    <s v="R-L-0.5"/>
    <s v="Robusta"/>
    <s v="Light"/>
    <n v="5"/>
    <n v="0.5"/>
    <n v="7.169999999999999"/>
    <n v="35.849999999999994"/>
    <n v="0.43019999999999992"/>
    <n v="2.1509999999999998"/>
    <n v="6.0000000000000009"/>
  </r>
  <r>
    <s v="FZQ-29439-457"/>
    <d v="2021-02-23T00:00:00"/>
    <s v="2021"/>
    <s v="February"/>
    <s v="50449-80974-BZ"/>
    <s v="Theo Bowne"/>
    <s v="tbownecb@unicef.org"/>
    <s v="+353 (540) 432-8009"/>
    <s v="Watergrasshill"/>
    <s v="Ireland"/>
    <s v="Yes"/>
    <s v="E-L-0.2"/>
    <s v="Excelsa"/>
    <s v="Light"/>
    <n v="5"/>
    <n v="0.2"/>
    <n v="4.4550000000000001"/>
    <n v="22.274999999999999"/>
    <n v="0.49004999999999999"/>
    <n v="2.45025"/>
    <n v="11.000000000000002"/>
  </r>
  <r>
    <s v="USN-68115-161"/>
    <d v="2021-08-10T00:00:00"/>
    <s v="2021"/>
    <s v="August"/>
    <s v="08120-16183-AW"/>
    <s v="Rasia Jacquemard"/>
    <s v="rjacquemardcc@acquirethisname.com"/>
    <s v="+353 (959) 389-1521"/>
    <s v="Monasterevin"/>
    <s v="Ireland"/>
    <s v="No"/>
    <s v="E-M-0.2"/>
    <s v="Excelsa"/>
    <s v="Medium"/>
    <n v="6"/>
    <n v="0.2"/>
    <n v="4.125"/>
    <n v="24.75"/>
    <n v="0.45374999999999999"/>
    <n v="2.7225000000000001"/>
    <n v="11"/>
  </r>
  <r>
    <s v="IXU-20263-532"/>
    <d v="2019-11-15T00:00:00"/>
    <s v="2019"/>
    <s v="November"/>
    <s v="68044-89277-ML"/>
    <s v="Kizzie Warman"/>
    <s v="kwarmancd@printfriendly.com"/>
    <s v="UNKNOWN"/>
    <s v="Sandyford"/>
    <s v="Ireland"/>
    <s v="Yes"/>
    <s v="L-M-2.5"/>
    <s v="Liberica"/>
    <s v="Medium"/>
    <n v="2"/>
    <n v="2.5"/>
    <n v="33.464999999999996"/>
    <n v="66.929999999999993"/>
    <n v="4.3504499999999995"/>
    <n v="8.700899999999999"/>
    <n v="13"/>
  </r>
  <r>
    <s v="CBT-15092-420"/>
    <d v="2019-12-17T00:00:00"/>
    <s v="2019"/>
    <s v="December"/>
    <s v="71364-35210-HS"/>
    <s v="Wain Cholomin"/>
    <s v="wcholomince@about.com"/>
    <s v="+44 (512) 340-9049"/>
    <s v="Birmingham"/>
    <s v="United Kingdom"/>
    <s v="Yes"/>
    <s v="L-M-0.5"/>
    <s v="Liberica"/>
    <s v="Medium"/>
    <n v="1"/>
    <n v="0.5"/>
    <n v="8.73"/>
    <n v="8.73"/>
    <n v="1.1349"/>
    <n v="1.1349"/>
    <n v="13"/>
  </r>
  <r>
    <s v="PKQ-46841-696"/>
    <d v="2020-03-18T00:00:00"/>
    <s v="2020"/>
    <s v="March"/>
    <s v="37177-68797-ON"/>
    <s v="Arleen Braidman"/>
    <s v="abraidmancf@census.gov"/>
    <s v="UNKNOWN"/>
    <s v="Phoenix"/>
    <s v="United States"/>
    <s v="No"/>
    <s v="R-M-0.5"/>
    <s v="Robusta"/>
    <s v="Medium"/>
    <n v="3"/>
    <n v="0.5"/>
    <n v="5.97"/>
    <n v="17.91"/>
    <n v="0.35819999999999996"/>
    <n v="1.0745999999999998"/>
    <n v="5.9999999999999982"/>
  </r>
  <r>
    <s v="XDU-05471-219"/>
    <d v="2022-06-06T00:00:00"/>
    <s v="2022"/>
    <s v="June"/>
    <s v="60308-06944-GS"/>
    <s v="Pru Durban"/>
    <s v="pdurbancg@symantec.com"/>
    <s v="+353 (709) 884-1892"/>
    <s v="Longford"/>
    <s v="Ireland"/>
    <s v="No"/>
    <s v="R-L-0.5"/>
    <s v="Robusta"/>
    <s v="Light"/>
    <n v="1"/>
    <n v="0.5"/>
    <n v="7.169999999999999"/>
    <n v="7.169999999999999"/>
    <n v="0.43019999999999992"/>
    <n v="0.43019999999999992"/>
    <n v="6"/>
  </r>
  <r>
    <s v="NID-20149-329"/>
    <d v="2021-05-20T00:00:00"/>
    <s v="2021"/>
    <s v="May"/>
    <s v="49888-39458-PF"/>
    <s v="Antone Harrold"/>
    <s v="aharroldch@miibeian.gov.cn"/>
    <s v="+1 (419) 153-2104"/>
    <s v="Toledo"/>
    <s v="United States"/>
    <s v="No"/>
    <s v="R-D-0.2"/>
    <s v="Robusta"/>
    <s v="Dark"/>
    <n v="2"/>
    <n v="0.2"/>
    <n v="2.6849999999999996"/>
    <n v="5.3699999999999992"/>
    <n v="0.16109999999999997"/>
    <n v="0.32219999999999993"/>
    <n v="6"/>
  </r>
  <r>
    <s v="SVU-27222-213"/>
    <d v="2021-01-11T00:00:00"/>
    <s v="2021"/>
    <s v="January"/>
    <s v="60748-46813-DZ"/>
    <s v="Sim Pamphilon"/>
    <s v="spamphilonci@mlb.com"/>
    <s v="+353 (456) 630-8490"/>
    <s v="Ballylinan"/>
    <s v="Ireland"/>
    <s v="No"/>
    <s v="L-L-0.2"/>
    <s v="Liberica"/>
    <s v="Light"/>
    <n v="5"/>
    <n v="0.2"/>
    <n v="4.7549999999999999"/>
    <n v="23.774999999999999"/>
    <n v="0.61814999999999998"/>
    <n v="3.0907499999999999"/>
    <n v="13"/>
  </r>
  <r>
    <s v="RWI-84131-848"/>
    <d v="2019-02-22T00:00:00"/>
    <s v="2019"/>
    <s v="February"/>
    <s v="16385-11286-NX"/>
    <s v="Mohandis Spurden"/>
    <s v="mspurdencj@exblog.jp"/>
    <s v="+1 (704) 256-1371"/>
    <s v="Charlotte"/>
    <s v="United States"/>
    <s v="Yes"/>
    <s v="R-D-2.5"/>
    <s v="Robusta"/>
    <s v="Dark"/>
    <n v="2"/>
    <n v="2.5"/>
    <n v="20.584999999999997"/>
    <n v="41.169999999999995"/>
    <n v="1.2350999999999999"/>
    <n v="2.4701999999999997"/>
    <n v="6.0000000000000009"/>
  </r>
  <r>
    <s v="GUU-40666-525"/>
    <d v="2021-11-24T00:00:00"/>
    <s v="2021"/>
    <s v="November"/>
    <s v="68555-89840-GZ"/>
    <s v="Morgen Seson"/>
    <s v="msesonck@census.gov"/>
    <s v="+1 (206) 642-0902"/>
    <s v="Seattle"/>
    <s v="United States"/>
    <s v="No"/>
    <s v="A-L-0.2"/>
    <s v="Arabica"/>
    <s v="Light"/>
    <n v="3"/>
    <n v="0.2"/>
    <n v="3.8849999999999998"/>
    <n v="11.654999999999999"/>
    <n v="0.34964999999999996"/>
    <n v="1.0489499999999998"/>
    <n v="9"/>
  </r>
  <r>
    <s v="SCN-51395-066"/>
    <d v="2022-01-18T00:00:00"/>
    <s v="2022"/>
    <s v="January"/>
    <s v="72164-90254-EJ"/>
    <s v="Nalani Pirrone"/>
    <s v="npirronecl@weibo.com"/>
    <s v="+1 (570) 223-3194"/>
    <s v="Wilkes Barre"/>
    <s v="United States"/>
    <s v="No"/>
    <s v="L-L-0.5"/>
    <s v="Liberica"/>
    <s v="Light"/>
    <n v="4"/>
    <n v="0.5"/>
    <n v="9.51"/>
    <n v="38.04"/>
    <n v="1.2363"/>
    <n v="4.9451999999999998"/>
    <n v="13"/>
  </r>
  <r>
    <s v="ULA-24644-321"/>
    <d v="2021-08-13T00:00:00"/>
    <s v="2021"/>
    <s v="August"/>
    <s v="67010-92988-CT"/>
    <s v="Reube Cawley"/>
    <s v="rcawleycm@yellowbook.com"/>
    <s v="UNKNOWN"/>
    <s v="Ballyboden"/>
    <s v="Ireland"/>
    <s v="Yes"/>
    <s v="R-D-2.5"/>
    <s v="Robusta"/>
    <s v="Dark"/>
    <n v="4"/>
    <n v="2.5"/>
    <n v="20.584999999999997"/>
    <n v="82.339999999999989"/>
    <n v="1.2350999999999999"/>
    <n v="4.9403999999999995"/>
    <n v="6.0000000000000009"/>
  </r>
  <r>
    <s v="EOL-92666-762"/>
    <d v="2020-01-11T00:00:00"/>
    <s v="2020"/>
    <s v="January"/>
    <s v="15776-91507-GT"/>
    <s v="Stan Barribal"/>
    <s v="sbarribalcn@microsoft.com"/>
    <s v="+353 (310) 256-3698"/>
    <s v="Bagenalstown"/>
    <s v="Ireland"/>
    <s v="Yes"/>
    <s v="L-L-0.2"/>
    <s v="Liberica"/>
    <s v="Light"/>
    <n v="2"/>
    <n v="0.2"/>
    <n v="4.7549999999999999"/>
    <n v="9.51"/>
    <n v="0.61814999999999998"/>
    <n v="1.2363"/>
    <n v="13"/>
  </r>
  <r>
    <s v="AJV-18231-334"/>
    <d v="2020-07-05T00:00:00"/>
    <s v="2020"/>
    <s v="July"/>
    <s v="23473-41001-CD"/>
    <s v="Agnes Adamides"/>
    <s v="aadamidesco@bizjournals.com"/>
    <s v="+44 (131) 485-2183"/>
    <s v="Liverpool"/>
    <s v="United Kingdom"/>
    <s v="No"/>
    <s v="R-D-2.5"/>
    <s v="Robusta"/>
    <s v="Dark"/>
    <n v="2"/>
    <n v="2.5"/>
    <n v="20.584999999999997"/>
    <n v="41.169999999999995"/>
    <n v="1.2350999999999999"/>
    <n v="2.4701999999999997"/>
    <n v="6.0000000000000009"/>
  </r>
  <r>
    <s v="ZQI-47236-301"/>
    <d v="2019-07-25T00:00:00"/>
    <s v="2019"/>
    <s v="July"/>
    <s v="23446-47798-ID"/>
    <s v="Carmelita Thowes"/>
    <s v="cthowescp@craigslist.org"/>
    <s v="+1 (585) 785-2424"/>
    <s v="Rochester"/>
    <s v="United States"/>
    <s v="No"/>
    <s v="L-L-0.5"/>
    <s v="Liberica"/>
    <s v="Light"/>
    <n v="5"/>
    <n v="0.5"/>
    <n v="9.51"/>
    <n v="47.55"/>
    <n v="1.2363"/>
    <n v="6.1814999999999998"/>
    <n v="13"/>
  </r>
  <r>
    <s v="ZCR-15721-658"/>
    <d v="2022-05-26T00:00:00"/>
    <s v="2022"/>
    <s v="May"/>
    <s v="28327-84469-ND"/>
    <s v="Rodolfo Willoway"/>
    <s v="rwillowaycq@admin.ch"/>
    <s v="+1 (520) 126-8439"/>
    <s v="Tucson"/>
    <s v="United States"/>
    <s v="No"/>
    <s v="A-M-1"/>
    <s v="Arabica"/>
    <s v="Medium"/>
    <n v="4"/>
    <n v="1"/>
    <n v="11.25"/>
    <n v="45"/>
    <n v="1.0125"/>
    <n v="4.05"/>
    <n v="9"/>
  </r>
  <r>
    <s v="QEW-47945-682"/>
    <d v="2020-01-10T00:00:00"/>
    <s v="2020"/>
    <s v="January"/>
    <s v="42466-87067-DT"/>
    <s v="Alvis Elwin"/>
    <s v="aelwincr@privacy.gov.au"/>
    <s v="+1 (612) 244-0885"/>
    <s v="Minneapolis"/>
    <s v="United States"/>
    <s v="No"/>
    <s v="L-L-0.2"/>
    <s v="Liberica"/>
    <s v="Light"/>
    <n v="5"/>
    <n v="0.2"/>
    <n v="4.7549999999999999"/>
    <n v="23.774999999999999"/>
    <n v="0.61814999999999998"/>
    <n v="3.0907499999999999"/>
    <n v="13"/>
  </r>
  <r>
    <s v="PSY-45485-542"/>
    <d v="2019-05-17T00:00:00"/>
    <s v="2019"/>
    <s v="May"/>
    <s v="62246-99443-HF"/>
    <s v="Araldo Bilbrook"/>
    <s v="abilbrookcs@booking.com"/>
    <s v="+353 (138) 323-3320"/>
    <s v="Ashbourne"/>
    <s v="Ireland"/>
    <s v="Yes"/>
    <s v="R-D-0.5"/>
    <s v="Robusta"/>
    <s v="Dark"/>
    <n v="3"/>
    <n v="0.5"/>
    <n v="5.3699999999999992"/>
    <n v="16.11"/>
    <n v="0.32219999999999993"/>
    <n v="0.96659999999999979"/>
    <n v="5.9999999999999991"/>
  </r>
  <r>
    <s v="BAQ-74241-156"/>
    <d v="2020-07-24T00:00:00"/>
    <s v="2020"/>
    <s v="July"/>
    <s v="99869-55718-UU"/>
    <s v="Ransell McKall"/>
    <s v="rmckallct@sakura.ne.jp"/>
    <s v="+44 (841) 988-2775"/>
    <s v="Bristol"/>
    <s v="United Kingdom"/>
    <s v="Yes"/>
    <s v="R-D-0.2"/>
    <s v="Robusta"/>
    <s v="Dark"/>
    <n v="4"/>
    <n v="0.2"/>
    <n v="2.6849999999999996"/>
    <n v="10.739999999999998"/>
    <n v="0.16109999999999997"/>
    <n v="0.64439999999999986"/>
    <n v="6"/>
  </r>
  <r>
    <s v="BVU-77367-451"/>
    <d v="2020-10-20T00:00:00"/>
    <s v="2020"/>
    <s v="October"/>
    <s v="77421-46059-RY"/>
    <s v="Borg Daile"/>
    <s v="bdailecu@vistaprint.com"/>
    <s v="+1 (770) 330-7785"/>
    <s v="Atlanta"/>
    <s v="United States"/>
    <s v="Yes"/>
    <s v="A-D-1"/>
    <s v="Arabica"/>
    <s v="Dark"/>
    <n v="5"/>
    <n v="1"/>
    <n v="9.9499999999999993"/>
    <n v="49.75"/>
    <n v="0.89549999999999985"/>
    <n v="4.4774999999999991"/>
    <n v="8.9999999999999982"/>
  </r>
  <r>
    <s v="TJE-91516-344"/>
    <d v="2019-09-22T00:00:00"/>
    <s v="2019"/>
    <s v="September"/>
    <s v="49894-06550-OQ"/>
    <s v="Adolphe Treherne"/>
    <s v="atrehernecv@state.tx.us"/>
    <s v="+353 (860) 359-7907"/>
    <s v="Farranacoush"/>
    <s v="Ireland"/>
    <s v="No"/>
    <s v="E-M-1"/>
    <s v="Excelsa"/>
    <s v="Medium"/>
    <n v="2"/>
    <n v="1"/>
    <n v="13.75"/>
    <n v="27.5"/>
    <n v="1.5125"/>
    <n v="3.0249999999999999"/>
    <n v="11"/>
  </r>
  <r>
    <s v="LIS-96202-702"/>
    <d v="2020-06-07T00:00:00"/>
    <s v="2020"/>
    <s v="June"/>
    <s v="72028-63343-SU"/>
    <s v="Annetta Brentnall"/>
    <s v="abrentnallcw@biglobe.ne.jp"/>
    <s v="+44 (373) 897-1797"/>
    <s v="East End"/>
    <s v="United Kingdom"/>
    <s v="No"/>
    <s v="L-D-2.5"/>
    <s v="Liberica"/>
    <s v="Dark"/>
    <n v="4"/>
    <n v="2.5"/>
    <n v="29.784999999999997"/>
    <n v="119.13999999999999"/>
    <n v="3.8720499999999998"/>
    <n v="15.488199999999999"/>
    <n v="13"/>
  </r>
  <r>
    <s v="VIO-27668-766"/>
    <d v="2019-12-15T00:00:00"/>
    <s v="2019"/>
    <s v="December"/>
    <s v="10074-20104-NN"/>
    <s v="Dick Drinkall"/>
    <s v="ddrinkallcx@psu.edu"/>
    <s v="+1 (865) 407-3871"/>
    <s v="Knoxville"/>
    <s v="United States"/>
    <s v="Yes"/>
    <s v="R-D-2.5"/>
    <s v="Robusta"/>
    <s v="Dark"/>
    <n v="1"/>
    <n v="2.5"/>
    <n v="20.584999999999997"/>
    <n v="20.584999999999997"/>
    <n v="1.2350999999999999"/>
    <n v="1.2350999999999999"/>
    <n v="6.0000000000000009"/>
  </r>
  <r>
    <s v="ZVG-20473-043"/>
    <d v="2020-12-06T00:00:00"/>
    <s v="2020"/>
    <s v="December"/>
    <s v="71769-10219-IM"/>
    <s v="Dagny Kornel"/>
    <s v="dkornelcy@cyberchimps.com"/>
    <s v="+1 (989) 565-9120"/>
    <s v="Saginaw"/>
    <s v="United States"/>
    <s v="Yes"/>
    <s v="A-D-0.2"/>
    <s v="Arabica"/>
    <s v="Dark"/>
    <n v="3"/>
    <n v="0.2"/>
    <n v="2.9849999999999999"/>
    <n v="8.9550000000000001"/>
    <n v="0.26865"/>
    <n v="0.80594999999999994"/>
    <n v="9"/>
  </r>
  <r>
    <s v="KGZ-56395-231"/>
    <d v="2021-12-06T00:00:00"/>
    <s v="2021"/>
    <s v="December"/>
    <s v="22221-71106-JD"/>
    <s v="Rhona Lequeux"/>
    <s v="rlequeuxcz@newyorker.com"/>
    <s v="+1 (904) 161-6088"/>
    <s v="Saint Augustine"/>
    <s v="United States"/>
    <s v="No"/>
    <s v="A-D-0.5"/>
    <s v="Arabica"/>
    <s v="Dark"/>
    <n v="1"/>
    <n v="0.5"/>
    <n v="5.97"/>
    <n v="5.97"/>
    <n v="0.5373"/>
    <n v="0.5373"/>
    <n v="9.0000000000000018"/>
  </r>
  <r>
    <s v="CUU-92244-729"/>
    <d v="2020-07-11T00:00:00"/>
    <s v="2020"/>
    <s v="July"/>
    <s v="99735-44927-OL"/>
    <s v="Julius Mccaull"/>
    <s v="jmccaulld0@parallels.com"/>
    <s v="UNKNOWN"/>
    <s v="San Rafael"/>
    <s v="United States"/>
    <s v="Yes"/>
    <s v="E-M-1"/>
    <s v="Excelsa"/>
    <s v="Medium"/>
    <n v="3"/>
    <n v="1"/>
    <n v="13.75"/>
    <n v="41.25"/>
    <n v="1.5125"/>
    <n v="4.5374999999999996"/>
    <n v="10.999999999999998"/>
  </r>
  <r>
    <s v="EHE-94714-312"/>
    <d v="2021-06-28T00:00:00"/>
    <s v="2021"/>
    <s v="June"/>
    <s v="27132-68907-RC"/>
    <s v="Ailey Brash"/>
    <s v="abrashda@plala.or.jp"/>
    <s v="+1 (917) 544-7136"/>
    <s v="Flushing"/>
    <s v="United States"/>
    <s v="Yes"/>
    <s v="E-L-0.2"/>
    <s v="Excelsa"/>
    <s v="Light"/>
    <n v="5"/>
    <n v="0.2"/>
    <n v="4.4550000000000001"/>
    <n v="22.274999999999999"/>
    <n v="0.49004999999999999"/>
    <n v="2.45025"/>
    <n v="11.000000000000002"/>
  </r>
  <r>
    <s v="RTL-16205-161"/>
    <d v="2022-04-05T00:00:00"/>
    <s v="2022"/>
    <s v="April"/>
    <s v="90440-62727-HI"/>
    <s v="Alberto Hutchinson"/>
    <s v="ahutchinsond2@imgur.com"/>
    <s v="+1 (404) 775-3251"/>
    <s v="Lawrenceville"/>
    <s v="United States"/>
    <s v="Yes"/>
    <s v="A-M-0.5"/>
    <s v="Arabica"/>
    <s v="Medium"/>
    <n v="1"/>
    <n v="0.5"/>
    <n v="6.75"/>
    <n v="6.75"/>
    <n v="0.60749999999999993"/>
    <n v="0.60749999999999993"/>
    <n v="8.9999999999999982"/>
  </r>
  <r>
    <s v="GTS-22482-014"/>
    <d v="2022-03-24T00:00:00"/>
    <s v="2022"/>
    <s v="March"/>
    <s v="36769-16558-SX"/>
    <s v="Lamond Gheeraert"/>
    <s v="UNKNOWN"/>
    <s v="+1 (785) 654-9564"/>
    <s v="Topeka"/>
    <s v="United States"/>
    <s v="Yes"/>
    <s v="L-M-2.5"/>
    <s v="Liberica"/>
    <s v="Medium"/>
    <n v="4"/>
    <n v="2.5"/>
    <n v="33.464999999999996"/>
    <n v="133.85999999999999"/>
    <n v="4.3504499999999995"/>
    <n v="17.401799999999998"/>
    <n v="13"/>
  </r>
  <r>
    <s v="DYG-25473-881"/>
    <d v="2020-02-08T00:00:00"/>
    <s v="2020"/>
    <s v="February"/>
    <s v="10138-31681-SD"/>
    <s v="Roxine Drivers"/>
    <s v="rdriversd4@hexun.com"/>
    <s v="+1 (913) 127-4257"/>
    <s v="Shawnee Mission"/>
    <s v="United States"/>
    <s v="No"/>
    <s v="A-D-0.2"/>
    <s v="Arabica"/>
    <s v="Dark"/>
    <n v="2"/>
    <n v="0.2"/>
    <n v="2.9849999999999999"/>
    <n v="5.97"/>
    <n v="0.26865"/>
    <n v="0.5373"/>
    <n v="9.0000000000000018"/>
  </r>
  <r>
    <s v="HTR-21838-286"/>
    <d v="2022-02-11T00:00:00"/>
    <s v="2022"/>
    <s v="February"/>
    <s v="24669-76297-SF"/>
    <s v="Heloise Zeal"/>
    <s v="hzeald5@google.de"/>
    <s v="+1 (206) 775-4468"/>
    <s v="Seattle"/>
    <s v="United States"/>
    <s v="No"/>
    <s v="A-L-1"/>
    <s v="Arabica"/>
    <s v="Light"/>
    <n v="2"/>
    <n v="1"/>
    <n v="12.95"/>
    <n v="25.9"/>
    <n v="1.1655"/>
    <n v="2.331"/>
    <n v="9"/>
  </r>
  <r>
    <s v="KYG-28296-920"/>
    <d v="2020-07-02T00:00:00"/>
    <s v="2020"/>
    <s v="July"/>
    <s v="78050-20355-DI"/>
    <s v="Granger Smallcombe"/>
    <s v="gsmallcombed6@ucla.edu"/>
    <s v="+353 (374) 810-4528"/>
    <s v="Kilkenny"/>
    <s v="Ireland"/>
    <s v="Yes"/>
    <s v="E-M-2.5"/>
    <s v="Excelsa"/>
    <s v="Medium"/>
    <n v="1"/>
    <n v="2.5"/>
    <n v="31.624999999999996"/>
    <n v="31.624999999999996"/>
    <n v="3.4787499999999998"/>
    <n v="3.4787499999999998"/>
    <n v="11"/>
  </r>
  <r>
    <s v="NNB-20459-430"/>
    <d v="2022-07-25T00:00:00"/>
    <s v="2022"/>
    <s v="July"/>
    <s v="79825-17822-UH"/>
    <s v="Daryn Dibley"/>
    <s v="ddibleyd7@feedburner.com"/>
    <s v="UNKNOWN"/>
    <s v="Kissimmee"/>
    <s v="United States"/>
    <s v="No"/>
    <s v="L-M-0.2"/>
    <s v="Liberica"/>
    <s v="Medium"/>
    <n v="2"/>
    <n v="0.2"/>
    <n v="4.3650000000000002"/>
    <n v="8.73"/>
    <n v="0.56745000000000001"/>
    <n v="1.1349"/>
    <n v="13"/>
  </r>
  <r>
    <s v="FEK-14025-351"/>
    <d v="2021-03-19T00:00:00"/>
    <s v="2021"/>
    <s v="March"/>
    <s v="03990-21586-MQ"/>
    <s v="Gardy Dimitriou"/>
    <s v="gdimitrioud8@chronoengine.com"/>
    <s v="+1 (585) 303-7337"/>
    <s v="Rochester"/>
    <s v="United States"/>
    <s v="Yes"/>
    <s v="E-L-0.2"/>
    <s v="Excelsa"/>
    <s v="Light"/>
    <n v="6"/>
    <n v="0.2"/>
    <n v="4.4550000000000001"/>
    <n v="26.73"/>
    <n v="0.49004999999999999"/>
    <n v="2.9402999999999997"/>
    <n v="10.999999999999998"/>
  </r>
  <r>
    <s v="AWH-16980-469"/>
    <d v="2020-05-11T00:00:00"/>
    <s v="2020"/>
    <s v="May"/>
    <s v="27493-46921-TZ"/>
    <s v="Fanny Flanagan"/>
    <s v="fflanagand9@woothemes.com"/>
    <s v="+1 (903) 455-7155"/>
    <s v="Tyler"/>
    <s v="United States"/>
    <s v="No"/>
    <s v="L-M-0.2"/>
    <s v="Liberica"/>
    <s v="Medium"/>
    <n v="6"/>
    <n v="0.2"/>
    <n v="4.3650000000000002"/>
    <n v="26.19"/>
    <n v="0.56745000000000001"/>
    <n v="3.4047000000000001"/>
    <n v="13"/>
  </r>
  <r>
    <s v="ZPW-31329-741"/>
    <d v="2019-06-08T00:00:00"/>
    <s v="2019"/>
    <s v="June"/>
    <s v="27132-68907-RC"/>
    <s v="Ailey Brash"/>
    <s v="abrashda@plala.or.jp"/>
    <s v="+1 (917) 544-7136"/>
    <s v="Flushing"/>
    <s v="United States"/>
    <s v="Yes"/>
    <s v="R-D-1"/>
    <s v="Robusta"/>
    <s v="Dark"/>
    <n v="6"/>
    <n v="1"/>
    <n v="8.9499999999999993"/>
    <n v="53.699999999999996"/>
    <n v="0.53699999999999992"/>
    <n v="3.2219999999999995"/>
    <n v="6"/>
  </r>
  <r>
    <s v="ZPW-31329-741"/>
    <d v="2019-06-08T00:00:00"/>
    <s v="2019"/>
    <s v="June"/>
    <s v="27132-68907-RC"/>
    <s v="Ailey Brash"/>
    <s v="abrashda@plala.or.jp"/>
    <s v="+1 (917) 544-7136"/>
    <s v="Flushing"/>
    <s v="United States"/>
    <s v="Yes"/>
    <s v="E-M-2.5"/>
    <s v="Excelsa"/>
    <s v="Medium"/>
    <n v="4"/>
    <n v="2.5"/>
    <n v="31.624999999999996"/>
    <n v="126.49999999999999"/>
    <n v="3.4787499999999998"/>
    <n v="13.914999999999999"/>
    <n v="11"/>
  </r>
  <r>
    <s v="ZPW-31329-741"/>
    <d v="2019-06-08T00:00:00"/>
    <s v="2019"/>
    <s v="June"/>
    <s v="27132-68907-RC"/>
    <s v="Ailey Brash"/>
    <s v="abrashda@plala.or.jp"/>
    <s v="+1 (917) 544-7136"/>
    <s v="Flushing"/>
    <s v="United States"/>
    <s v="Yes"/>
    <s v="E-M-0.2"/>
    <s v="Excelsa"/>
    <s v="Medium"/>
    <n v="1"/>
    <n v="0.2"/>
    <n v="4.125"/>
    <n v="4.125"/>
    <n v="0.45374999999999999"/>
    <n v="0.45374999999999999"/>
    <n v="11"/>
  </r>
  <r>
    <s v="UBI-83843-396"/>
    <d v="2019-10-09T00:00:00"/>
    <s v="2019"/>
    <s v="October"/>
    <s v="58816-74064-TF"/>
    <s v="Nanny Izhakov"/>
    <s v="nizhakovdd@aol.com"/>
    <s v="+44 (570) 683-9517"/>
    <s v="Seaton"/>
    <s v="United Kingdom"/>
    <s v="No"/>
    <s v="R-L-1"/>
    <s v="Robusta"/>
    <s v="Light"/>
    <n v="2"/>
    <n v="1"/>
    <n v="11.95"/>
    <n v="23.9"/>
    <n v="0.71699999999999997"/>
    <n v="1.4339999999999999"/>
    <n v="6"/>
  </r>
  <r>
    <s v="VID-40587-569"/>
    <d v="2021-02-20T00:00:00"/>
    <s v="2021"/>
    <s v="February"/>
    <s v="09818-59895-EH"/>
    <s v="Stanly Keets"/>
    <s v="skeetsde@answers.com"/>
    <s v="+1 (703) 230-2979"/>
    <s v="Alexandria"/>
    <s v="United States"/>
    <s v="Yes"/>
    <s v="E-D-2.5"/>
    <s v="Excelsa"/>
    <s v="Dark"/>
    <n v="5"/>
    <n v="2.5"/>
    <n v="27.945"/>
    <n v="139.72499999999999"/>
    <n v="3.07395"/>
    <n v="15.36975"/>
    <n v="11"/>
  </r>
  <r>
    <s v="KBB-52530-416"/>
    <d v="2019-11-21T00:00:00"/>
    <s v="2019"/>
    <s v="November"/>
    <s v="06488-46303-IZ"/>
    <s v="Orion Dyott"/>
    <s v="UNKNOWN"/>
    <s v="+1 (801) 322-2923"/>
    <s v="Salt Lake City"/>
    <s v="United States"/>
    <s v="Yes"/>
    <s v="L-D-2.5"/>
    <s v="Liberica"/>
    <s v="Dark"/>
    <n v="2"/>
    <n v="2.5"/>
    <n v="29.784999999999997"/>
    <n v="59.569999999999993"/>
    <n v="3.8720499999999998"/>
    <n v="7.7440999999999995"/>
    <n v="13"/>
  </r>
  <r>
    <s v="ISJ-48676-420"/>
    <d v="2021-10-10T00:00:00"/>
    <s v="2021"/>
    <s v="October"/>
    <s v="93046-67561-AY"/>
    <s v="Keefer Cake"/>
    <s v="kcakedg@huffingtonpost.com"/>
    <s v="UNKNOWN"/>
    <s v="San Jose"/>
    <s v="United States"/>
    <s v="No"/>
    <s v="L-L-0.5"/>
    <s v="Liberica"/>
    <s v="Light"/>
    <n v="6"/>
    <n v="0.5"/>
    <n v="9.51"/>
    <n v="57.06"/>
    <n v="1.2363"/>
    <n v="7.4177999999999997"/>
    <n v="12.999999999999998"/>
  </r>
  <r>
    <s v="MIF-17920-768"/>
    <d v="2021-08-05T00:00:00"/>
    <s v="2021"/>
    <s v="August"/>
    <s v="68946-40750-LK"/>
    <s v="Morna Hansed"/>
    <s v="mhanseddh@instagram.com"/>
    <s v="+353 (997) 520-7802"/>
    <s v="Tr谩 Mh贸r"/>
    <s v="Ireland"/>
    <s v="Yes"/>
    <s v="R-L-0.2"/>
    <s v="Robusta"/>
    <s v="Light"/>
    <n v="6"/>
    <n v="0.2"/>
    <n v="3.5849999999999995"/>
    <n v="21.509999999999998"/>
    <n v="0.21509999999999996"/>
    <n v="1.2905999999999997"/>
    <n v="5.9999999999999991"/>
  </r>
  <r>
    <s v="CPX-19312-088"/>
    <d v="2020-07-31T00:00:00"/>
    <s v="2020"/>
    <s v="July"/>
    <s v="38387-64959-WW"/>
    <s v="Franny Kienlein"/>
    <s v="fkienleindi@trellian.com"/>
    <s v="+353 (972) 241-3434"/>
    <s v="Coolock"/>
    <s v="Ireland"/>
    <s v="Yes"/>
    <s v="L-M-0.5"/>
    <s v="Liberica"/>
    <s v="Medium"/>
    <n v="6"/>
    <n v="0.5"/>
    <n v="8.73"/>
    <n v="52.38"/>
    <n v="1.1349"/>
    <n v="6.8094000000000001"/>
    <n v="13"/>
  </r>
  <r>
    <s v="RXI-67978-260"/>
    <d v="2020-09-19T00:00:00"/>
    <s v="2020"/>
    <s v="September"/>
    <s v="48418-60841-CC"/>
    <s v="Klarika Egglestone"/>
    <s v="kegglestonedj@sphinn.com"/>
    <s v="+353 (452) 975-6438"/>
    <s v="Coolock"/>
    <s v="Ireland"/>
    <s v="No"/>
    <s v="E-D-1"/>
    <s v="Excelsa"/>
    <s v="Dark"/>
    <n v="6"/>
    <n v="1"/>
    <n v="12.15"/>
    <n v="72.900000000000006"/>
    <n v="1.3365"/>
    <n v="8.0190000000000001"/>
    <n v="10.999999999999998"/>
  </r>
  <r>
    <s v="LKE-14821-285"/>
    <d v="2020-05-03T00:00:00"/>
    <s v="2020"/>
    <s v="May"/>
    <s v="13736-92418-JS"/>
    <s v="Becky Semkins"/>
    <s v="bsemkinsdk@unc.edu"/>
    <s v="+353 (209) 764-2690"/>
    <s v="Kinnegad"/>
    <s v="Ireland"/>
    <s v="Yes"/>
    <s v="R-M-0.2"/>
    <s v="Robusta"/>
    <s v="Medium"/>
    <n v="5"/>
    <n v="0.2"/>
    <n v="2.9849999999999999"/>
    <n v="14.924999999999999"/>
    <n v="0.17909999999999998"/>
    <n v="0.89549999999999996"/>
    <n v="6.0000000000000009"/>
  </r>
  <r>
    <s v="LRK-97117-150"/>
    <d v="2019-07-08T00:00:00"/>
    <s v="2019"/>
    <s v="July"/>
    <s v="33000-22405-LO"/>
    <s v="Sean Lorenzetti"/>
    <s v="slorenzettidl@is.gd"/>
    <s v="+1 (915) 581-0694"/>
    <s v="El Paso"/>
    <s v="United States"/>
    <s v="No"/>
    <s v="L-L-1"/>
    <s v="Liberica"/>
    <s v="Light"/>
    <n v="6"/>
    <n v="1"/>
    <n v="15.85"/>
    <n v="95.1"/>
    <n v="2.0605000000000002"/>
    <n v="12.363000000000001"/>
    <n v="13.000000000000004"/>
  </r>
  <r>
    <s v="IGK-51227-573"/>
    <d v="2019-10-26T00:00:00"/>
    <s v="2019"/>
    <s v="October"/>
    <s v="46959-60474-LT"/>
    <s v="Bob Giannazzi"/>
    <s v="bgiannazzidm@apple.com"/>
    <s v="+1 (754) 827-8970"/>
    <s v="Fort Lauderdale"/>
    <s v="United States"/>
    <s v="No"/>
    <s v="L-D-0.5"/>
    <s v="Liberica"/>
    <s v="Dark"/>
    <n v="2"/>
    <n v="0.5"/>
    <n v="7.77"/>
    <n v="15.54"/>
    <n v="1.0101"/>
    <n v="2.0202"/>
    <n v="13"/>
  </r>
  <r>
    <s v="ZAY-43009-775"/>
    <d v="2020-09-27T00:00:00"/>
    <s v="2020"/>
    <s v="September"/>
    <s v="73431-39823-UP"/>
    <s v="Kendra Backshell"/>
    <s v="UNKNOWN"/>
    <s v="+1 (317) 595-9406"/>
    <s v="Indianapolis"/>
    <s v="United States"/>
    <s v="No"/>
    <s v="L-D-0.2"/>
    <s v="Liberica"/>
    <s v="Dark"/>
    <n v="6"/>
    <n v="0.2"/>
    <n v="3.8849999999999998"/>
    <n v="23.31"/>
    <n v="0.50505"/>
    <n v="3.0303"/>
    <n v="13"/>
  </r>
  <r>
    <s v="EMA-63190-618"/>
    <d v="2022-02-28T00:00:00"/>
    <s v="2022"/>
    <s v="February"/>
    <s v="90993-98984-JK"/>
    <s v="Uriah Lethbrig"/>
    <s v="ulethbrigdo@hc360.com"/>
    <s v="+1 (414) 580-9714"/>
    <s v="Milwaukee"/>
    <s v="United States"/>
    <s v="Yes"/>
    <s v="E-M-0.2"/>
    <s v="Excelsa"/>
    <s v="Medium"/>
    <n v="1"/>
    <n v="0.2"/>
    <n v="4.125"/>
    <n v="4.125"/>
    <n v="0.45374999999999999"/>
    <n v="0.45374999999999999"/>
    <n v="11"/>
  </r>
  <r>
    <s v="FBI-35855-418"/>
    <d v="2020-09-16T00:00:00"/>
    <s v="2020"/>
    <s v="September"/>
    <s v="06552-04430-AG"/>
    <s v="Sky Farnish"/>
    <s v="sfarnishdp@dmoz.org"/>
    <s v="+44 (847) 377-8172"/>
    <s v="Eaton"/>
    <s v="United Kingdom"/>
    <s v="No"/>
    <s v="R-M-0.5"/>
    <s v="Robusta"/>
    <s v="Medium"/>
    <n v="6"/>
    <n v="0.5"/>
    <n v="5.97"/>
    <n v="35.82"/>
    <n v="0.35819999999999996"/>
    <n v="2.1491999999999996"/>
    <n v="5.9999999999999982"/>
  </r>
  <r>
    <s v="TXB-80533-417"/>
    <d v="2020-10-28T00:00:00"/>
    <s v="2020"/>
    <s v="October"/>
    <s v="54597-57004-QM"/>
    <s v="Felicia Jecock"/>
    <s v="fjecockdq@unicef.org"/>
    <s v="+1 (225) 116-2959"/>
    <s v="Baton Rouge"/>
    <s v="United States"/>
    <s v="No"/>
    <s v="L-L-1"/>
    <s v="Liberica"/>
    <s v="Light"/>
    <n v="2"/>
    <n v="1"/>
    <n v="15.85"/>
    <n v="31.7"/>
    <n v="2.0605000000000002"/>
    <n v="4.1210000000000004"/>
    <n v="13"/>
  </r>
  <r>
    <s v="MBM-00112-248"/>
    <d v="2019-09-02T00:00:00"/>
    <s v="2019"/>
    <s v="September"/>
    <s v="50238-24377-ZS"/>
    <s v="Currey MacAllister"/>
    <s v="UNKNOWN"/>
    <s v="+1 (203) 490-3839"/>
    <s v="Danbury"/>
    <s v="United States"/>
    <s v="Yes"/>
    <s v="L-L-1"/>
    <s v="Liberica"/>
    <s v="Light"/>
    <n v="5"/>
    <n v="1"/>
    <n v="15.85"/>
    <n v="79.25"/>
    <n v="2.0605000000000002"/>
    <n v="10.302500000000002"/>
    <n v="13.000000000000004"/>
  </r>
  <r>
    <s v="EUO-69145-988"/>
    <d v="2021-08-30T00:00:00"/>
    <s v="2021"/>
    <s v="August"/>
    <s v="60370-41934-IF"/>
    <s v="Hamlen Pallister"/>
    <s v="hpallisterds@ning.com"/>
    <s v="+1 (850) 517-1353"/>
    <s v="Pensacola"/>
    <s v="United States"/>
    <s v="No"/>
    <s v="E-D-0.2"/>
    <s v="Excelsa"/>
    <s v="Dark"/>
    <n v="3"/>
    <n v="0.2"/>
    <n v="3.645"/>
    <n v="10.935"/>
    <n v="0.40095000000000003"/>
    <n v="1.2028500000000002"/>
    <n v="11.000000000000002"/>
  </r>
  <r>
    <s v="GYA-80327-368"/>
    <d v="2021-06-04T00:00:00"/>
    <s v="2021"/>
    <s v="June"/>
    <s v="06899-54551-EH"/>
    <s v="Chantal Mersh"/>
    <s v="cmershdt@drupal.org"/>
    <s v="+353 (343) 889-4565"/>
    <s v="Milltown"/>
    <s v="Ireland"/>
    <s v="No"/>
    <s v="A-D-1"/>
    <s v="Arabica"/>
    <s v="Dark"/>
    <n v="4"/>
    <n v="1"/>
    <n v="9.9499999999999993"/>
    <n v="39.799999999999997"/>
    <n v="0.89549999999999985"/>
    <n v="3.5819999999999994"/>
    <n v="9"/>
  </r>
  <r>
    <s v="TNW-41601-420"/>
    <d v="2020-11-24T00:00:00"/>
    <s v="2020"/>
    <s v="November"/>
    <s v="66458-91190-YC"/>
    <s v="Marja Urion"/>
    <s v="murione5@alexa.com"/>
    <s v="+353 (715) 989-0283"/>
    <s v="Virginia"/>
    <s v="Ireland"/>
    <s v="Yes"/>
    <s v="R-M-1"/>
    <s v="Robusta"/>
    <s v="Medium"/>
    <n v="5"/>
    <n v="1"/>
    <n v="9.9499999999999993"/>
    <n v="49.75"/>
    <n v="0.59699999999999998"/>
    <n v="2.9849999999999999"/>
    <n v="6"/>
  </r>
  <r>
    <s v="ALR-62963-723"/>
    <d v="2020-06-21T00:00:00"/>
    <s v="2020"/>
    <s v="June"/>
    <s v="80463-43913-WZ"/>
    <s v="Malynda Purbrick"/>
    <s v="UNKNOWN"/>
    <s v="+353 (160) 183-4278"/>
    <s v="Balally"/>
    <s v="Ireland"/>
    <s v="Yes"/>
    <s v="R-D-0.2"/>
    <s v="Robusta"/>
    <s v="Dark"/>
    <n v="3"/>
    <n v="0.2"/>
    <n v="2.6849999999999996"/>
    <n v="8.0549999999999997"/>
    <n v="0.16109999999999997"/>
    <n v="0.4832999999999999"/>
    <n v="5.9999999999999991"/>
  </r>
  <r>
    <s v="JIG-27636-870"/>
    <d v="2020-07-13T00:00:00"/>
    <s v="2020"/>
    <s v="July"/>
    <s v="67204-04870-LG"/>
    <s v="Alf Housaman"/>
    <s v="UNKNOWN"/>
    <s v="+1 (616) 511-3898"/>
    <s v="Grand Rapids"/>
    <s v="United States"/>
    <s v="No"/>
    <s v="R-L-1"/>
    <s v="Robusta"/>
    <s v="Light"/>
    <n v="4"/>
    <n v="1"/>
    <n v="11.95"/>
    <n v="47.8"/>
    <n v="0.71699999999999997"/>
    <n v="2.8679999999999999"/>
    <n v="6"/>
  </r>
  <r>
    <s v="CTE-31437-326"/>
    <d v="2019-01-02T00:00:00"/>
    <s v="2019"/>
    <s v="January"/>
    <s v="22721-63196-UJ"/>
    <s v="Gladi Ducker"/>
    <s v="gduckerdx@patch.com"/>
    <s v="+44 (749) 987-9016"/>
    <s v="Belfast"/>
    <s v="United Kingdom"/>
    <s v="No"/>
    <s v="R-M-0.2"/>
    <s v="Robusta"/>
    <s v="Medium"/>
    <n v="4"/>
    <n v="0.2"/>
    <n v="2.9849999999999999"/>
    <n v="11.94"/>
    <n v="0.17909999999999998"/>
    <n v="0.71639999999999993"/>
    <n v="6"/>
  </r>
  <r>
    <s v="CTE-31437-326"/>
    <d v="2019-01-02T00:00:00"/>
    <s v="2019"/>
    <s v="January"/>
    <s v="22721-63196-UJ"/>
    <s v="Gladi Ducker"/>
    <s v="gduckerdx@patch.com"/>
    <s v="+44 (749) 987-9016"/>
    <s v="Belfast"/>
    <s v="United Kingdom"/>
    <s v="No"/>
    <s v="E-M-0.2"/>
    <s v="Excelsa"/>
    <s v="Medium"/>
    <n v="4"/>
    <n v="0.2"/>
    <n v="4.125"/>
    <n v="16.5"/>
    <n v="0.45374999999999999"/>
    <n v="1.8149999999999999"/>
    <n v="11"/>
  </r>
  <r>
    <s v="CTE-31437-326"/>
    <d v="2019-01-02T00:00:00"/>
    <s v="2019"/>
    <s v="January"/>
    <s v="22721-63196-UJ"/>
    <s v="Gladi Ducker"/>
    <s v="gduckerdx@patch.com"/>
    <s v="+44 (749) 987-9016"/>
    <s v="Belfast"/>
    <s v="United Kingdom"/>
    <s v="No"/>
    <s v="L-D-1"/>
    <s v="Liberica"/>
    <s v="Dark"/>
    <n v="4"/>
    <n v="1"/>
    <n v="12.95"/>
    <n v="51.8"/>
    <n v="1.6835"/>
    <n v="6.734"/>
    <n v="13"/>
  </r>
  <r>
    <s v="CTE-31437-326"/>
    <d v="2019-01-02T00:00:00"/>
    <s v="2019"/>
    <s v="January"/>
    <s v="22721-63196-UJ"/>
    <s v="Gladi Ducker"/>
    <s v="gduckerdx@patch.com"/>
    <s v="+44 (749) 987-9016"/>
    <s v="Belfast"/>
    <s v="United Kingdom"/>
    <s v="No"/>
    <s v="L-L-0.2"/>
    <s v="Liberica"/>
    <s v="Light"/>
    <n v="3"/>
    <n v="0.2"/>
    <n v="4.7549999999999999"/>
    <n v="14.265000000000001"/>
    <n v="0.61814999999999998"/>
    <n v="1.8544499999999999"/>
    <n v="12.999999999999998"/>
  </r>
  <r>
    <s v="SLD-63003-334"/>
    <d v="2022-02-17T00:00:00"/>
    <s v="2022"/>
    <s v="February"/>
    <s v="55515-37571-RS"/>
    <s v="Wain Stearley"/>
    <s v="wstearleye1@census.gov"/>
    <s v="+1 (336) 213-3687"/>
    <s v="High Point"/>
    <s v="United States"/>
    <s v="No"/>
    <s v="L-M-0.2"/>
    <s v="Liberica"/>
    <s v="Medium"/>
    <n v="6"/>
    <n v="0.2"/>
    <n v="4.3650000000000002"/>
    <n v="26.19"/>
    <n v="0.56745000000000001"/>
    <n v="3.4047000000000001"/>
    <n v="13"/>
  </r>
  <r>
    <s v="BXN-64230-789"/>
    <d v="2020-12-19T00:00:00"/>
    <s v="2020"/>
    <s v="December"/>
    <s v="25598-77476-CB"/>
    <s v="Diane-marie Wincer"/>
    <s v="dwincere2@marriott.com"/>
    <s v="+1 (915) 676-6367"/>
    <s v="El Paso"/>
    <s v="United States"/>
    <s v="Yes"/>
    <s v="A-L-1"/>
    <s v="Arabica"/>
    <s v="Light"/>
    <n v="2"/>
    <n v="1"/>
    <n v="12.95"/>
    <n v="25.9"/>
    <n v="1.1655"/>
    <n v="2.331"/>
    <n v="9"/>
  </r>
  <r>
    <s v="XEE-37895-169"/>
    <d v="2019-02-20T00:00:00"/>
    <s v="2019"/>
    <s v="February"/>
    <s v="14888-85625-TM"/>
    <s v="Perry Lyfield"/>
    <s v="plyfielde3@baidu.com"/>
    <s v="+1 (216) 614-9325"/>
    <s v="Cleveland"/>
    <s v="United States"/>
    <s v="Yes"/>
    <s v="A-L-2.5"/>
    <s v="Arabica"/>
    <s v="Light"/>
    <n v="3"/>
    <n v="2.5"/>
    <n v="29.784999999999997"/>
    <n v="89.35499999999999"/>
    <n v="2.6806499999999995"/>
    <n v="8.0419499999999982"/>
    <n v="8.9999999999999982"/>
  </r>
  <r>
    <s v="ZTX-80764-911"/>
    <d v="2021-01-14T00:00:00"/>
    <s v="2021"/>
    <s v="January"/>
    <s v="92793-68332-NR"/>
    <s v="Heall Perris"/>
    <s v="hperrise4@studiopress.com"/>
    <s v="+353 (954) 293-8675"/>
    <s v="Ballymahon"/>
    <s v="Ireland"/>
    <s v="No"/>
    <s v="L-D-0.5"/>
    <s v="Liberica"/>
    <s v="Dark"/>
    <n v="6"/>
    <n v="0.5"/>
    <n v="7.77"/>
    <n v="46.62"/>
    <n v="1.0101"/>
    <n v="6.0606"/>
    <n v="13"/>
  </r>
  <r>
    <s v="WVT-88135-549"/>
    <d v="2019-11-16T00:00:00"/>
    <s v="2019"/>
    <s v="November"/>
    <s v="66458-91190-YC"/>
    <s v="Marja Urion"/>
    <s v="murione5@alexa.com"/>
    <s v="+353 (715) 989-0283"/>
    <s v="Virginia"/>
    <s v="Ireland"/>
    <s v="Yes"/>
    <s v="A-D-1"/>
    <s v="Arabica"/>
    <s v="Dark"/>
    <n v="3"/>
    <n v="1"/>
    <n v="9.9499999999999993"/>
    <n v="29.849999999999998"/>
    <n v="0.89549999999999985"/>
    <n v="2.6864999999999997"/>
    <n v="9"/>
  </r>
  <r>
    <s v="IPA-94170-889"/>
    <d v="2019-12-04T00:00:00"/>
    <s v="2019"/>
    <s v="December"/>
    <s v="64439-27325-LG"/>
    <s v="Camellia Kid"/>
    <s v="ckide6@narod.ru"/>
    <s v="+353 (866) 707-2603"/>
    <s v="Whitegate"/>
    <s v="Ireland"/>
    <s v="Yes"/>
    <s v="R-L-0.2"/>
    <s v="Robusta"/>
    <s v="Light"/>
    <n v="3"/>
    <n v="0.2"/>
    <n v="3.5849999999999995"/>
    <n v="10.754999999999999"/>
    <n v="0.21509999999999996"/>
    <n v="0.64529999999999987"/>
    <n v="5.9999999999999991"/>
  </r>
  <r>
    <s v="YQL-63755-365"/>
    <d v="2020-07-31T00:00:00"/>
    <s v="2020"/>
    <s v="July"/>
    <s v="78570-76770-LB"/>
    <s v="Carolann Beine"/>
    <s v="cbeinee7@xinhuanet.com"/>
    <s v="+1 (205) 468-0236"/>
    <s v="Birmingham"/>
    <s v="United States"/>
    <s v="Yes"/>
    <s v="A-M-0.2"/>
    <s v="Arabica"/>
    <s v="Medium"/>
    <n v="4"/>
    <n v="0.2"/>
    <n v="3.375"/>
    <n v="13.5"/>
    <n v="0.30374999999999996"/>
    <n v="1.2149999999999999"/>
    <n v="8.9999999999999982"/>
  </r>
  <r>
    <s v="RKW-81145-984"/>
    <d v="2019-03-11T00:00:00"/>
    <s v="2019"/>
    <s v="March"/>
    <s v="98661-69719-VI"/>
    <s v="Celia Bakeup"/>
    <s v="cbakeupe8@globo.com"/>
    <s v="+1 (320) 375-8504"/>
    <s v="Saint Cloud"/>
    <s v="United States"/>
    <s v="No"/>
    <s v="L-L-1"/>
    <s v="Liberica"/>
    <s v="Light"/>
    <n v="3"/>
    <n v="1"/>
    <n v="15.85"/>
    <n v="47.55"/>
    <n v="2.0605000000000002"/>
    <n v="6.1815000000000007"/>
    <n v="13.000000000000004"/>
  </r>
  <r>
    <s v="MBT-23379-866"/>
    <d v="2022-05-10T00:00:00"/>
    <s v="2022"/>
    <s v="May"/>
    <s v="82990-92703-IX"/>
    <s v="Nataniel Helkin"/>
    <s v="nhelkine9@example.com"/>
    <s v="UNKNOWN"/>
    <s v="Philadelphia"/>
    <s v="United States"/>
    <s v="No"/>
    <s v="L-L-1"/>
    <s v="Liberica"/>
    <s v="Light"/>
    <n v="5"/>
    <n v="1"/>
    <n v="15.85"/>
    <n v="79.25"/>
    <n v="2.0605000000000002"/>
    <n v="10.302500000000002"/>
    <n v="13.000000000000004"/>
  </r>
  <r>
    <s v="GEJ-39834-935"/>
    <d v="2021-12-25T00:00:00"/>
    <s v="2021"/>
    <s v="December"/>
    <s v="49412-86877-VY"/>
    <s v="Pippo Witherington"/>
    <s v="pwitheringtonea@networkadvertising.org"/>
    <s v="+1 (810) 202-8870"/>
    <s v="Detroit"/>
    <s v="United States"/>
    <s v="Yes"/>
    <s v="L-M-0.2"/>
    <s v="Liberica"/>
    <s v="Medium"/>
    <n v="6"/>
    <n v="0.2"/>
    <n v="4.3650000000000002"/>
    <n v="26.19"/>
    <n v="0.56745000000000001"/>
    <n v="3.4047000000000001"/>
    <n v="13"/>
  </r>
  <r>
    <s v="KRW-91640-596"/>
    <d v="2022-04-22T00:00:00"/>
    <s v="2022"/>
    <s v="April"/>
    <s v="70879-00984-FJ"/>
    <s v="Tildie Tilzey"/>
    <s v="ttilzeyeb@hostgator.com"/>
    <s v="+1 (314) 876-7205"/>
    <s v="Saint Louis"/>
    <s v="United States"/>
    <s v="No"/>
    <s v="R-L-0.5"/>
    <s v="Robusta"/>
    <s v="Light"/>
    <n v="3"/>
    <n v="0.5"/>
    <n v="7.169999999999999"/>
    <n v="21.509999999999998"/>
    <n v="0.43019999999999992"/>
    <n v="1.2905999999999997"/>
    <n v="5.9999999999999991"/>
  </r>
  <r>
    <s v="AOT-70449-651"/>
    <d v="2022-06-11T00:00:00"/>
    <s v="2022"/>
    <s v="June"/>
    <s v="53414-73391-CR"/>
    <s v="Cindra Burling"/>
    <s v="UNKNOWN"/>
    <s v="+1 (518) 562-5402"/>
    <s v="Schenectady"/>
    <s v="United States"/>
    <s v="Yes"/>
    <s v="R-D-2.5"/>
    <s v="Robusta"/>
    <s v="Dark"/>
    <n v="5"/>
    <n v="2.5"/>
    <n v="20.584999999999997"/>
    <n v="102.92499999999998"/>
    <n v="1.2350999999999999"/>
    <n v="6.1754999999999995"/>
    <n v="6.0000000000000009"/>
  </r>
  <r>
    <s v="DGC-21813-731"/>
    <d v="2022-04-27T00:00:00"/>
    <s v="2022"/>
    <s v="April"/>
    <s v="43606-83072-OA"/>
    <s v="Channa Belamy"/>
    <s v="UNKNOWN"/>
    <s v="+1 (863) 303-5561"/>
    <s v="Lakeland"/>
    <s v="United States"/>
    <s v="No"/>
    <s v="L-D-0.2"/>
    <s v="Liberica"/>
    <s v="Dark"/>
    <n v="2"/>
    <n v="0.2"/>
    <n v="3.8849999999999998"/>
    <n v="7.77"/>
    <n v="0.50505"/>
    <n v="1.0101"/>
    <n v="13"/>
  </r>
  <r>
    <s v="JBE-92943-643"/>
    <d v="2020-12-29T00:00:00"/>
    <s v="2020"/>
    <s v="December"/>
    <s v="84466-22864-CE"/>
    <s v="Karl Imorts"/>
    <s v="kimortsee@alexa.com"/>
    <s v="+1 (321) 156-1160"/>
    <s v="Melbourne"/>
    <s v="United States"/>
    <s v="No"/>
    <s v="E-D-2.5"/>
    <s v="Excelsa"/>
    <s v="Dark"/>
    <n v="5"/>
    <n v="2.5"/>
    <n v="27.945"/>
    <n v="139.72499999999999"/>
    <n v="3.07395"/>
    <n v="15.36975"/>
    <n v="11"/>
  </r>
  <r>
    <s v="ZIL-34948-499"/>
    <d v="2020-07-14T00:00:00"/>
    <s v="2020"/>
    <s v="July"/>
    <s v="66458-91190-YC"/>
    <s v="Marja Urion"/>
    <s v="murione5@alexa.com"/>
    <s v="+353 (715) 989-0283"/>
    <s v="Virginia"/>
    <s v="Ireland"/>
    <s v="Yes"/>
    <s v="A-D-0.5"/>
    <s v="Arabica"/>
    <s v="Dark"/>
    <n v="2"/>
    <n v="0.5"/>
    <n v="5.97"/>
    <n v="11.94"/>
    <n v="0.5373"/>
    <n v="1.0746"/>
    <n v="9.0000000000000018"/>
  </r>
  <r>
    <s v="JSU-23781-256"/>
    <d v="2021-09-07T00:00:00"/>
    <s v="2021"/>
    <s v="September"/>
    <s v="76499-89100-JQ"/>
    <s v="Mag Armistead"/>
    <s v="marmisteadeg@blogtalkradio.com"/>
    <s v="+1 (504) 611-3400"/>
    <s v="New Orleans"/>
    <s v="United States"/>
    <s v="No"/>
    <s v="L-D-0.2"/>
    <s v="Liberica"/>
    <s v="Dark"/>
    <n v="1"/>
    <n v="0.2"/>
    <n v="3.8849999999999998"/>
    <n v="3.8849999999999998"/>
    <n v="0.50505"/>
    <n v="0.50505"/>
    <n v="13"/>
  </r>
  <r>
    <s v="JSU-23781-256"/>
    <d v="2021-09-07T00:00:00"/>
    <s v="2021"/>
    <s v="September"/>
    <s v="76499-89100-JQ"/>
    <s v="Mag Armistead"/>
    <s v="marmisteadeg@blogtalkradio.com"/>
    <s v="+1 (504) 611-3400"/>
    <s v="New Orleans"/>
    <s v="United States"/>
    <s v="No"/>
    <s v="R-M-1"/>
    <s v="Robusta"/>
    <s v="Medium"/>
    <n v="4"/>
    <n v="1"/>
    <n v="9.9499999999999993"/>
    <n v="39.799999999999997"/>
    <n v="0.59699999999999998"/>
    <n v="2.3879999999999999"/>
    <n v="6.0000000000000009"/>
  </r>
  <r>
    <s v="VPX-44956-367"/>
    <d v="2019-06-09T00:00:00"/>
    <s v="2019"/>
    <s v="June"/>
    <s v="39582-35773-ZJ"/>
    <s v="Vasili Upstone"/>
    <s v="vupstoneei@google.pl"/>
    <s v="+1 (785) 366-9983"/>
    <s v="Topeka"/>
    <s v="United States"/>
    <s v="No"/>
    <s v="R-M-0.5"/>
    <s v="Robusta"/>
    <s v="Medium"/>
    <n v="5"/>
    <n v="0.5"/>
    <n v="5.97"/>
    <n v="29.849999999999998"/>
    <n v="0.35819999999999996"/>
    <n v="1.7909999999999999"/>
    <n v="6.0000000000000009"/>
  </r>
  <r>
    <s v="VTB-46451-959"/>
    <d v="2020-10-25T00:00:00"/>
    <s v="2020"/>
    <s v="October"/>
    <s v="66240-46962-IO"/>
    <s v="Berty Beelby"/>
    <s v="bbeelbyej@rediff.com"/>
    <s v="+353 (537) 360-4393"/>
    <s v="Lucan"/>
    <s v="Ireland"/>
    <s v="No"/>
    <s v="L-D-2.5"/>
    <s v="Liberica"/>
    <s v="Dark"/>
    <n v="1"/>
    <n v="2.5"/>
    <n v="29.784999999999997"/>
    <n v="29.784999999999997"/>
    <n v="3.8720499999999998"/>
    <n v="3.8720499999999998"/>
    <n v="13"/>
  </r>
  <r>
    <s v="DNZ-11665-950"/>
    <d v="2021-02-28T00:00:00"/>
    <s v="2021"/>
    <s v="February"/>
    <s v="10637-45522-ID"/>
    <s v="Erny Stenyng"/>
    <s v="UNKNOWN"/>
    <s v="+1 (217) 450-8384"/>
    <s v="Springfield"/>
    <s v="United States"/>
    <s v="No"/>
    <s v="L-L-2.5"/>
    <s v="Liberica"/>
    <s v="Light"/>
    <n v="2"/>
    <n v="2.5"/>
    <n v="36.454999999999998"/>
    <n v="72.91"/>
    <n v="4.7391499999999995"/>
    <n v="9.4782999999999991"/>
    <n v="13"/>
  </r>
  <r>
    <s v="ITR-54735-364"/>
    <d v="2020-07-26T00:00:00"/>
    <s v="2020"/>
    <s v="July"/>
    <s v="92599-58687-CS"/>
    <s v="Edin Yantsurev"/>
    <s v="UNKNOWN"/>
    <s v="+1 (856) 793-3491"/>
    <s v="Camden"/>
    <s v="United States"/>
    <s v="Yes"/>
    <s v="R-D-0.2"/>
    <s v="Robusta"/>
    <s v="Dark"/>
    <n v="5"/>
    <n v="0.2"/>
    <n v="2.6849999999999996"/>
    <n v="13.424999999999997"/>
    <n v="0.16109999999999997"/>
    <n v="0.80549999999999988"/>
    <n v="6.0000000000000009"/>
  </r>
  <r>
    <s v="YDS-02797-307"/>
    <d v="2022-06-05T00:00:00"/>
    <s v="2022"/>
    <s v="June"/>
    <s v="06058-48844-PI"/>
    <s v="Webb Speechly"/>
    <s v="wspeechlyem@amazon.com"/>
    <s v="+1 (206) 440-5750"/>
    <s v="Seattle"/>
    <s v="United States"/>
    <s v="Yes"/>
    <s v="E-M-2.5"/>
    <s v="Excelsa"/>
    <s v="Medium"/>
    <n v="4"/>
    <n v="2.5"/>
    <n v="31.624999999999996"/>
    <n v="126.49999999999999"/>
    <n v="3.4787499999999998"/>
    <n v="13.914999999999999"/>
    <n v="11"/>
  </r>
  <r>
    <s v="BPG-68988-842"/>
    <d v="2019-02-21T00:00:00"/>
    <s v="2019"/>
    <s v="February"/>
    <s v="53631-24432-SY"/>
    <s v="Irvine Phillpot"/>
    <s v="iphillpoten@buzzfeed.com"/>
    <s v="+44 (610) 826-3107"/>
    <s v="Wootton"/>
    <s v="United Kingdom"/>
    <s v="No"/>
    <s v="E-M-0.5"/>
    <s v="Excelsa"/>
    <s v="Medium"/>
    <n v="5"/>
    <n v="0.5"/>
    <n v="8.25"/>
    <n v="41.25"/>
    <n v="0.90749999999999997"/>
    <n v="4.5374999999999996"/>
    <n v="10.999999999999998"/>
  </r>
  <r>
    <s v="XZG-51938-658"/>
    <d v="2020-04-05T00:00:00"/>
    <s v="2020"/>
    <s v="April"/>
    <s v="18275-73980-KL"/>
    <s v="Lem Pennacci"/>
    <s v="lpennaccieo@statcounter.com"/>
    <s v="+1 (254) 597-0519"/>
    <s v="Waco"/>
    <s v="United States"/>
    <s v="No"/>
    <s v="E-L-0.5"/>
    <s v="Excelsa"/>
    <s v="Light"/>
    <n v="6"/>
    <n v="0.5"/>
    <n v="8.91"/>
    <n v="53.46"/>
    <n v="0.98009999999999997"/>
    <n v="5.8805999999999994"/>
    <n v="10.999999999999998"/>
  </r>
  <r>
    <s v="KAR-24978-271"/>
    <d v="2019-01-10T00:00:00"/>
    <s v="2019"/>
    <s v="January"/>
    <s v="23187-65750-HZ"/>
    <s v="Starr Arpin"/>
    <s v="sarpinep@moonfruit.com"/>
    <s v="+1 (804) 588-4160"/>
    <s v="Richmond"/>
    <s v="United States"/>
    <s v="No"/>
    <s v="R-M-1"/>
    <s v="Robusta"/>
    <s v="Medium"/>
    <n v="6"/>
    <n v="1"/>
    <n v="9.9499999999999993"/>
    <n v="59.699999999999996"/>
    <n v="0.59699999999999998"/>
    <n v="3.5819999999999999"/>
    <n v="6.0000000000000009"/>
  </r>
  <r>
    <s v="FQK-28730-361"/>
    <d v="2022-04-12T00:00:00"/>
    <s v="2022"/>
    <s v="April"/>
    <s v="22725-79522-GP"/>
    <s v="Donny Fries"/>
    <s v="dfrieseq@cargocollective.com"/>
    <s v="+1 (419) 138-9171"/>
    <s v="Toledo"/>
    <s v="United States"/>
    <s v="No"/>
    <s v="R-M-1"/>
    <s v="Robusta"/>
    <s v="Medium"/>
    <n v="6"/>
    <n v="1"/>
    <n v="9.9499999999999993"/>
    <n v="59.699999999999996"/>
    <n v="0.59699999999999998"/>
    <n v="3.5819999999999999"/>
    <n v="6.0000000000000009"/>
  </r>
  <r>
    <s v="BGB-67996-089"/>
    <d v="2022-01-30T00:00:00"/>
    <s v="2022"/>
    <s v="January"/>
    <s v="06279-72603-JE"/>
    <s v="Rana Sharer"/>
    <s v="rsharerer@flavors.me"/>
    <s v="+1 (304) 632-1951"/>
    <s v="Huntington"/>
    <s v="United States"/>
    <s v="No"/>
    <s v="R-D-1"/>
    <s v="Robusta"/>
    <s v="Dark"/>
    <n v="5"/>
    <n v="1"/>
    <n v="8.9499999999999993"/>
    <n v="44.75"/>
    <n v="0.53699999999999992"/>
    <n v="2.6849999999999996"/>
    <n v="5.9999999999999991"/>
  </r>
  <r>
    <s v="XMC-20620-809"/>
    <d v="2021-05-14T00:00:00"/>
    <s v="2021"/>
    <s v="May"/>
    <s v="83543-79246-ON"/>
    <s v="Nannie Naseby"/>
    <s v="nnasebyes@umich.edu"/>
    <s v="+1 (407) 225-7234"/>
    <s v="Winter Haven"/>
    <s v="United States"/>
    <s v="Yes"/>
    <s v="E-M-0.5"/>
    <s v="Excelsa"/>
    <s v="Medium"/>
    <n v="2"/>
    <n v="0.5"/>
    <n v="8.25"/>
    <n v="16.5"/>
    <n v="0.90749999999999997"/>
    <n v="1.8149999999999999"/>
    <n v="11"/>
  </r>
  <r>
    <s v="ZSO-58292-191"/>
    <d v="2022-06-12T00:00:00"/>
    <s v="2022"/>
    <s v="June"/>
    <s v="66794-66795-VW"/>
    <s v="Rea Offell"/>
    <s v="UNKNOWN"/>
    <s v="+1 (214) 171-1701"/>
    <s v="Dallas"/>
    <s v="United States"/>
    <s v="No"/>
    <s v="R-D-0.5"/>
    <s v="Robusta"/>
    <s v="Dark"/>
    <n v="4"/>
    <n v="0.5"/>
    <n v="5.3699999999999992"/>
    <n v="21.479999999999997"/>
    <n v="0.32219999999999993"/>
    <n v="1.2887999999999997"/>
    <n v="6"/>
  </r>
  <r>
    <s v="LWJ-06793-303"/>
    <d v="2022-01-02T00:00:00"/>
    <s v="2022"/>
    <s v="January"/>
    <s v="95424-67020-AP"/>
    <s v="Kris O'Cullen"/>
    <s v="koculleneu@ca.gov"/>
    <s v="+353 (284) 183-7528"/>
    <s v="Adare"/>
    <s v="Ireland"/>
    <s v="Yes"/>
    <s v="R-M-2.5"/>
    <s v="Robusta"/>
    <s v="Medium"/>
    <n v="2"/>
    <n v="2.5"/>
    <n v="22.884999999999998"/>
    <n v="45.769999999999996"/>
    <n v="1.3730999999999998"/>
    <n v="2.7461999999999995"/>
    <n v="6"/>
  </r>
  <r>
    <s v="FLM-82229-989"/>
    <d v="2022-01-24T00:00:00"/>
    <s v="2022"/>
    <s v="January"/>
    <s v="73017-69644-MS"/>
    <s v="Timoteo Glisane"/>
    <s v="UNKNOWN"/>
    <s v="+353 (316) 279-4429"/>
    <s v="Ballivor"/>
    <s v="Ireland"/>
    <s v="No"/>
    <s v="L-L-0.2"/>
    <s v="Liberica"/>
    <s v="Light"/>
    <n v="2"/>
    <n v="0.2"/>
    <n v="4.7549999999999999"/>
    <n v="9.51"/>
    <n v="0.61814999999999998"/>
    <n v="1.2363"/>
    <n v="13"/>
  </r>
  <r>
    <s v="CPV-90280-133"/>
    <d v="2019-03-20T00:00:00"/>
    <s v="2019"/>
    <s v="March"/>
    <s v="66458-91190-YC"/>
    <s v="Marja Urion"/>
    <s v="murione5@alexa.com"/>
    <s v="+353 (715) 989-0283"/>
    <s v="Virginia"/>
    <s v="Ireland"/>
    <s v="Yes"/>
    <s v="R-D-0.2"/>
    <s v="Robusta"/>
    <s v="Dark"/>
    <n v="3"/>
    <n v="0.2"/>
    <n v="2.6849999999999996"/>
    <n v="8.0549999999999997"/>
    <n v="0.16109999999999997"/>
    <n v="0.4832999999999999"/>
    <n v="5.9999999999999991"/>
  </r>
  <r>
    <s v="OGW-60685-912"/>
    <d v="2020-11-21T00:00:00"/>
    <s v="2020"/>
    <s v="November"/>
    <s v="67423-10113-LM"/>
    <s v="Hildegarde Brangan"/>
    <s v="hbranganex@woothemes.com"/>
    <s v="UNKNOWN"/>
    <s v="Evansville"/>
    <s v="United States"/>
    <s v="Yes"/>
    <s v="E-D-2.5"/>
    <s v="Excelsa"/>
    <s v="Dark"/>
    <n v="4"/>
    <n v="2.5"/>
    <n v="27.945"/>
    <n v="111.78"/>
    <n v="3.07395"/>
    <n v="12.2958"/>
    <n v="11"/>
  </r>
  <r>
    <s v="DEC-11160-362"/>
    <d v="2021-10-13T00:00:00"/>
    <s v="2021"/>
    <s v="October"/>
    <s v="48582-05061-RY"/>
    <s v="Amii Gallyon"/>
    <s v="agallyoney@engadget.com"/>
    <s v="UNKNOWN"/>
    <s v="Naperville"/>
    <s v="United States"/>
    <s v="Yes"/>
    <s v="R-D-0.2"/>
    <s v="Robusta"/>
    <s v="Dark"/>
    <n v="4"/>
    <n v="0.2"/>
    <n v="2.6849999999999996"/>
    <n v="10.739999999999998"/>
    <n v="0.16109999999999997"/>
    <n v="0.64439999999999986"/>
    <n v="6"/>
  </r>
  <r>
    <s v="WCT-07869-499"/>
    <d v="2021-10-19T00:00:00"/>
    <s v="2021"/>
    <s v="October"/>
    <s v="32031-49093-KE"/>
    <s v="Birgit Domange"/>
    <s v="bdomangeez@yahoo.co.jp"/>
    <s v="UNKNOWN"/>
    <s v="Charleston"/>
    <s v="United States"/>
    <s v="No"/>
    <s v="R-D-0.5"/>
    <s v="Robusta"/>
    <s v="Dark"/>
    <n v="5"/>
    <n v="0.5"/>
    <n v="5.3699999999999992"/>
    <n v="26.849999999999994"/>
    <n v="0.32219999999999993"/>
    <n v="1.6109999999999998"/>
    <n v="6.0000000000000009"/>
  </r>
  <r>
    <s v="FHD-89872-325"/>
    <d v="2019-04-29T00:00:00"/>
    <s v="2019"/>
    <s v="April"/>
    <s v="31715-98714-OO"/>
    <s v="Killian Osler"/>
    <s v="koslerf0@gmpg.org"/>
    <s v="+1 (517) 647-5356"/>
    <s v="Lansing"/>
    <s v="United States"/>
    <s v="Yes"/>
    <s v="L-L-1"/>
    <s v="Liberica"/>
    <s v="Light"/>
    <n v="4"/>
    <n v="1"/>
    <n v="15.85"/>
    <n v="63.4"/>
    <n v="2.0605000000000002"/>
    <n v="8.2420000000000009"/>
    <n v="13"/>
  </r>
  <r>
    <s v="AZF-45991-584"/>
    <d v="2019-10-12T00:00:00"/>
    <s v="2019"/>
    <s v="October"/>
    <s v="73759-17258-KA"/>
    <s v="Lora Dukes"/>
    <s v="UNKNOWN"/>
    <s v="+353 (963) 987-6580"/>
    <s v="Boyle"/>
    <s v="Ireland"/>
    <s v="Yes"/>
    <s v="A-D-2.5"/>
    <s v="Arabica"/>
    <s v="Dark"/>
    <n v="1"/>
    <n v="2.5"/>
    <n v="22.884999999999998"/>
    <n v="22.884999999999998"/>
    <n v="2.0596499999999995"/>
    <n v="2.0596499999999995"/>
    <n v="8.9999999999999982"/>
  </r>
  <r>
    <s v="MDG-14481-513"/>
    <d v="2021-05-19T00:00:00"/>
    <s v="2021"/>
    <s v="May"/>
    <s v="64897-79178-MH"/>
    <s v="Zack Pellett"/>
    <s v="zpellettf2@dailymotion.com"/>
    <s v="+1 (318) 218-5955"/>
    <s v="Shreveport"/>
    <s v="United States"/>
    <s v="No"/>
    <s v="A-M-2.5"/>
    <s v="Arabica"/>
    <s v="Medium"/>
    <n v="4"/>
    <n v="2.5"/>
    <n v="25.874999999999996"/>
    <n v="103.49999999999999"/>
    <n v="2.3287499999999994"/>
    <n v="9.3149999999999977"/>
    <n v="9"/>
  </r>
  <r>
    <s v="OFN-49424-848"/>
    <d v="2021-07-03T00:00:00"/>
    <s v="2021"/>
    <s v="July"/>
    <s v="73346-85564-JB"/>
    <s v="Ilaire Sprakes"/>
    <s v="isprakesf3@spiegel.de"/>
    <s v="+1 (408) 319-9787"/>
    <s v="San Jose"/>
    <s v="United States"/>
    <s v="No"/>
    <s v="R-L-2.5"/>
    <s v="Robusta"/>
    <s v="Light"/>
    <n v="2"/>
    <n v="2.5"/>
    <n v="27.484999999999996"/>
    <n v="54.969999999999992"/>
    <n v="1.6490999999999998"/>
    <n v="3.2981999999999996"/>
    <n v="6.0000000000000009"/>
  </r>
  <r>
    <s v="NFA-03411-746"/>
    <d v="2020-02-08T00:00:00"/>
    <s v="2020"/>
    <s v="February"/>
    <s v="07476-13102-NJ"/>
    <s v="Heda Fromant"/>
    <s v="hfromantf4@ucsd.edu"/>
    <s v="+1 (610) 156-1700"/>
    <s v="Philadelphia"/>
    <s v="United States"/>
    <s v="No"/>
    <s v="A-L-0.5"/>
    <s v="Arabica"/>
    <s v="Light"/>
    <n v="2"/>
    <n v="0.5"/>
    <n v="7.77"/>
    <n v="15.54"/>
    <n v="0.69929999999999992"/>
    <n v="1.3985999999999998"/>
    <n v="9"/>
  </r>
  <r>
    <s v="CYM-74988-450"/>
    <d v="2020-10-16T00:00:00"/>
    <s v="2020"/>
    <s v="October"/>
    <s v="87223-37422-SK"/>
    <s v="Rufus Flear"/>
    <s v="rflearf5@artisteer.com"/>
    <s v="+44 (271) 881-4912"/>
    <s v="Sheffield"/>
    <s v="United Kingdom"/>
    <s v="No"/>
    <s v="L-D-0.2"/>
    <s v="Liberica"/>
    <s v="Dark"/>
    <n v="4"/>
    <n v="0.2"/>
    <n v="3.8849999999999998"/>
    <n v="15.54"/>
    <n v="0.50505"/>
    <n v="2.0202"/>
    <n v="13"/>
  </r>
  <r>
    <s v="WTV-24996-658"/>
    <d v="2020-10-23T00:00:00"/>
    <s v="2020"/>
    <s v="October"/>
    <s v="57837-15577-YK"/>
    <s v="Dom Milella"/>
    <s v="UNKNOWN"/>
    <s v="+353 (361) 732-3444"/>
    <s v="Manorhamilton"/>
    <s v="Ireland"/>
    <s v="No"/>
    <s v="E-D-2.5"/>
    <s v="Excelsa"/>
    <s v="Dark"/>
    <n v="3"/>
    <n v="2.5"/>
    <n v="27.945"/>
    <n v="83.835000000000008"/>
    <n v="3.07395"/>
    <n v="9.2218499999999999"/>
    <n v="10.999999999999998"/>
  </r>
  <r>
    <s v="DSL-69915-544"/>
    <d v="2021-03-10T00:00:00"/>
    <s v="2021"/>
    <s v="March"/>
    <s v="10142-55267-YO"/>
    <s v="Wilek Lightollers"/>
    <s v="wlightollersf9@baidu.com"/>
    <s v="+1 (646) 793-8756"/>
    <s v="New York City"/>
    <s v="United States"/>
    <s v="Yes"/>
    <s v="R-L-0.2"/>
    <s v="Robusta"/>
    <s v="Light"/>
    <n v="3"/>
    <n v="0.2"/>
    <n v="3.5849999999999995"/>
    <n v="10.754999999999999"/>
    <n v="0.21509999999999996"/>
    <n v="0.64529999999999987"/>
    <n v="5.9999999999999991"/>
  </r>
  <r>
    <s v="NBT-35757-542"/>
    <d v="2021-07-07T00:00:00"/>
    <s v="2021"/>
    <s v="July"/>
    <s v="73647-66148-VM"/>
    <s v="Bette-ann Munden"/>
    <s v="bmundenf8@elpais.com"/>
    <s v="+1 (405) 290-3207"/>
    <s v="Oklahoma City"/>
    <s v="United States"/>
    <s v="Yes"/>
    <s v="E-L-0.2"/>
    <s v="Excelsa"/>
    <s v="Light"/>
    <n v="3"/>
    <n v="0.2"/>
    <n v="4.4550000000000001"/>
    <n v="13.365"/>
    <n v="0.49004999999999999"/>
    <n v="1.4701499999999998"/>
    <n v="10.999999999999998"/>
  </r>
  <r>
    <s v="OYU-25085-528"/>
    <d v="2021-02-05T00:00:00"/>
    <s v="2021"/>
    <s v="February"/>
    <s v="10142-55267-YO"/>
    <s v="Wilek Lightollers"/>
    <s v="wlightollersf9@baidu.com"/>
    <s v="+1 (646) 793-8756"/>
    <s v="New York City"/>
    <s v="United States"/>
    <s v="Yes"/>
    <s v="E-L-0.2"/>
    <s v="Excelsa"/>
    <s v="Light"/>
    <n v="4"/>
    <n v="0.2"/>
    <n v="4.4550000000000001"/>
    <n v="17.82"/>
    <n v="0.49004999999999999"/>
    <n v="1.9601999999999999"/>
    <n v="11"/>
  </r>
  <r>
    <s v="XCG-07109-195"/>
    <d v="2020-12-11T00:00:00"/>
    <s v="2020"/>
    <s v="December"/>
    <s v="92976-19453-DT"/>
    <s v="Nick Brakespear"/>
    <s v="nbrakespearfa@rediff.com"/>
    <s v="+1 (973) 380-3976"/>
    <s v="Newark"/>
    <s v="United States"/>
    <s v="Yes"/>
    <s v="L-D-0.2"/>
    <s v="Liberica"/>
    <s v="Dark"/>
    <n v="6"/>
    <n v="0.2"/>
    <n v="3.8849999999999998"/>
    <n v="23.31"/>
    <n v="0.50505"/>
    <n v="3.0303"/>
    <n v="13"/>
  </r>
  <r>
    <s v="YZA-25234-630"/>
    <d v="2022-05-13T00:00:00"/>
    <s v="2022"/>
    <s v="May"/>
    <s v="89757-51438-HX"/>
    <s v="Malynda Glawsop"/>
    <s v="mglawsopfb@reverbnation.com"/>
    <s v="+1 (203) 608-9937"/>
    <s v="New Haven"/>
    <s v="United States"/>
    <s v="No"/>
    <s v="E-D-0.2"/>
    <s v="Excelsa"/>
    <s v="Dark"/>
    <n v="2"/>
    <n v="0.2"/>
    <n v="3.645"/>
    <n v="7.29"/>
    <n v="0.40095000000000003"/>
    <n v="0.80190000000000006"/>
    <n v="11"/>
  </r>
  <r>
    <s v="OKU-29966-417"/>
    <d v="2019-10-23T00:00:00"/>
    <s v="2019"/>
    <s v="October"/>
    <s v="76192-13390-HZ"/>
    <s v="Granville Alberts"/>
    <s v="galbertsfc@etsy.com"/>
    <s v="+44 (788) 686-0408"/>
    <s v="Belfast"/>
    <s v="United Kingdom"/>
    <s v="Yes"/>
    <s v="E-L-0.2"/>
    <s v="Excelsa"/>
    <s v="Light"/>
    <n v="4"/>
    <n v="0.2"/>
    <n v="4.4550000000000001"/>
    <n v="17.82"/>
    <n v="0.49004999999999999"/>
    <n v="1.9601999999999999"/>
    <n v="11"/>
  </r>
  <r>
    <s v="MEX-29350-659"/>
    <d v="2020-09-11T00:00:00"/>
    <s v="2020"/>
    <s v="September"/>
    <s v="02009-87294-SY"/>
    <s v="Vasily Polglase"/>
    <s v="vpolglasefd@about.me"/>
    <s v="UNKNOWN"/>
    <s v="Toledo"/>
    <s v="United States"/>
    <s v="No"/>
    <s v="E-M-1"/>
    <s v="Excelsa"/>
    <s v="Medium"/>
    <n v="5"/>
    <n v="1"/>
    <n v="13.75"/>
    <n v="68.75"/>
    <n v="1.5125"/>
    <n v="7.5625"/>
    <n v="11"/>
  </r>
  <r>
    <s v="NOY-99738-977"/>
    <d v="2019-09-29T00:00:00"/>
    <s v="2019"/>
    <s v="September"/>
    <s v="82872-34456-LJ"/>
    <s v="Madelaine Sharples"/>
    <s v="UNKNOWN"/>
    <s v="+44 (572) 727-1868"/>
    <s v="Newton"/>
    <s v="United Kingdom"/>
    <s v="Yes"/>
    <s v="R-L-2.5"/>
    <s v="Robusta"/>
    <s v="Light"/>
    <n v="2"/>
    <n v="2.5"/>
    <n v="27.484999999999996"/>
    <n v="54.969999999999992"/>
    <n v="1.6490999999999998"/>
    <n v="3.2981999999999996"/>
    <n v="6.0000000000000009"/>
  </r>
  <r>
    <s v="TCR-01064-030"/>
    <d v="2021-03-03T00:00:00"/>
    <s v="2021"/>
    <s v="March"/>
    <s v="13181-04387-LI"/>
    <s v="Sigfrid Busch"/>
    <s v="sbuschff@so-net.ne.jp"/>
    <s v="+353 (953) 333-8754"/>
    <s v="Bantry"/>
    <s v="Ireland"/>
    <s v="No"/>
    <s v="E-M-1"/>
    <s v="Excelsa"/>
    <s v="Medium"/>
    <n v="6"/>
    <n v="1"/>
    <n v="13.75"/>
    <n v="82.5"/>
    <n v="1.5125"/>
    <n v="9.0749999999999993"/>
    <n v="10.999999999999998"/>
  </r>
  <r>
    <s v="YUL-42750-776"/>
    <d v="2021-11-23T00:00:00"/>
    <s v="2021"/>
    <s v="November"/>
    <s v="24845-36117-TI"/>
    <s v="Cissiee Raisbeck"/>
    <s v="craisbeckfg@webnode.com"/>
    <s v="UNKNOWN"/>
    <s v="Shreveport"/>
    <s v="United States"/>
    <s v="Yes"/>
    <s v="L-M-0.2"/>
    <s v="Liberica"/>
    <s v="Medium"/>
    <n v="2"/>
    <n v="0.2"/>
    <n v="4.3650000000000002"/>
    <n v="8.73"/>
    <n v="0.56745000000000001"/>
    <n v="1.1349"/>
    <n v="13"/>
  </r>
  <r>
    <s v="XQJ-86887-506"/>
    <d v="2021-11-06T00:00:00"/>
    <s v="2021"/>
    <s v="November"/>
    <s v="66458-91190-YC"/>
    <s v="Marja Urion"/>
    <s v="murione5@alexa.com"/>
    <s v="+353 (715) 989-0283"/>
    <s v="Virginia"/>
    <s v="Ireland"/>
    <s v="Yes"/>
    <s v="E-L-1"/>
    <s v="Excelsa"/>
    <s v="Light"/>
    <n v="4"/>
    <n v="1"/>
    <n v="14.85"/>
    <n v="59.4"/>
    <n v="1.6335"/>
    <n v="6.5339999999999998"/>
    <n v="11"/>
  </r>
  <r>
    <s v="CUN-90044-279"/>
    <d v="2021-01-29T00:00:00"/>
    <s v="2021"/>
    <s v="January"/>
    <s v="86646-65810-TD"/>
    <s v="Kenton Wetherick"/>
    <s v="UNKNOWN"/>
    <s v="+1 (859) 628-7241"/>
    <s v="Lexington"/>
    <s v="United States"/>
    <s v="Yes"/>
    <s v="L-D-0.2"/>
    <s v="Liberica"/>
    <s v="Dark"/>
    <n v="4"/>
    <n v="0.2"/>
    <n v="3.8849999999999998"/>
    <n v="15.54"/>
    <n v="0.50505"/>
    <n v="2.0202"/>
    <n v="13"/>
  </r>
  <r>
    <s v="ICC-73030-502"/>
    <d v="2022-04-16T00:00:00"/>
    <s v="2022"/>
    <s v="April"/>
    <s v="59480-02795-IU"/>
    <s v="Reamonn Aynold"/>
    <s v="raynoldfj@ustream.tv"/>
    <s v="+1 (414) 429-0919"/>
    <s v="Milwaukee"/>
    <s v="United States"/>
    <s v="Yes"/>
    <s v="A-L-1"/>
    <s v="Arabica"/>
    <s v="Light"/>
    <n v="3"/>
    <n v="1"/>
    <n v="12.95"/>
    <n v="38.849999999999994"/>
    <n v="1.1655"/>
    <n v="3.4965000000000002"/>
    <n v="9.0000000000000018"/>
  </r>
  <r>
    <s v="ADP-04506-084"/>
    <d v="2021-07-24T00:00:00"/>
    <s v="2021"/>
    <s v="July"/>
    <s v="61809-87758-LJ"/>
    <s v="Hatty Dovydenas"/>
    <s v="UNKNOWN"/>
    <s v="+1 (281) 416-9557"/>
    <s v="Amarillo"/>
    <s v="United States"/>
    <s v="Yes"/>
    <s v="E-M-2.5"/>
    <s v="Excelsa"/>
    <s v="Medium"/>
    <n v="6"/>
    <n v="2.5"/>
    <n v="31.624999999999996"/>
    <n v="189.74999999999997"/>
    <n v="3.4787499999999998"/>
    <n v="20.872499999999999"/>
    <n v="11.000000000000002"/>
  </r>
  <r>
    <s v="PNU-22150-408"/>
    <d v="2019-08-11T00:00:00"/>
    <s v="2019"/>
    <s v="August"/>
    <s v="77408-43873-RS"/>
    <s v="Nathaniel Bloxland"/>
    <s v="UNKNOWN"/>
    <s v="+353 (652) 208-7526"/>
    <s v="Daingean"/>
    <s v="Ireland"/>
    <s v="Yes"/>
    <s v="A-D-0.2"/>
    <s v="Arabica"/>
    <s v="Dark"/>
    <n v="6"/>
    <n v="0.2"/>
    <n v="2.9849999999999999"/>
    <n v="17.91"/>
    <n v="0.26865"/>
    <n v="1.6118999999999999"/>
    <n v="9"/>
  </r>
  <r>
    <s v="VSQ-07182-513"/>
    <d v="2019-07-23T00:00:00"/>
    <s v="2019"/>
    <s v="July"/>
    <s v="18366-65239-WF"/>
    <s v="Brendan Grece"/>
    <s v="bgrecefm@naver.com"/>
    <s v="+44 (933) 508-3795"/>
    <s v="Halton"/>
    <s v="United Kingdom"/>
    <s v="No"/>
    <s v="L-L-0.2"/>
    <s v="Liberica"/>
    <s v="Light"/>
    <n v="6"/>
    <n v="0.2"/>
    <n v="4.7549999999999999"/>
    <n v="28.53"/>
    <n v="0.61814999999999998"/>
    <n v="3.7088999999999999"/>
    <n v="12.999999999999998"/>
  </r>
  <r>
    <s v="SPF-31673-217"/>
    <d v="2020-06-09T00:00:00"/>
    <s v="2020"/>
    <s v="June"/>
    <s v="19485-98072-PS"/>
    <s v="Don Flintiff"/>
    <s v="dflintiffg1@e-recht24.de"/>
    <s v="UNKNOWN"/>
    <s v="London"/>
    <s v="United Kingdom"/>
    <s v="No"/>
    <s v="E-M-1"/>
    <s v="Excelsa"/>
    <s v="Medium"/>
    <n v="6"/>
    <n v="1"/>
    <n v="13.75"/>
    <n v="82.5"/>
    <n v="1.5125"/>
    <n v="9.0749999999999993"/>
    <n v="10.999999999999998"/>
  </r>
  <r>
    <s v="NEX-63825-598"/>
    <d v="2020-02-22T00:00:00"/>
    <s v="2020"/>
    <s v="February"/>
    <s v="72072-33025-SD"/>
    <s v="Abbe Thys"/>
    <s v="athysfo@cdc.gov"/>
    <s v="+1 (865) 217-6208"/>
    <s v="Knoxville"/>
    <s v="United States"/>
    <s v="No"/>
    <s v="R-L-0.5"/>
    <s v="Robusta"/>
    <s v="Light"/>
    <n v="2"/>
    <n v="0.5"/>
    <n v="7.169999999999999"/>
    <n v="14.339999999999998"/>
    <n v="0.43019999999999992"/>
    <n v="0.86039999999999983"/>
    <n v="6"/>
  </r>
  <r>
    <s v="XPG-66112-335"/>
    <d v="2020-07-19T00:00:00"/>
    <s v="2020"/>
    <s v="July"/>
    <s v="58118-22461-GC"/>
    <s v="Jackquelin Chugg"/>
    <s v="jchuggfp@about.me"/>
    <s v="+1 (913) 466-8319"/>
    <s v="Shawnee Mission"/>
    <s v="United States"/>
    <s v="No"/>
    <s v="R-D-2.5"/>
    <s v="Robusta"/>
    <s v="Dark"/>
    <n v="4"/>
    <n v="2.5"/>
    <n v="20.584999999999997"/>
    <n v="82.339999999999989"/>
    <n v="1.2350999999999999"/>
    <n v="4.9403999999999995"/>
    <n v="6.0000000000000009"/>
  </r>
  <r>
    <s v="NSQ-72210-345"/>
    <d v="2021-09-20T00:00:00"/>
    <s v="2021"/>
    <s v="September"/>
    <s v="90940-63327-DJ"/>
    <s v="Audra Kelston"/>
    <s v="akelstonfq@sakura.ne.jp"/>
    <s v="+1 (954) 981-8804"/>
    <s v="Fort Lauderdale"/>
    <s v="United States"/>
    <s v="Yes"/>
    <s v="A-M-0.2"/>
    <s v="Arabica"/>
    <s v="Medium"/>
    <n v="6"/>
    <n v="0.2"/>
    <n v="3.375"/>
    <n v="20.25"/>
    <n v="0.30374999999999996"/>
    <n v="1.8224999999999998"/>
    <n v="8.9999999999999982"/>
  </r>
  <r>
    <s v="XRR-28376-277"/>
    <d v="2021-05-02T00:00:00"/>
    <s v="2021"/>
    <s v="May"/>
    <s v="64481-42546-II"/>
    <s v="Elvina Angel"/>
    <s v="UNKNOWN"/>
    <s v="+353 (921) 742-1111"/>
    <s v="Tralee"/>
    <s v="Ireland"/>
    <s v="No"/>
    <s v="R-L-2.5"/>
    <s v="Robusta"/>
    <s v="Light"/>
    <n v="6"/>
    <n v="2.5"/>
    <n v="27.484999999999996"/>
    <n v="164.90999999999997"/>
    <n v="1.6490999999999998"/>
    <n v="9.8945999999999987"/>
    <n v="6.0000000000000009"/>
  </r>
  <r>
    <s v="WHQ-25197-475"/>
    <d v="2021-11-26T00:00:00"/>
    <s v="2021"/>
    <s v="November"/>
    <s v="27536-28463-NJ"/>
    <s v="Claiborne Mottram"/>
    <s v="cmottramfs@harvard.edu"/>
    <s v="+1 (512) 333-9861"/>
    <s v="Austin"/>
    <s v="United States"/>
    <s v="Yes"/>
    <s v="L-L-0.2"/>
    <s v="Liberica"/>
    <s v="Light"/>
    <n v="4"/>
    <n v="0.2"/>
    <n v="4.7549999999999999"/>
    <n v="19.02"/>
    <n v="0.61814999999999998"/>
    <n v="2.4725999999999999"/>
    <n v="13"/>
  </r>
  <r>
    <s v="HMB-30634-745"/>
    <d v="2020-02-18T00:00:00"/>
    <s v="2020"/>
    <s v="February"/>
    <s v="19485-98072-PS"/>
    <s v="Don Flintiff"/>
    <s v="dflintiffg1@e-recht24.de"/>
    <s v="UNKNOWN"/>
    <s v="London"/>
    <s v="United Kingdom"/>
    <s v="No"/>
    <s v="A-D-2.5"/>
    <s v="Arabica"/>
    <s v="Dark"/>
    <n v="6"/>
    <n v="2.5"/>
    <n v="22.884999999999998"/>
    <n v="137.31"/>
    <n v="2.0596499999999995"/>
    <n v="12.357899999999997"/>
    <n v="8.9999999999999982"/>
  </r>
  <r>
    <s v="XTL-68000-371"/>
    <d v="2020-04-07T00:00:00"/>
    <s v="2020"/>
    <s v="April"/>
    <s v="70140-82812-KD"/>
    <s v="Donalt Sangwin"/>
    <s v="dsangwinfu@weebly.com"/>
    <s v="+1 (301) 879-4079"/>
    <s v="Hyattsville"/>
    <s v="United States"/>
    <s v="No"/>
    <s v="A-M-0.5"/>
    <s v="Arabica"/>
    <s v="Medium"/>
    <n v="4"/>
    <n v="0.5"/>
    <n v="6.75"/>
    <n v="27"/>
    <n v="0.60749999999999993"/>
    <n v="2.4299999999999997"/>
    <n v="8.9999999999999982"/>
  </r>
  <r>
    <s v="YES-51109-625"/>
    <d v="2022-01-31T00:00:00"/>
    <s v="2022"/>
    <s v="January"/>
    <s v="91895-55605-LS"/>
    <s v="Elizabet Aizikowitz"/>
    <s v="eaizikowitzfv@virginia.edu"/>
    <s v="+44 (148) 635-3706"/>
    <s v="Ashley"/>
    <s v="United Kingdom"/>
    <s v="No"/>
    <s v="E-L-0.5"/>
    <s v="Excelsa"/>
    <s v="Light"/>
    <n v="4"/>
    <n v="0.5"/>
    <n v="8.91"/>
    <n v="35.64"/>
    <n v="0.98009999999999997"/>
    <n v="3.9203999999999999"/>
    <n v="11"/>
  </r>
  <r>
    <s v="EAY-89850-211"/>
    <d v="2019-02-19T00:00:00"/>
    <s v="2019"/>
    <s v="February"/>
    <s v="43155-71724-XP"/>
    <s v="Herbie Peppard"/>
    <s v="UNKNOWN"/>
    <s v="UNKNOWN"/>
    <s v="Pasadena"/>
    <s v="United States"/>
    <s v="Yes"/>
    <s v="A-D-0.2"/>
    <s v="Arabica"/>
    <s v="Dark"/>
    <n v="2"/>
    <n v="0.2"/>
    <n v="2.9849999999999999"/>
    <n v="5.97"/>
    <n v="0.26865"/>
    <n v="0.5373"/>
    <n v="9.0000000000000018"/>
  </r>
  <r>
    <s v="IOQ-84840-827"/>
    <d v="2019-11-12T00:00:00"/>
    <s v="2019"/>
    <s v="November"/>
    <s v="32038-81174-JF"/>
    <s v="Cornie Venour"/>
    <s v="cvenourfx@ask.com"/>
    <s v="+1 (318) 578-8039"/>
    <s v="Shreveport"/>
    <s v="United States"/>
    <s v="No"/>
    <s v="A-M-1"/>
    <s v="Arabica"/>
    <s v="Medium"/>
    <n v="6"/>
    <n v="1"/>
    <n v="11.25"/>
    <n v="67.5"/>
    <n v="1.0125"/>
    <n v="6.0749999999999993"/>
    <n v="8.9999999999999982"/>
  </r>
  <r>
    <s v="FBD-56220-430"/>
    <d v="2022-05-16T00:00:00"/>
    <s v="2022"/>
    <s v="May"/>
    <s v="59205-20324-NB"/>
    <s v="Maggy Harby"/>
    <s v="mharbyfy@163.com"/>
    <s v="UNKNOWN"/>
    <s v="Pensacola"/>
    <s v="United States"/>
    <s v="Yes"/>
    <s v="R-L-0.2"/>
    <s v="Robusta"/>
    <s v="Light"/>
    <n v="6"/>
    <n v="0.2"/>
    <n v="3.5849999999999995"/>
    <n v="21.509999999999998"/>
    <n v="0.21509999999999996"/>
    <n v="1.2905999999999997"/>
    <n v="5.9999999999999991"/>
  </r>
  <r>
    <s v="COV-52659-202"/>
    <d v="2021-02-12T00:00:00"/>
    <s v="2021"/>
    <s v="February"/>
    <s v="99899-54612-NX"/>
    <s v="Reggie Thickpenny"/>
    <s v="rthickpennyfz@cafepress.com"/>
    <s v="+1 (213) 234-9242"/>
    <s v="Los Angeles"/>
    <s v="United States"/>
    <s v="No"/>
    <s v="L-M-2.5"/>
    <s v="Liberica"/>
    <s v="Medium"/>
    <n v="2"/>
    <n v="2.5"/>
    <n v="33.464999999999996"/>
    <n v="66.929999999999993"/>
    <n v="4.3504499999999995"/>
    <n v="8.700899999999999"/>
    <n v="13"/>
  </r>
  <r>
    <s v="YUO-76652-814"/>
    <d v="2021-04-04T00:00:00"/>
    <s v="2021"/>
    <s v="April"/>
    <s v="26248-84194-FI"/>
    <s v="Phyllys Ormerod"/>
    <s v="pormerodg0@redcross.org"/>
    <s v="+1 (919) 491-2772"/>
    <s v="Durham"/>
    <s v="United States"/>
    <s v="No"/>
    <s v="A-D-0.2"/>
    <s v="Arabica"/>
    <s v="Dark"/>
    <n v="6"/>
    <n v="0.2"/>
    <n v="2.9849999999999999"/>
    <n v="17.91"/>
    <n v="0.26865"/>
    <n v="1.6118999999999999"/>
    <n v="9"/>
  </r>
  <r>
    <s v="PBT-36926-102"/>
    <d v="2021-08-02T00:00:00"/>
    <s v="2021"/>
    <s v="August"/>
    <s v="19485-98072-PS"/>
    <s v="Don Flintiff"/>
    <s v="dflintiffg1@e-recht24.de"/>
    <s v="UNKNOWN"/>
    <s v="London"/>
    <s v="United Kingdom"/>
    <s v="No"/>
    <s v="L-M-1"/>
    <s v="Liberica"/>
    <s v="Medium"/>
    <n v="4"/>
    <n v="1"/>
    <n v="14.55"/>
    <n v="58.2"/>
    <n v="1.8915000000000002"/>
    <n v="7.5660000000000007"/>
    <n v="13"/>
  </r>
  <r>
    <s v="BLV-60087-454"/>
    <d v="2022-06-08T00:00:00"/>
    <s v="2022"/>
    <s v="June"/>
    <s v="84493-71314-WX"/>
    <s v="Tymon Zanetti"/>
    <s v="tzanettig2@gravatar.com"/>
    <s v="+353 (351) 897-2630"/>
    <s v="Loughrea"/>
    <s v="Ireland"/>
    <s v="No"/>
    <s v="E-L-0.2"/>
    <s v="Excelsa"/>
    <s v="Light"/>
    <n v="3"/>
    <n v="0.2"/>
    <n v="4.4550000000000001"/>
    <n v="13.365"/>
    <n v="0.49004999999999999"/>
    <n v="1.4701499999999998"/>
    <n v="10.999999999999998"/>
  </r>
  <r>
    <s v="BLV-60087-454"/>
    <d v="2022-06-08T00:00:00"/>
    <s v="2022"/>
    <s v="June"/>
    <s v="84493-71314-WX"/>
    <s v="Tymon Zanetti"/>
    <s v="tzanettig2@gravatar.com"/>
    <s v="+353 (351) 897-2630"/>
    <s v="Loughrea"/>
    <s v="Ireland"/>
    <s v="No"/>
    <s v="A-M-0.5"/>
    <s v="Arabica"/>
    <s v="Medium"/>
    <n v="5"/>
    <n v="0.5"/>
    <n v="6.75"/>
    <n v="33.75"/>
    <n v="0.60749999999999993"/>
    <n v="3.0374999999999996"/>
    <n v="8.9999999999999982"/>
  </r>
  <r>
    <s v="QYC-63914-195"/>
    <d v="2020-05-14T00:00:00"/>
    <s v="2020"/>
    <s v="May"/>
    <s v="39789-43945-IV"/>
    <s v="Reinaldos Kirtley"/>
    <s v="rkirtleyg4@hatena.ne.jp"/>
    <s v="+1 (626) 635-6367"/>
    <s v="Whittier"/>
    <s v="United States"/>
    <s v="Yes"/>
    <s v="E-L-1"/>
    <s v="Excelsa"/>
    <s v="Light"/>
    <n v="3"/>
    <n v="1"/>
    <n v="14.85"/>
    <n v="44.55"/>
    <n v="1.6335"/>
    <n v="4.9005000000000001"/>
    <n v="11.000000000000002"/>
  </r>
  <r>
    <s v="OIB-77163-890"/>
    <d v="2020-12-25T00:00:00"/>
    <s v="2020"/>
    <s v="December"/>
    <s v="38972-89678-ZM"/>
    <s v="Carney Clemencet"/>
    <s v="cclemencetg5@weather.com"/>
    <s v="UNKNOWN"/>
    <s v="Birmingham"/>
    <s v="United Kingdom"/>
    <s v="Yes"/>
    <s v="E-L-0.5"/>
    <s v="Excelsa"/>
    <s v="Light"/>
    <n v="5"/>
    <n v="0.5"/>
    <n v="8.91"/>
    <n v="44.55"/>
    <n v="0.98009999999999997"/>
    <n v="4.9005000000000001"/>
    <n v="11.000000000000002"/>
  </r>
  <r>
    <s v="SGS-87525-238"/>
    <d v="2021-07-05T00:00:00"/>
    <s v="2021"/>
    <s v="July"/>
    <s v="91465-84526-IJ"/>
    <s v="Russell Donet"/>
    <s v="rdonetg6@oakley.com"/>
    <s v="+1 (804) 583-2067"/>
    <s v="Richmond"/>
    <s v="United States"/>
    <s v="No"/>
    <s v="E-D-1"/>
    <s v="Excelsa"/>
    <s v="Dark"/>
    <n v="5"/>
    <n v="1"/>
    <n v="12.15"/>
    <n v="60.75"/>
    <n v="1.3365"/>
    <n v="6.6825000000000001"/>
    <n v="11"/>
  </r>
  <r>
    <s v="GQR-12490-152"/>
    <d v="2019-03-14T00:00:00"/>
    <s v="2019"/>
    <s v="March"/>
    <s v="22832-98538-RB"/>
    <s v="Sidney Gawen"/>
    <s v="sgaweng7@creativecommons.org"/>
    <s v="+1 (571) 317-3089"/>
    <s v="Sterling"/>
    <s v="United States"/>
    <s v="Yes"/>
    <s v="R-L-0.2"/>
    <s v="Robusta"/>
    <s v="Light"/>
    <n v="1"/>
    <n v="0.2"/>
    <n v="3.5849999999999995"/>
    <n v="3.5849999999999995"/>
    <n v="0.21509999999999996"/>
    <n v="0.21509999999999996"/>
    <n v="6"/>
  </r>
  <r>
    <s v="UOJ-28238-299"/>
    <d v="2021-03-07T00:00:00"/>
    <s v="2021"/>
    <s v="March"/>
    <s v="30844-91890-ZA"/>
    <s v="Rickey Readie"/>
    <s v="rreadieg8@guardian.co.uk"/>
    <s v="+1 (775) 993-8273"/>
    <s v="Carson City"/>
    <s v="United States"/>
    <s v="No"/>
    <s v="R-L-0.2"/>
    <s v="Robusta"/>
    <s v="Light"/>
    <n v="6"/>
    <n v="0.2"/>
    <n v="3.5849999999999995"/>
    <n v="21.509999999999998"/>
    <n v="0.21509999999999996"/>
    <n v="1.2905999999999997"/>
    <n v="5.9999999999999991"/>
  </r>
  <r>
    <s v="ETD-58130-674"/>
    <d v="2021-11-05T00:00:00"/>
    <s v="2021"/>
    <s v="November"/>
    <s v="05325-97750-WP"/>
    <s v="Cody Verissimo"/>
    <s v="cverissimogh@theglobeandmail.com"/>
    <s v="UNKNOWN"/>
    <s v="Upton"/>
    <s v="United Kingdom"/>
    <s v="Yes"/>
    <s v="E-M-0.5"/>
    <s v="Excelsa"/>
    <s v="Medium"/>
    <n v="2"/>
    <n v="0.5"/>
    <n v="8.25"/>
    <n v="16.5"/>
    <n v="0.90749999999999997"/>
    <n v="1.8149999999999999"/>
    <n v="11"/>
  </r>
  <r>
    <s v="UPF-60123-025"/>
    <d v="2020-02-06T00:00:00"/>
    <s v="2020"/>
    <s v="February"/>
    <s v="88992-49081-AT"/>
    <s v="Zilvia Claisse"/>
    <s v="UNKNOWN"/>
    <s v="+1 (612) 477-9298"/>
    <s v="Saint Paul"/>
    <s v="United States"/>
    <s v="No"/>
    <s v="R-L-2.5"/>
    <s v="Robusta"/>
    <s v="Light"/>
    <n v="3"/>
    <n v="2.5"/>
    <n v="27.484999999999996"/>
    <n v="82.454999999999984"/>
    <n v="1.6490999999999998"/>
    <n v="4.9472999999999994"/>
    <n v="6.0000000000000009"/>
  </r>
  <r>
    <s v="NQS-01613-687"/>
    <d v="2021-03-12T00:00:00"/>
    <s v="2021"/>
    <s v="March"/>
    <s v="10204-31464-SA"/>
    <s v="Bar O' Mahony"/>
    <s v="bogb@elpais.com"/>
    <s v="UNKNOWN"/>
    <s v="Huntsville"/>
    <s v="United States"/>
    <s v="Yes"/>
    <s v="L-D-0.5"/>
    <s v="Liberica"/>
    <s v="Dark"/>
    <n v="1"/>
    <n v="0.5"/>
    <n v="7.77"/>
    <n v="7.77"/>
    <n v="1.0101"/>
    <n v="1.0101"/>
    <n v="13"/>
  </r>
  <r>
    <s v="MGH-36050-573"/>
    <d v="2020-08-03T00:00:00"/>
    <s v="2020"/>
    <s v="August"/>
    <s v="75156-80911-YT"/>
    <s v="Valenka Stansbury"/>
    <s v="vstansburygc@unblog.fr"/>
    <s v="+1 (915) 530-3435"/>
    <s v="El Paso"/>
    <s v="United States"/>
    <s v="Yes"/>
    <s v="R-M-0.5"/>
    <s v="Robusta"/>
    <s v="Medium"/>
    <n v="2"/>
    <n v="0.5"/>
    <n v="5.97"/>
    <n v="11.94"/>
    <n v="0.35819999999999996"/>
    <n v="0.71639999999999993"/>
    <n v="6"/>
  </r>
  <r>
    <s v="UVF-59322-459"/>
    <d v="2019-07-25T00:00:00"/>
    <s v="2019"/>
    <s v="July"/>
    <s v="53971-49906-PZ"/>
    <s v="Daniel Heinonen"/>
    <s v="dheinonengd@printfriendly.com"/>
    <s v="UNKNOWN"/>
    <s v="Decatur"/>
    <s v="United States"/>
    <s v="No"/>
    <s v="E-L-2.5"/>
    <s v="Excelsa"/>
    <s v="Light"/>
    <n v="6"/>
    <n v="2.5"/>
    <n v="34.154999999999994"/>
    <n v="204.92999999999995"/>
    <n v="3.7570499999999996"/>
    <n v="22.542299999999997"/>
    <n v="11.000000000000002"/>
  </r>
  <r>
    <s v="VET-41158-896"/>
    <d v="2020-04-29T00:00:00"/>
    <s v="2020"/>
    <s v="April"/>
    <s v="10728-17633-ST"/>
    <s v="Jewelle Shenton"/>
    <s v="jshentonge@google.com.hk"/>
    <s v="+1 (650) 712-0135"/>
    <s v="Orange"/>
    <s v="United States"/>
    <s v="Yes"/>
    <s v="E-M-2.5"/>
    <s v="Excelsa"/>
    <s v="Medium"/>
    <n v="2"/>
    <n v="2.5"/>
    <n v="31.624999999999996"/>
    <n v="63.249999999999993"/>
    <n v="3.4787499999999998"/>
    <n v="6.9574999999999996"/>
    <n v="11"/>
  </r>
  <r>
    <s v="XYL-52196-459"/>
    <d v="2019-05-02T00:00:00"/>
    <s v="2019"/>
    <s v="May"/>
    <s v="13549-65017-VE"/>
    <s v="Jennifer Wilkisson"/>
    <s v="jwilkissongf@nba.com"/>
    <s v="UNKNOWN"/>
    <s v="Huntington Beach"/>
    <s v="United States"/>
    <s v="Yes"/>
    <s v="R-D-0.2"/>
    <s v="Robusta"/>
    <s v="Dark"/>
    <n v="3"/>
    <n v="0.2"/>
    <n v="2.6849999999999996"/>
    <n v="8.0549999999999997"/>
    <n v="0.16109999999999997"/>
    <n v="0.4832999999999999"/>
    <n v="5.9999999999999991"/>
  </r>
  <r>
    <s v="BPZ-51283-916"/>
    <d v="2021-08-29T00:00:00"/>
    <s v="2021"/>
    <s v="August"/>
    <s v="87688-42420-TO"/>
    <s v="Kylie Mowat"/>
    <s v="UNKNOWN"/>
    <s v="+1 (206) 275-3973"/>
    <s v="Milwaukee"/>
    <s v="United States"/>
    <s v="No"/>
    <s v="A-M-2.5"/>
    <s v="Arabica"/>
    <s v="Medium"/>
    <n v="2"/>
    <n v="2.5"/>
    <n v="25.874999999999996"/>
    <n v="51.749999999999993"/>
    <n v="2.3287499999999994"/>
    <n v="4.6574999999999989"/>
    <n v="9"/>
  </r>
  <r>
    <s v="VQW-91903-926"/>
    <d v="2020-03-13T00:00:00"/>
    <s v="2020"/>
    <s v="March"/>
    <s v="05325-97750-WP"/>
    <s v="Cody Verissimo"/>
    <s v="cverissimogh@theglobeandmail.com"/>
    <s v="UNKNOWN"/>
    <s v="Upton"/>
    <s v="United Kingdom"/>
    <s v="Yes"/>
    <s v="E-D-2.5"/>
    <s v="Excelsa"/>
    <s v="Dark"/>
    <n v="1"/>
    <n v="2.5"/>
    <n v="27.945"/>
    <n v="27.945"/>
    <n v="3.07395"/>
    <n v="3.07395"/>
    <n v="11"/>
  </r>
  <r>
    <s v="OLF-77983-457"/>
    <d v="2019-02-16T00:00:00"/>
    <s v="2019"/>
    <s v="February"/>
    <s v="51901-35210-UI"/>
    <s v="Gabriel Starcks"/>
    <s v="gstarcksgi@abc.net.au"/>
    <s v="+1 (423) 903-3146"/>
    <s v="Chattanooga"/>
    <s v="United States"/>
    <s v="No"/>
    <s v="A-L-2.5"/>
    <s v="Arabica"/>
    <s v="Light"/>
    <n v="2"/>
    <n v="2.5"/>
    <n v="29.784999999999997"/>
    <n v="59.569999999999993"/>
    <n v="2.6806499999999995"/>
    <n v="5.3612999999999991"/>
    <n v="9"/>
  </r>
  <r>
    <s v="MVI-04946-827"/>
    <d v="2021-11-27T00:00:00"/>
    <s v="2021"/>
    <s v="November"/>
    <s v="62483-50867-OM"/>
    <s v="Darby Dummer"/>
    <s v="UNKNOWN"/>
    <s v="UNKNOWN"/>
    <s v="Manchester"/>
    <s v="United Kingdom"/>
    <s v="No"/>
    <s v="E-L-1"/>
    <s v="Excelsa"/>
    <s v="Light"/>
    <n v="1"/>
    <n v="1"/>
    <n v="14.85"/>
    <n v="14.85"/>
    <n v="1.6335"/>
    <n v="1.6335"/>
    <n v="11"/>
  </r>
  <r>
    <s v="UOG-94188-104"/>
    <d v="2021-11-23T00:00:00"/>
    <s v="2021"/>
    <s v="November"/>
    <s v="92753-50029-SD"/>
    <s v="Kienan Scholard"/>
    <s v="kscholardgk@sbwire.com"/>
    <s v="+1 (614) 199-9032"/>
    <s v="Columbus"/>
    <s v="United States"/>
    <s v="No"/>
    <s v="A-M-0.5"/>
    <s v="Arabica"/>
    <s v="Medium"/>
    <n v="5"/>
    <n v="0.5"/>
    <n v="6.75"/>
    <n v="33.75"/>
    <n v="0.60749999999999993"/>
    <n v="3.0374999999999996"/>
    <n v="8.9999999999999982"/>
  </r>
  <r>
    <s v="DSN-15872-519"/>
    <d v="2021-12-02T00:00:00"/>
    <s v="2021"/>
    <s v="December"/>
    <s v="53809-98498-SN"/>
    <s v="Bo Kindley"/>
    <s v="bkindleygl@wikimedia.org"/>
    <s v="+1 (650) 799-2315"/>
    <s v="Pasadena"/>
    <s v="United States"/>
    <s v="Yes"/>
    <s v="L-L-2.5"/>
    <s v="Liberica"/>
    <s v="Light"/>
    <n v="4"/>
    <n v="2.5"/>
    <n v="36.454999999999998"/>
    <n v="145.82"/>
    <n v="4.7391499999999995"/>
    <n v="18.956599999999998"/>
    <n v="13"/>
  </r>
  <r>
    <s v="OUQ-73954-002"/>
    <d v="2019-01-06T00:00:00"/>
    <s v="2019"/>
    <s v="January"/>
    <s v="66308-13503-KD"/>
    <s v="Krissie Hammett"/>
    <s v="khammettgm@dmoz.org"/>
    <s v="+1 (415) 825-4799"/>
    <s v="San Francisco"/>
    <s v="United States"/>
    <s v="Yes"/>
    <s v="R-M-0.2"/>
    <s v="Robusta"/>
    <s v="Medium"/>
    <n v="4"/>
    <n v="0.2"/>
    <n v="2.9849999999999999"/>
    <n v="11.94"/>
    <n v="0.17909999999999998"/>
    <n v="0.71639999999999993"/>
    <n v="6"/>
  </r>
  <r>
    <s v="LGL-16843-667"/>
    <d v="2021-05-05T00:00:00"/>
    <s v="2021"/>
    <s v="May"/>
    <s v="82458-87830-JE"/>
    <s v="Alisha Hulburt"/>
    <s v="ahulburtgn@fda.gov"/>
    <s v="UNKNOWN"/>
    <s v="Shreveport"/>
    <s v="United States"/>
    <s v="Yes"/>
    <s v="A-D-0.2"/>
    <s v="Arabica"/>
    <s v="Dark"/>
    <n v="4"/>
    <n v="0.2"/>
    <n v="2.9849999999999999"/>
    <n v="11.94"/>
    <n v="0.26865"/>
    <n v="1.0746"/>
    <n v="9.0000000000000018"/>
  </r>
  <r>
    <s v="TCC-89722-031"/>
    <d v="2021-10-23T00:00:00"/>
    <s v="2021"/>
    <s v="October"/>
    <s v="41611-34336-WT"/>
    <s v="Peyter Lauritzen"/>
    <s v="plauritzengo@photobucket.com"/>
    <s v="+1 (215) 308-0788"/>
    <s v="Philadelphia"/>
    <s v="United States"/>
    <s v="No"/>
    <s v="L-D-0.5"/>
    <s v="Liberica"/>
    <s v="Dark"/>
    <n v="1"/>
    <n v="0.5"/>
    <n v="7.77"/>
    <n v="7.77"/>
    <n v="1.0101"/>
    <n v="1.0101"/>
    <n v="13"/>
  </r>
  <r>
    <s v="TRA-79507-007"/>
    <d v="2019-12-16T00:00:00"/>
    <s v="2019"/>
    <s v="December"/>
    <s v="70089-27418-UJ"/>
    <s v="Aurelia Burgwin"/>
    <s v="aburgwingp@redcross.org"/>
    <s v="+1 (314) 407-3962"/>
    <s v="Migrate"/>
    <s v="United States"/>
    <s v="Yes"/>
    <s v="R-L-2.5"/>
    <s v="Robusta"/>
    <s v="Light"/>
    <n v="4"/>
    <n v="2.5"/>
    <n v="27.484999999999996"/>
    <n v="109.93999999999998"/>
    <n v="1.6490999999999998"/>
    <n v="6.5963999999999992"/>
    <n v="6.0000000000000009"/>
  </r>
  <r>
    <s v="MZJ-77284-941"/>
    <d v="2019-05-18T00:00:00"/>
    <s v="2019"/>
    <s v="May"/>
    <s v="99978-56910-BN"/>
    <s v="Emalee Rolin"/>
    <s v="erolingq@google.fr"/>
    <s v="+1 (419) 597-8743"/>
    <s v="Toledo"/>
    <s v="United States"/>
    <s v="Yes"/>
    <s v="E-L-0.2"/>
    <s v="Excelsa"/>
    <s v="Light"/>
    <n v="5"/>
    <n v="0.2"/>
    <n v="4.4550000000000001"/>
    <n v="22.274999999999999"/>
    <n v="0.49004999999999999"/>
    <n v="2.45025"/>
    <n v="11.000000000000002"/>
  </r>
  <r>
    <s v="AXN-57779-891"/>
    <d v="2019-07-14T00:00:00"/>
    <s v="2019"/>
    <s v="July"/>
    <s v="09668-23340-IC"/>
    <s v="Donavon Fowle"/>
    <s v="dfowlegr@epa.gov"/>
    <s v="UNKNOWN"/>
    <s v="Colorado Springs"/>
    <s v="United States"/>
    <s v="No"/>
    <s v="R-M-0.2"/>
    <s v="Robusta"/>
    <s v="Medium"/>
    <n v="3"/>
    <n v="0.2"/>
    <n v="2.9849999999999999"/>
    <n v="8.9550000000000001"/>
    <n v="0.17909999999999998"/>
    <n v="0.53729999999999989"/>
    <n v="5.9999999999999982"/>
  </r>
  <r>
    <s v="PJB-15659-994"/>
    <d v="2020-11-13T00:00:00"/>
    <s v="2020"/>
    <s v="November"/>
    <s v="39457-62611-YK"/>
    <s v="Jorge Bettison"/>
    <s v="UNKNOWN"/>
    <s v="+353 (782) 457-9198"/>
    <s v="Longwood"/>
    <s v="Ireland"/>
    <s v="No"/>
    <s v="L-D-2.5"/>
    <s v="Liberica"/>
    <s v="Dark"/>
    <n v="4"/>
    <n v="2.5"/>
    <n v="29.784999999999997"/>
    <n v="119.13999999999999"/>
    <n v="3.8720499999999998"/>
    <n v="15.488199999999999"/>
    <n v="13"/>
  </r>
  <r>
    <s v="LTS-03470-353"/>
    <d v="2020-07-16T00:00:00"/>
    <s v="2020"/>
    <s v="July"/>
    <s v="90985-89807-RW"/>
    <s v="Wang Powlesland"/>
    <s v="wpowleslandgt@soundcloud.com"/>
    <s v="+1 (412) 453-4798"/>
    <s v="Pittsburgh"/>
    <s v="United States"/>
    <s v="Yes"/>
    <s v="A-L-2.5"/>
    <s v="Arabica"/>
    <s v="Light"/>
    <n v="5"/>
    <n v="2.5"/>
    <n v="29.784999999999997"/>
    <n v="148.92499999999998"/>
    <n v="2.6806499999999995"/>
    <n v="13.403249999999998"/>
    <n v="9"/>
  </r>
  <r>
    <s v="UMM-28497-689"/>
    <d v="2020-11-03T00:00:00"/>
    <s v="2020"/>
    <s v="November"/>
    <s v="05325-97750-WP"/>
    <s v="Cody Verissimo"/>
    <s v="cverissimogh@theglobeandmail.com"/>
    <s v="UNKNOWN"/>
    <s v="Upton"/>
    <s v="United Kingdom"/>
    <s v="Yes"/>
    <s v="L-L-2.5"/>
    <s v="Liberica"/>
    <s v="Light"/>
    <n v="3"/>
    <n v="2.5"/>
    <n v="36.454999999999998"/>
    <n v="109.36499999999999"/>
    <n v="4.7391499999999995"/>
    <n v="14.217449999999999"/>
    <n v="13"/>
  </r>
  <r>
    <s v="MJZ-93232-402"/>
    <d v="2022-03-20T00:00:00"/>
    <s v="2022"/>
    <s v="March"/>
    <s v="17816-67941-ZS"/>
    <s v="Laurence Ellingham"/>
    <s v="lellinghamgv@sciencedaily.com"/>
    <s v="+1 (318) 670-8027"/>
    <s v="Shreveport"/>
    <s v="United States"/>
    <s v="Yes"/>
    <s v="E-D-0.2"/>
    <s v="Excelsa"/>
    <s v="Dark"/>
    <n v="1"/>
    <n v="0.2"/>
    <n v="3.645"/>
    <n v="3.645"/>
    <n v="0.40095000000000003"/>
    <n v="0.40095000000000003"/>
    <n v="11"/>
  </r>
  <r>
    <s v="UHW-74617-126"/>
    <d v="2022-02-16T00:00:00"/>
    <s v="2022"/>
    <s v="February"/>
    <s v="90816-65619-LM"/>
    <s v="Billy Neiland"/>
    <s v="UNKNOWN"/>
    <s v="UNKNOWN"/>
    <s v="Cleveland"/>
    <s v="United States"/>
    <s v="No"/>
    <s v="E-D-2.5"/>
    <s v="Excelsa"/>
    <s v="Dark"/>
    <n v="2"/>
    <n v="2.5"/>
    <n v="27.945"/>
    <n v="55.89"/>
    <n v="3.07395"/>
    <n v="6.1478999999999999"/>
    <n v="11"/>
  </r>
  <r>
    <s v="RIK-61730-794"/>
    <d v="2020-11-12T00:00:00"/>
    <s v="2020"/>
    <s v="November"/>
    <s v="69761-61146-KD"/>
    <s v="Ancell Fendt"/>
    <s v="afendtgx@forbes.com"/>
    <s v="+1 (414) 811-7606"/>
    <s v="Milwaukee"/>
    <s v="United States"/>
    <s v="Yes"/>
    <s v="L-M-0.2"/>
    <s v="Liberica"/>
    <s v="Medium"/>
    <n v="6"/>
    <n v="0.2"/>
    <n v="4.3650000000000002"/>
    <n v="26.19"/>
    <n v="0.56745000000000001"/>
    <n v="3.4047000000000001"/>
    <n v="13"/>
  </r>
  <r>
    <s v="IDJ-55379-750"/>
    <d v="2019-10-05T00:00:00"/>
    <s v="2019"/>
    <s v="October"/>
    <s v="24040-20817-QB"/>
    <s v="Angelia Cleyburn"/>
    <s v="acleyburngy@lycos.com"/>
    <s v="+1 (754) 355-3802"/>
    <s v="Fort Lauderdale"/>
    <s v="United States"/>
    <s v="No"/>
    <s v="R-M-1"/>
    <s v="Robusta"/>
    <s v="Medium"/>
    <n v="4"/>
    <n v="1"/>
    <n v="9.9499999999999993"/>
    <n v="39.799999999999997"/>
    <n v="0.59699999999999998"/>
    <n v="2.3879999999999999"/>
    <n v="6.0000000000000009"/>
  </r>
  <r>
    <s v="OHX-11953-965"/>
    <d v="2019-10-01T00:00:00"/>
    <s v="2019"/>
    <s v="October"/>
    <s v="19524-21432-XP"/>
    <s v="Temple Castiglione"/>
    <s v="tcastiglionegz@xing.com"/>
    <s v="+1 (318) 820-6128"/>
    <s v="Shreveport"/>
    <s v="United States"/>
    <s v="No"/>
    <s v="E-L-2.5"/>
    <s v="Excelsa"/>
    <s v="Light"/>
    <n v="2"/>
    <n v="2.5"/>
    <n v="34.154999999999994"/>
    <n v="68.309999999999988"/>
    <n v="3.7570499999999996"/>
    <n v="7.5140999999999991"/>
    <n v="11"/>
  </r>
  <r>
    <s v="TVV-42245-088"/>
    <d v="2020-03-06T00:00:00"/>
    <s v="2020"/>
    <s v="March"/>
    <s v="14398-43114-RV"/>
    <s v="Betti Lacasa"/>
    <s v="UNKNOWN"/>
    <s v="+353 (930) 704-1778"/>
    <s v="Beaumont"/>
    <s v="Ireland"/>
    <s v="No"/>
    <s v="A-M-0.2"/>
    <s v="Arabica"/>
    <s v="Medium"/>
    <n v="4"/>
    <n v="0.2"/>
    <n v="3.375"/>
    <n v="13.5"/>
    <n v="0.30374999999999996"/>
    <n v="1.2149999999999999"/>
    <n v="8.9999999999999982"/>
  </r>
  <r>
    <s v="DYP-74337-787"/>
    <d v="2019-10-23T00:00:00"/>
    <s v="2019"/>
    <s v="October"/>
    <s v="41486-52502-QQ"/>
    <s v="Gunilla Lynch"/>
    <s v="UNKNOWN"/>
    <s v="+1 (916) 626-5223"/>
    <s v="Sacramento"/>
    <s v="United States"/>
    <s v="No"/>
    <s v="R-M-0.5"/>
    <s v="Robusta"/>
    <s v="Medium"/>
    <n v="1"/>
    <n v="0.5"/>
    <n v="5.97"/>
    <n v="5.97"/>
    <n v="0.35819999999999996"/>
    <n v="0.35819999999999996"/>
    <n v="6"/>
  </r>
  <r>
    <s v="OKA-93124-100"/>
    <d v="2020-04-23T00:00:00"/>
    <s v="2020"/>
    <s v="April"/>
    <s v="05325-97750-WP"/>
    <s v="Cody Verissimo"/>
    <s v="cverissimogh@theglobeandmail.com"/>
    <s v="UNKNOWN"/>
    <s v="Upton"/>
    <s v="United Kingdom"/>
    <s v="Yes"/>
    <s v="R-M-0.5"/>
    <s v="Robusta"/>
    <s v="Medium"/>
    <n v="5"/>
    <n v="0.5"/>
    <n v="5.97"/>
    <n v="29.849999999999998"/>
    <n v="0.35819999999999996"/>
    <n v="1.7909999999999999"/>
    <n v="6.0000000000000009"/>
  </r>
  <r>
    <s v="IXW-20780-268"/>
    <d v="2020-06-24T00:00:00"/>
    <s v="2020"/>
    <s v="June"/>
    <s v="20236-64364-QL"/>
    <s v="Shay Couronne"/>
    <s v="scouronneh3@mozilla.org"/>
    <s v="+1 (701) 894-8081"/>
    <s v="Fargo"/>
    <s v="United States"/>
    <s v="Yes"/>
    <s v="L-L-2.5"/>
    <s v="Liberica"/>
    <s v="Light"/>
    <n v="2"/>
    <n v="2.5"/>
    <n v="36.454999999999998"/>
    <n v="72.91"/>
    <n v="4.7391499999999995"/>
    <n v="9.4782999999999991"/>
    <n v="13"/>
  </r>
  <r>
    <s v="NGG-24006-937"/>
    <d v="2021-03-16T00:00:00"/>
    <s v="2021"/>
    <s v="March"/>
    <s v="29102-40100-TZ"/>
    <s v="Linus Flippelli"/>
    <s v="lflippellih4@github.io"/>
    <s v="+44 (200) 860-6521"/>
    <s v="Middleton"/>
    <s v="United Kingdom"/>
    <s v="No"/>
    <s v="E-M-2.5"/>
    <s v="Excelsa"/>
    <s v="Medium"/>
    <n v="4"/>
    <n v="2.5"/>
    <n v="31.624999999999996"/>
    <n v="126.49999999999999"/>
    <n v="3.4787499999999998"/>
    <n v="13.914999999999999"/>
    <n v="11"/>
  </r>
  <r>
    <s v="JZC-31180-557"/>
    <d v="2020-04-07T00:00:00"/>
    <s v="2020"/>
    <s v="April"/>
    <s v="09171-42203-EB"/>
    <s v="Rachelle Elizabeth"/>
    <s v="relizabethh5@live.com"/>
    <s v="+1 (918) 203-3263"/>
    <s v="Tulsa"/>
    <s v="United States"/>
    <s v="No"/>
    <s v="L-M-2.5"/>
    <s v="Liberica"/>
    <s v="Medium"/>
    <n v="1"/>
    <n v="2.5"/>
    <n v="33.464999999999996"/>
    <n v="33.464999999999996"/>
    <n v="4.3504499999999995"/>
    <n v="4.3504499999999995"/>
    <n v="13"/>
  </r>
  <r>
    <s v="ZMU-63715-204"/>
    <d v="2021-09-30T00:00:00"/>
    <s v="2021"/>
    <s v="September"/>
    <s v="29060-75856-UI"/>
    <s v="Innis Renhard"/>
    <s v="irenhardh6@i2i.jp"/>
    <s v="+1 (646) 225-6560"/>
    <s v="New York City"/>
    <s v="United States"/>
    <s v="Yes"/>
    <s v="E-D-1"/>
    <s v="Excelsa"/>
    <s v="Dark"/>
    <n v="6"/>
    <n v="1"/>
    <n v="12.15"/>
    <n v="72.900000000000006"/>
    <n v="1.3365"/>
    <n v="8.0190000000000001"/>
    <n v="10.999999999999998"/>
  </r>
  <r>
    <s v="GND-08192-056"/>
    <d v="2022-05-01T00:00:00"/>
    <s v="2022"/>
    <s v="May"/>
    <s v="17088-16989-PL"/>
    <s v="Winne Roche"/>
    <s v="wrocheh7@xinhuanet.com"/>
    <s v="+1 (317) 439-5584"/>
    <s v="Seminole"/>
    <s v="United States"/>
    <s v="Yes"/>
    <s v="L-D-0.5"/>
    <s v="Liberica"/>
    <s v="Dark"/>
    <n v="2"/>
    <n v="0.5"/>
    <n v="7.77"/>
    <n v="15.54"/>
    <n v="1.0101"/>
    <n v="2.0202"/>
    <n v="13"/>
  </r>
  <r>
    <s v="RYY-38961-093"/>
    <d v="2021-01-21T00:00:00"/>
    <s v="2021"/>
    <s v="January"/>
    <s v="14756-18321-CL"/>
    <s v="Linn Alaway"/>
    <s v="lalawayhh@weather.com"/>
    <s v="UNKNOWN"/>
    <s v="Fort Lauderdale"/>
    <s v="United States"/>
    <s v="No"/>
    <s v="A-M-0.2"/>
    <s v="Arabica"/>
    <s v="Medium"/>
    <n v="6"/>
    <n v="0.2"/>
    <n v="3.375"/>
    <n v="20.25"/>
    <n v="0.30374999999999996"/>
    <n v="1.8224999999999998"/>
    <n v="8.9999999999999982"/>
  </r>
  <r>
    <s v="CVA-64996-969"/>
    <d v="2020-06-24T00:00:00"/>
    <s v="2020"/>
    <s v="June"/>
    <s v="13324-78688-MI"/>
    <s v="Cordy Odgaard"/>
    <s v="codgaardh9@nsw.gov.au"/>
    <s v="+1 (503) 203-1484"/>
    <s v="Portland"/>
    <s v="United States"/>
    <s v="No"/>
    <s v="A-L-1"/>
    <s v="Arabica"/>
    <s v="Light"/>
    <n v="6"/>
    <n v="1"/>
    <n v="12.95"/>
    <n v="77.699999999999989"/>
    <n v="1.1655"/>
    <n v="6.9930000000000003"/>
    <n v="9.0000000000000018"/>
  </r>
  <r>
    <s v="XTH-67276-442"/>
    <d v="2019-03-03T00:00:00"/>
    <s v="2019"/>
    <s v="March"/>
    <s v="73799-04749-BM"/>
    <s v="Bertine Byrd"/>
    <s v="bbyrdha@4shared.com"/>
    <s v="UNKNOWN"/>
    <s v="Las Vegas"/>
    <s v="United States"/>
    <s v="No"/>
    <s v="L-M-2.5"/>
    <s v="Liberica"/>
    <s v="Medium"/>
    <n v="4"/>
    <n v="2.5"/>
    <n v="33.464999999999996"/>
    <n v="133.85999999999999"/>
    <n v="4.3504499999999995"/>
    <n v="17.401799999999998"/>
    <n v="13"/>
  </r>
  <r>
    <s v="PVU-02950-470"/>
    <d v="2021-01-28T00:00:00"/>
    <s v="2021"/>
    <s v="January"/>
    <s v="01927-46702-YT"/>
    <s v="Nelie Garnson"/>
    <s v="UNKNOWN"/>
    <s v="+44 (141) 640-7113"/>
    <s v="Merton"/>
    <s v="United Kingdom"/>
    <s v="No"/>
    <s v="E-D-1"/>
    <s v="Excelsa"/>
    <s v="Dark"/>
    <n v="1"/>
    <n v="1"/>
    <n v="12.15"/>
    <n v="12.15"/>
    <n v="1.3365"/>
    <n v="1.3365"/>
    <n v="11"/>
  </r>
  <r>
    <s v="XSN-26809-910"/>
    <d v="2020-06-28T00:00:00"/>
    <s v="2020"/>
    <s v="June"/>
    <s v="80467-17137-TO"/>
    <s v="Dianne Chardin"/>
    <s v="dchardinhc@nhs.uk"/>
    <s v="UNKNOWN"/>
    <s v="Ballybofey"/>
    <s v="Ireland"/>
    <s v="Yes"/>
    <s v="E-M-2.5"/>
    <s v="Excelsa"/>
    <s v="Medium"/>
    <n v="2"/>
    <n v="2.5"/>
    <n v="31.624999999999996"/>
    <n v="63.249999999999993"/>
    <n v="3.4787499999999998"/>
    <n v="6.9574999999999996"/>
    <n v="11"/>
  </r>
  <r>
    <s v="UDN-88321-005"/>
    <d v="2020-07-05T00:00:00"/>
    <s v="2020"/>
    <s v="July"/>
    <s v="14640-87215-BK"/>
    <s v="Hailee Radbone"/>
    <s v="hradbonehd@newsvine.com"/>
    <s v="+1 (415) 968-9559"/>
    <s v="San Francisco"/>
    <s v="United States"/>
    <s v="No"/>
    <s v="R-L-0.5"/>
    <s v="Robusta"/>
    <s v="Light"/>
    <n v="5"/>
    <n v="0.5"/>
    <n v="7.169999999999999"/>
    <n v="35.849999999999994"/>
    <n v="0.43019999999999992"/>
    <n v="2.1509999999999998"/>
    <n v="6.0000000000000009"/>
  </r>
  <r>
    <s v="EXP-21628-670"/>
    <d v="2019-03-02T00:00:00"/>
    <s v="2019"/>
    <s v="March"/>
    <s v="94447-35885-HK"/>
    <s v="Wallis Bernth"/>
    <s v="wbernthhe@miitbeian.gov.cn"/>
    <s v="+1 (412) 597-3861"/>
    <s v="Pittsburgh"/>
    <s v="United States"/>
    <s v="No"/>
    <s v="A-M-2.5"/>
    <s v="Arabica"/>
    <s v="Medium"/>
    <n v="3"/>
    <n v="2.5"/>
    <n v="25.874999999999996"/>
    <n v="77.624999999999986"/>
    <n v="2.3287499999999994"/>
    <n v="6.9862499999999983"/>
    <n v="9"/>
  </r>
  <r>
    <s v="VGM-24161-361"/>
    <d v="2022-05-01T00:00:00"/>
    <s v="2022"/>
    <s v="May"/>
    <s v="71034-49694-CS"/>
    <s v="Byron Acarson"/>
    <s v="bacarsonhf@cnn.com"/>
    <s v="+1 (713) 418-6385"/>
    <s v="Houston"/>
    <s v="United States"/>
    <s v="Yes"/>
    <s v="E-M-2.5"/>
    <s v="Excelsa"/>
    <s v="Medium"/>
    <n v="2"/>
    <n v="2.5"/>
    <n v="31.624999999999996"/>
    <n v="63.249999999999993"/>
    <n v="3.4787499999999998"/>
    <n v="6.9574999999999996"/>
    <n v="11"/>
  </r>
  <r>
    <s v="PKN-19556-918"/>
    <d v="2022-04-29T00:00:00"/>
    <s v="2022"/>
    <s v="April"/>
    <s v="00445-42781-KX"/>
    <s v="Faunie Brigham"/>
    <s v="fbrighamhg@blog.com"/>
    <s v="+353 (620) 657-2946"/>
    <s v="Castlerea"/>
    <s v="Ireland"/>
    <s v="Yes"/>
    <s v="E-L-0.2"/>
    <s v="Excelsa"/>
    <s v="Light"/>
    <n v="6"/>
    <n v="0.2"/>
    <n v="4.4550000000000001"/>
    <n v="26.73"/>
    <n v="0.49004999999999999"/>
    <n v="2.9402999999999997"/>
    <n v="10.999999999999998"/>
  </r>
  <r>
    <s v="PKN-19556-918"/>
    <d v="2022-04-29T00:00:00"/>
    <s v="2022"/>
    <s v="April"/>
    <s v="00445-42781-KX"/>
    <s v="Faunie Brigham"/>
    <s v="fbrighamhg@blog.com"/>
    <s v="+353 (620) 657-2946"/>
    <s v="Castlerea"/>
    <s v="Ireland"/>
    <s v="Yes"/>
    <s v="L-D-0.5"/>
    <s v="Liberica"/>
    <s v="Dark"/>
    <n v="4"/>
    <n v="0.5"/>
    <n v="7.77"/>
    <n v="31.08"/>
    <n v="1.0101"/>
    <n v="4.0404"/>
    <n v="13"/>
  </r>
  <r>
    <s v="PKN-19556-918"/>
    <d v="2022-04-29T00:00:00"/>
    <s v="2022"/>
    <s v="April"/>
    <s v="00445-42781-KX"/>
    <s v="Faunie Brigham"/>
    <s v="fbrighamhg@blog.com"/>
    <s v="+353 (620) 657-2946"/>
    <s v="Castlerea"/>
    <s v="Ireland"/>
    <s v="Yes"/>
    <s v="A-D-0.2"/>
    <s v="Arabica"/>
    <s v="Dark"/>
    <n v="1"/>
    <n v="0.2"/>
    <n v="2.9849999999999999"/>
    <n v="2.9849999999999999"/>
    <n v="0.26865"/>
    <n v="0.26865"/>
    <n v="9.0000000000000018"/>
  </r>
  <r>
    <s v="PKN-19556-918"/>
    <d v="2022-04-29T00:00:00"/>
    <s v="2022"/>
    <s v="April"/>
    <s v="00445-42781-KX"/>
    <s v="Faunie Brigham"/>
    <s v="fbrighamhg@blog.com"/>
    <s v="+353 (620) 657-2946"/>
    <s v="Castlerea"/>
    <s v="Ireland"/>
    <s v="Yes"/>
    <s v="R-D-2.5"/>
    <s v="Robusta"/>
    <s v="Dark"/>
    <n v="5"/>
    <n v="2.5"/>
    <n v="20.584999999999997"/>
    <n v="102.92499999999998"/>
    <n v="1.2350999999999999"/>
    <n v="6.1754999999999995"/>
    <n v="6.0000000000000009"/>
  </r>
  <r>
    <s v="DXQ-44537-297"/>
    <d v="2020-08-06T00:00:00"/>
    <s v="2020"/>
    <s v="August"/>
    <s v="96116-24737-LV"/>
    <s v="Marjorie Yoxen"/>
    <s v="myoxenhk@google.com"/>
    <s v="+1 (213) 241-8051"/>
    <s v="Los Angeles"/>
    <s v="United States"/>
    <s v="No"/>
    <s v="E-L-0.5"/>
    <s v="Excelsa"/>
    <s v="Light"/>
    <n v="4"/>
    <n v="0.5"/>
    <n v="8.91"/>
    <n v="35.64"/>
    <n v="0.98009999999999997"/>
    <n v="3.9203999999999999"/>
    <n v="11"/>
  </r>
  <r>
    <s v="BPC-54727-307"/>
    <d v="2019-12-21T00:00:00"/>
    <s v="2019"/>
    <s v="December"/>
    <s v="18684-73088-YL"/>
    <s v="Gaspar McGavin"/>
    <s v="gmcgavinhl@histats.com"/>
    <s v="+1 (570) 745-7589"/>
    <s v="Wilkes Barre"/>
    <s v="United States"/>
    <s v="No"/>
    <s v="R-L-1"/>
    <s v="Robusta"/>
    <s v="Light"/>
    <n v="4"/>
    <n v="1"/>
    <n v="11.95"/>
    <n v="47.8"/>
    <n v="0.71699999999999997"/>
    <n v="2.8679999999999999"/>
    <n v="6"/>
  </r>
  <r>
    <s v="KSH-47717-456"/>
    <d v="2020-04-19T00:00:00"/>
    <s v="2020"/>
    <s v="April"/>
    <s v="74671-55639-TU"/>
    <s v="Lindy Uttermare"/>
    <s v="luttermarehm@engadget.com"/>
    <s v="+1 (817) 793-6871"/>
    <s v="Denton"/>
    <s v="United States"/>
    <s v="No"/>
    <s v="L-M-1"/>
    <s v="Liberica"/>
    <s v="Medium"/>
    <n v="3"/>
    <n v="1"/>
    <n v="14.55"/>
    <n v="43.650000000000006"/>
    <n v="1.8915000000000002"/>
    <n v="5.6745000000000001"/>
    <n v="12.999999999999998"/>
  </r>
  <r>
    <s v="ANK-59436-446"/>
    <d v="2022-01-17T00:00:00"/>
    <s v="2022"/>
    <s v="January"/>
    <s v="17488-65879-XL"/>
    <s v="Eal D'Ambrogio"/>
    <s v="edambrogiohn@techcrunch.com"/>
    <s v="+1 (816) 196-1729"/>
    <s v="Lees Summit"/>
    <s v="United States"/>
    <s v="Yes"/>
    <s v="E-L-0.5"/>
    <s v="Excelsa"/>
    <s v="Light"/>
    <n v="4"/>
    <n v="0.5"/>
    <n v="8.91"/>
    <n v="35.64"/>
    <n v="0.98009999999999997"/>
    <n v="3.9203999999999999"/>
    <n v="11"/>
  </r>
  <r>
    <s v="AYY-83051-752"/>
    <d v="2019-01-22T00:00:00"/>
    <s v="2019"/>
    <s v="January"/>
    <s v="46431-09298-OU"/>
    <s v="Carolee Winchcombe"/>
    <s v="cwinchcombeho@jiathis.com"/>
    <s v="+1 (501) 772-4397"/>
    <s v="Little Rock"/>
    <s v="United States"/>
    <s v="Yes"/>
    <s v="L-L-1"/>
    <s v="Liberica"/>
    <s v="Light"/>
    <n v="6"/>
    <n v="1"/>
    <n v="15.85"/>
    <n v="95.1"/>
    <n v="2.0605000000000002"/>
    <n v="12.363000000000001"/>
    <n v="13.000000000000004"/>
  </r>
  <r>
    <s v="CSW-59644-267"/>
    <d v="2020-02-28T00:00:00"/>
    <s v="2020"/>
    <s v="February"/>
    <s v="60378-26473-FE"/>
    <s v="Benedikta Paumier"/>
    <s v="bpaumierhp@umn.edu"/>
    <s v="+353 (777) 856-8236"/>
    <s v="Ballisodare"/>
    <s v="Ireland"/>
    <s v="Yes"/>
    <s v="E-M-2.5"/>
    <s v="Excelsa"/>
    <s v="Medium"/>
    <n v="1"/>
    <n v="2.5"/>
    <n v="31.624999999999996"/>
    <n v="31.624999999999996"/>
    <n v="3.4787499999999998"/>
    <n v="3.4787499999999998"/>
    <n v="11"/>
  </r>
  <r>
    <s v="ITY-92466-909"/>
    <d v="2019-08-07T00:00:00"/>
    <s v="2019"/>
    <s v="August"/>
    <s v="34927-68586-ZV"/>
    <s v="Neville Piatto"/>
    <s v="UNKNOWN"/>
    <s v="+353 (573) 561-9754"/>
    <s v="Daingean"/>
    <s v="Ireland"/>
    <s v="Yes"/>
    <s v="A-M-2.5"/>
    <s v="Arabica"/>
    <s v="Medium"/>
    <n v="3"/>
    <n v="2.5"/>
    <n v="25.874999999999996"/>
    <n v="77.624999999999986"/>
    <n v="2.3287499999999994"/>
    <n v="6.9862499999999983"/>
    <n v="9"/>
  </r>
  <r>
    <s v="IGW-04801-466"/>
    <d v="2021-05-15T00:00:00"/>
    <s v="2021"/>
    <s v="May"/>
    <s v="29051-27555-GD"/>
    <s v="Jeno Capey"/>
    <s v="jcapeyhr@bravesites.com"/>
    <s v="+1 (814) 974-7878"/>
    <s v="Erie"/>
    <s v="United States"/>
    <s v="Yes"/>
    <s v="L-D-0.2"/>
    <s v="Liberica"/>
    <s v="Dark"/>
    <n v="1"/>
    <n v="0.2"/>
    <n v="3.8849999999999998"/>
    <n v="3.8849999999999998"/>
    <n v="0.50505"/>
    <n v="0.50505"/>
    <n v="13"/>
  </r>
  <r>
    <s v="LJN-34281-921"/>
    <d v="2021-12-17T00:00:00"/>
    <s v="2021"/>
    <s v="December"/>
    <s v="52143-35672-JF"/>
    <s v="Tuckie Mathonnet"/>
    <s v="tmathonneti0@google.co.jp"/>
    <s v="+1 (614) 781-0396"/>
    <s v="Columbus"/>
    <s v="United States"/>
    <s v="No"/>
    <s v="R-L-2.5"/>
    <s v="Robusta"/>
    <s v="Light"/>
    <n v="5"/>
    <n v="2.5"/>
    <n v="27.484999999999996"/>
    <n v="137.42499999999998"/>
    <n v="1.6490999999999998"/>
    <n v="8.2454999999999998"/>
    <n v="6.0000000000000009"/>
  </r>
  <r>
    <s v="BWZ-46364-547"/>
    <d v="2021-09-09T00:00:00"/>
    <s v="2021"/>
    <s v="September"/>
    <s v="64918-67725-MN"/>
    <s v="Yardley Basill"/>
    <s v="ybasillht@theguardian.com"/>
    <s v="+1 (412) 297-2806"/>
    <s v="Pittsburgh"/>
    <s v="United States"/>
    <s v="Yes"/>
    <s v="R-L-1"/>
    <s v="Robusta"/>
    <s v="Light"/>
    <n v="3"/>
    <n v="1"/>
    <n v="11.95"/>
    <n v="35.849999999999994"/>
    <n v="0.71699999999999997"/>
    <n v="2.1509999999999998"/>
    <n v="6.0000000000000009"/>
  </r>
  <r>
    <s v="SBC-95710-706"/>
    <d v="2020-02-19T00:00:00"/>
    <s v="2020"/>
    <s v="February"/>
    <s v="85634-61759-ND"/>
    <s v="Maggy Baistow"/>
    <s v="mbaistowhu@i2i.jp"/>
    <s v="+44 (876) 508-3376"/>
    <s v="Ford"/>
    <s v="United Kingdom"/>
    <s v="Yes"/>
    <s v="E-M-0.2"/>
    <s v="Excelsa"/>
    <s v="Medium"/>
    <n v="2"/>
    <n v="0.2"/>
    <n v="4.125"/>
    <n v="8.25"/>
    <n v="0.45374999999999999"/>
    <n v="0.90749999999999997"/>
    <n v="11"/>
  </r>
  <r>
    <s v="WRN-55114-031"/>
    <d v="2020-06-29T00:00:00"/>
    <s v="2020"/>
    <s v="June"/>
    <s v="40180-22940-QB"/>
    <s v="Courtney Pallant"/>
    <s v="cpallanthv@typepad.com"/>
    <s v="UNKNOWN"/>
    <s v="Dallas"/>
    <s v="United States"/>
    <s v="Yes"/>
    <s v="E-L-2.5"/>
    <s v="Excelsa"/>
    <s v="Light"/>
    <n v="3"/>
    <n v="2.5"/>
    <n v="34.154999999999994"/>
    <n v="102.46499999999997"/>
    <n v="3.7570499999999996"/>
    <n v="11.271149999999999"/>
    <n v="11.000000000000002"/>
  </r>
  <r>
    <s v="TZU-64255-831"/>
    <d v="2022-05-13T00:00:00"/>
    <s v="2022"/>
    <s v="May"/>
    <s v="34666-76738-SQ"/>
    <s v="Marne Mingey"/>
    <s v="UNKNOWN"/>
    <s v="+1 (786) 445-8879"/>
    <s v="Miami"/>
    <s v="United States"/>
    <s v="No"/>
    <s v="R-D-2.5"/>
    <s v="Robusta"/>
    <s v="Dark"/>
    <n v="2"/>
    <n v="2.5"/>
    <n v="20.584999999999997"/>
    <n v="41.169999999999995"/>
    <n v="1.2350999999999999"/>
    <n v="2.4701999999999997"/>
    <n v="6.0000000000000009"/>
  </r>
  <r>
    <s v="JVF-91003-729"/>
    <d v="2020-10-02T00:00:00"/>
    <s v="2020"/>
    <s v="October"/>
    <s v="98536-88616-FF"/>
    <s v="Denny O' Ronan"/>
    <s v="dohx@redcross.org"/>
    <s v="+1 (325) 276-3690"/>
    <s v="San Angelo"/>
    <s v="United States"/>
    <s v="Yes"/>
    <s v="A-D-2.5"/>
    <s v="Arabica"/>
    <s v="Dark"/>
    <n v="3"/>
    <n v="2.5"/>
    <n v="22.884999999999998"/>
    <n v="68.655000000000001"/>
    <n v="2.0596499999999995"/>
    <n v="6.1789499999999986"/>
    <n v="8.9999999999999982"/>
  </r>
  <r>
    <s v="MVB-22135-665"/>
    <d v="2021-12-02T00:00:00"/>
    <s v="2021"/>
    <s v="December"/>
    <s v="55621-06130-SA"/>
    <s v="Dottie Rallin"/>
    <s v="drallinhy@howstuffworks.com"/>
    <s v="+1 (518) 981-1531"/>
    <s v="Albany"/>
    <s v="United States"/>
    <s v="Yes"/>
    <s v="A-D-1"/>
    <s v="Arabica"/>
    <s v="Dark"/>
    <n v="1"/>
    <n v="1"/>
    <n v="9.9499999999999993"/>
    <n v="9.9499999999999993"/>
    <n v="0.89549999999999985"/>
    <n v="0.89549999999999985"/>
    <n v="9"/>
  </r>
  <r>
    <s v="CKS-47815-571"/>
    <d v="2021-11-02T00:00:00"/>
    <s v="2021"/>
    <s v="November"/>
    <s v="45666-86771-EH"/>
    <s v="Ardith Chill"/>
    <s v="achillhz@epa.gov"/>
    <s v="+44 (411) 344-1320"/>
    <s v="Thorpe"/>
    <s v="United Kingdom"/>
    <s v="Yes"/>
    <s v="L-L-0.5"/>
    <s v="Liberica"/>
    <s v="Light"/>
    <n v="3"/>
    <n v="0.5"/>
    <n v="9.51"/>
    <n v="28.53"/>
    <n v="1.2363"/>
    <n v="3.7088999999999999"/>
    <n v="12.999999999999998"/>
  </r>
  <r>
    <s v="OAW-17338-101"/>
    <d v="2020-02-23T00:00:00"/>
    <s v="2020"/>
    <s v="February"/>
    <s v="52143-35672-JF"/>
    <s v="Tuckie Mathonnet"/>
    <s v="tmathonneti0@google.co.jp"/>
    <s v="+1 (614) 781-0396"/>
    <s v="Columbus"/>
    <s v="United States"/>
    <s v="No"/>
    <s v="R-D-0.2"/>
    <s v="Robusta"/>
    <s v="Dark"/>
    <n v="6"/>
    <n v="0.2"/>
    <n v="2.6849999999999996"/>
    <n v="16.11"/>
    <n v="0.16109999999999997"/>
    <n v="0.96659999999999979"/>
    <n v="5.9999999999999991"/>
  </r>
  <r>
    <s v="ALP-37623-536"/>
    <d v="2020-07-03T00:00:00"/>
    <s v="2020"/>
    <s v="July"/>
    <s v="24689-69376-XX"/>
    <s v="Charmane Denys"/>
    <s v="cdenysi1@is.gd"/>
    <s v="+44 (341) 297-2539"/>
    <s v="Carlton"/>
    <s v="United Kingdom"/>
    <s v="No"/>
    <s v="L-L-1"/>
    <s v="Liberica"/>
    <s v="Light"/>
    <n v="6"/>
    <n v="1"/>
    <n v="15.85"/>
    <n v="95.1"/>
    <n v="2.0605000000000002"/>
    <n v="12.363000000000001"/>
    <n v="13.000000000000004"/>
  </r>
  <r>
    <s v="WMU-87639-108"/>
    <d v="2019-02-11T00:00:00"/>
    <s v="2019"/>
    <s v="February"/>
    <s v="71891-51101-VQ"/>
    <s v="Cecily Stebbings"/>
    <s v="cstebbingsi2@drupal.org"/>
    <s v="+1 (951) 986-4062"/>
    <s v="Corona"/>
    <s v="United States"/>
    <s v="Yes"/>
    <s v="R-D-0.5"/>
    <s v="Robusta"/>
    <s v="Dark"/>
    <n v="1"/>
    <n v="0.5"/>
    <n v="5.3699999999999992"/>
    <n v="5.3699999999999992"/>
    <n v="0.32219999999999993"/>
    <n v="0.32219999999999993"/>
    <n v="6"/>
  </r>
  <r>
    <s v="USN-44968-231"/>
    <d v="2020-09-10T00:00:00"/>
    <s v="2020"/>
    <s v="September"/>
    <s v="71749-05400-CN"/>
    <s v="Giana Tonnesen"/>
    <s v="UNKNOWN"/>
    <s v="+1 (202) 931-2413"/>
    <s v="Washington"/>
    <s v="United States"/>
    <s v="No"/>
    <s v="R-L-1"/>
    <s v="Robusta"/>
    <s v="Light"/>
    <n v="4"/>
    <n v="1"/>
    <n v="11.95"/>
    <n v="47.8"/>
    <n v="0.71699999999999997"/>
    <n v="2.8679999999999999"/>
    <n v="6"/>
  </r>
  <r>
    <s v="YZG-20575-451"/>
    <d v="2020-03-02T00:00:00"/>
    <s v="2020"/>
    <s v="March"/>
    <s v="64845-00270-NO"/>
    <s v="Rhetta Zywicki"/>
    <s v="rzywickii4@ifeng.com"/>
    <s v="UNKNOWN"/>
    <s v="Ballinteer"/>
    <s v="Ireland"/>
    <s v="No"/>
    <s v="L-L-1"/>
    <s v="Liberica"/>
    <s v="Light"/>
    <n v="4"/>
    <n v="1"/>
    <n v="15.85"/>
    <n v="63.4"/>
    <n v="2.0605000000000002"/>
    <n v="8.2420000000000009"/>
    <n v="13"/>
  </r>
  <r>
    <s v="HTH-52867-812"/>
    <d v="2021-06-28T00:00:00"/>
    <s v="2021"/>
    <s v="June"/>
    <s v="29851-36402-UX"/>
    <s v="Almeria Burgett"/>
    <s v="aburgetti5@moonfruit.com"/>
    <s v="+1 (419) 372-4746"/>
    <s v="Toledo"/>
    <s v="United States"/>
    <s v="No"/>
    <s v="A-M-2.5"/>
    <s v="Arabica"/>
    <s v="Medium"/>
    <n v="4"/>
    <n v="2.5"/>
    <n v="25.874999999999996"/>
    <n v="103.49999999999999"/>
    <n v="2.3287499999999994"/>
    <n v="9.3149999999999977"/>
    <n v="9"/>
  </r>
  <r>
    <s v="FWU-44971-444"/>
    <d v="2019-01-11T00:00:00"/>
    <s v="2019"/>
    <s v="January"/>
    <s v="12190-25421-WM"/>
    <s v="Marvin Malloy"/>
    <s v="mmalloyi6@seattletimes.com"/>
    <s v="+1 (202) 284-7115"/>
    <s v="Washington"/>
    <s v="United States"/>
    <s v="No"/>
    <s v="A-D-2.5"/>
    <s v="Arabica"/>
    <s v="Dark"/>
    <n v="3"/>
    <n v="2.5"/>
    <n v="22.884999999999998"/>
    <n v="68.655000000000001"/>
    <n v="2.0596499999999995"/>
    <n v="6.1789499999999986"/>
    <n v="8.9999999999999982"/>
  </r>
  <r>
    <s v="EQI-82205-066"/>
    <d v="2019-09-20T00:00:00"/>
    <s v="2019"/>
    <s v="September"/>
    <s v="52316-30571-GD"/>
    <s v="Maxim McParland"/>
    <s v="mmcparlandi7@w3.org"/>
    <s v="UNKNOWN"/>
    <s v="Cedar Rapids"/>
    <s v="United States"/>
    <s v="Yes"/>
    <s v="R-M-2.5"/>
    <s v="Robusta"/>
    <s v="Medium"/>
    <n v="2"/>
    <n v="2.5"/>
    <n v="22.884999999999998"/>
    <n v="45.769999999999996"/>
    <n v="1.3730999999999998"/>
    <n v="2.7461999999999995"/>
    <n v="6"/>
  </r>
  <r>
    <s v="NAR-00747-074"/>
    <d v="2021-10-16T00:00:00"/>
    <s v="2021"/>
    <s v="October"/>
    <s v="23243-92649-RY"/>
    <s v="Sylas Jennaroy"/>
    <s v="sjennaroyi8@purevolume.com"/>
    <s v="UNKNOWN"/>
    <s v="Aurora"/>
    <s v="United States"/>
    <s v="No"/>
    <s v="L-D-1"/>
    <s v="Liberica"/>
    <s v="Dark"/>
    <n v="4"/>
    <n v="1"/>
    <n v="12.95"/>
    <n v="51.8"/>
    <n v="1.6835"/>
    <n v="6.734"/>
    <n v="13"/>
  </r>
  <r>
    <s v="JYR-22052-185"/>
    <d v="2020-01-01T00:00:00"/>
    <s v="2020"/>
    <s v="January"/>
    <s v="39528-19971-OR"/>
    <s v="Wren Place"/>
    <s v="wplacei9@wsj.com"/>
    <s v="+1 (408) 106-8863"/>
    <s v="Sunnyvale"/>
    <s v="United States"/>
    <s v="Yes"/>
    <s v="A-M-0.5"/>
    <s v="Arabica"/>
    <s v="Medium"/>
    <n v="2"/>
    <n v="0.5"/>
    <n v="6.75"/>
    <n v="13.5"/>
    <n v="0.60749999999999993"/>
    <n v="1.2149999999999999"/>
    <n v="8.9999999999999982"/>
  </r>
  <r>
    <s v="XKO-54097-932"/>
    <d v="2022-03-10T00:00:00"/>
    <s v="2022"/>
    <s v="March"/>
    <s v="32743-78448-KT"/>
    <s v="Janella Millett"/>
    <s v="jmillettik@addtoany.com"/>
    <s v="+1 (919) 302-3228"/>
    <s v="Durham"/>
    <s v="United States"/>
    <s v="Yes"/>
    <s v="E-M-0.5"/>
    <s v="Excelsa"/>
    <s v="Medium"/>
    <n v="3"/>
    <n v="0.5"/>
    <n v="8.25"/>
    <n v="24.75"/>
    <n v="0.90749999999999997"/>
    <n v="2.7225000000000001"/>
    <n v="11"/>
  </r>
  <r>
    <s v="HXA-72415-025"/>
    <d v="2022-05-12T00:00:00"/>
    <s v="2022"/>
    <s v="May"/>
    <s v="93417-12322-YB"/>
    <s v="Dollie Gadsden"/>
    <s v="dgadsdenib@google.com.hk"/>
    <s v="+353 (847) 447-7835"/>
    <s v="Cluain Meala"/>
    <s v="Ireland"/>
    <s v="Yes"/>
    <s v="A-D-2.5"/>
    <s v="Arabica"/>
    <s v="Dark"/>
    <n v="2"/>
    <n v="2.5"/>
    <n v="22.884999999999998"/>
    <n v="45.769999999999996"/>
    <n v="2.0596499999999995"/>
    <n v="4.1192999999999991"/>
    <n v="8.9999999999999982"/>
  </r>
  <r>
    <s v="MJF-20065-335"/>
    <d v="2020-09-10T00:00:00"/>
    <s v="2020"/>
    <s v="September"/>
    <s v="56891-86662-UY"/>
    <s v="Val Wakelin"/>
    <s v="vwakelinic@unesco.org"/>
    <s v="+1 (517) 163-7746"/>
    <s v="Lansing"/>
    <s v="United States"/>
    <s v="No"/>
    <s v="E-L-0.5"/>
    <s v="Excelsa"/>
    <s v="Light"/>
    <n v="6"/>
    <n v="0.5"/>
    <n v="8.91"/>
    <n v="53.46"/>
    <n v="0.98009999999999997"/>
    <n v="5.8805999999999994"/>
    <n v="10.999999999999998"/>
  </r>
  <r>
    <s v="GFI-83300-059"/>
    <d v="2021-10-16T00:00:00"/>
    <s v="2021"/>
    <s v="October"/>
    <s v="40414-26467-VE"/>
    <s v="Annie Campsall"/>
    <s v="acampsallid@zimbio.com"/>
    <s v="+1 (713) 339-5547"/>
    <s v="Houston"/>
    <s v="United States"/>
    <s v="Yes"/>
    <s v="A-M-0.2"/>
    <s v="Arabica"/>
    <s v="Medium"/>
    <n v="6"/>
    <n v="0.2"/>
    <n v="3.375"/>
    <n v="20.25"/>
    <n v="0.30374999999999996"/>
    <n v="1.8224999999999998"/>
    <n v="8.9999999999999982"/>
  </r>
  <r>
    <s v="WJR-51493-682"/>
    <d v="2021-06-17T00:00:00"/>
    <s v="2021"/>
    <s v="June"/>
    <s v="87858-83734-RK"/>
    <s v="Shermy Moseby"/>
    <s v="smosebyie@stanford.edu"/>
    <s v="UNKNOWN"/>
    <s v="Murfreesboro"/>
    <s v="United States"/>
    <s v="No"/>
    <s v="L-D-2.5"/>
    <s v="Liberica"/>
    <s v="Dark"/>
    <n v="5"/>
    <n v="2.5"/>
    <n v="29.784999999999997"/>
    <n v="148.92499999999998"/>
    <n v="3.8720499999999998"/>
    <n v="19.360250000000001"/>
    <n v="13.000000000000004"/>
  </r>
  <r>
    <s v="SHP-55648-472"/>
    <d v="2019-03-30T00:00:00"/>
    <s v="2019"/>
    <s v="March"/>
    <s v="46818-20198-GB"/>
    <s v="Corrie Wass"/>
    <s v="cwassif@prweb.com"/>
    <s v="UNKNOWN"/>
    <s v="Charleston"/>
    <s v="United States"/>
    <s v="No"/>
    <s v="A-M-1"/>
    <s v="Arabica"/>
    <s v="Medium"/>
    <n v="6"/>
    <n v="1"/>
    <n v="11.25"/>
    <n v="67.5"/>
    <n v="1.0125"/>
    <n v="6.0749999999999993"/>
    <n v="8.9999999999999982"/>
  </r>
  <r>
    <s v="HYR-03455-684"/>
    <d v="2021-12-19T00:00:00"/>
    <s v="2021"/>
    <s v="December"/>
    <s v="29808-89098-XD"/>
    <s v="Ira Sjostrom"/>
    <s v="isjostromig@pbs.org"/>
    <s v="+1 (814) 359-4610"/>
    <s v="Erie"/>
    <s v="United States"/>
    <s v="No"/>
    <s v="E-D-1"/>
    <s v="Excelsa"/>
    <s v="Dark"/>
    <n v="6"/>
    <n v="1"/>
    <n v="12.15"/>
    <n v="72.900000000000006"/>
    <n v="1.3365"/>
    <n v="8.0190000000000001"/>
    <n v="10.999999999999998"/>
  </r>
  <r>
    <s v="HYR-03455-684"/>
    <d v="2021-12-19T00:00:00"/>
    <s v="2021"/>
    <s v="December"/>
    <s v="29808-89098-XD"/>
    <s v="Ira Sjostrom"/>
    <s v="isjostromig@pbs.org"/>
    <s v="+1 (814) 359-4610"/>
    <s v="Erie"/>
    <s v="United States"/>
    <s v="No"/>
    <s v="L-D-0.2"/>
    <s v="Liberica"/>
    <s v="Dark"/>
    <n v="2"/>
    <n v="0.2"/>
    <n v="3.8849999999999998"/>
    <n v="7.77"/>
    <n v="0.50505"/>
    <n v="1.0101"/>
    <n v="13"/>
  </r>
  <r>
    <s v="HUG-52766-375"/>
    <d v="2020-06-05T00:00:00"/>
    <s v="2020"/>
    <s v="June"/>
    <s v="78786-77449-RQ"/>
    <s v="Jermaine Branchett"/>
    <s v="jbranchettii@bravesites.com"/>
    <s v="+1 (806) 376-6144"/>
    <s v="Lubbock"/>
    <s v="United States"/>
    <s v="No"/>
    <s v="A-D-2.5"/>
    <s v="Arabica"/>
    <s v="Dark"/>
    <n v="4"/>
    <n v="2.5"/>
    <n v="22.884999999999998"/>
    <n v="91.539999999999992"/>
    <n v="2.0596499999999995"/>
    <n v="8.2385999999999981"/>
    <n v="8.9999999999999982"/>
  </r>
  <r>
    <s v="DAH-46595-917"/>
    <d v="2021-09-12T00:00:00"/>
    <s v="2021"/>
    <s v="September"/>
    <s v="27878-42224-QF"/>
    <s v="Nissie Rudland"/>
    <s v="nrudlandij@blogs.com"/>
    <s v="+353 (445) 224-6111"/>
    <s v="Gorey"/>
    <s v="Ireland"/>
    <s v="No"/>
    <s v="A-D-1"/>
    <s v="Arabica"/>
    <s v="Dark"/>
    <n v="6"/>
    <n v="1"/>
    <n v="9.9499999999999993"/>
    <n v="59.699999999999996"/>
    <n v="0.89549999999999985"/>
    <n v="5.3729999999999993"/>
    <n v="9"/>
  </r>
  <r>
    <s v="VEM-79839-466"/>
    <d v="2022-03-16T00:00:00"/>
    <s v="2022"/>
    <s v="March"/>
    <s v="32743-78448-KT"/>
    <s v="Janella Millett"/>
    <s v="jmillettik@addtoany.com"/>
    <s v="+1 (919) 302-3228"/>
    <s v="Durham"/>
    <s v="United States"/>
    <s v="Yes"/>
    <s v="R-L-2.5"/>
    <s v="Robusta"/>
    <s v="Light"/>
    <n v="5"/>
    <n v="2.5"/>
    <n v="27.484999999999996"/>
    <n v="137.42499999999998"/>
    <n v="1.6490999999999998"/>
    <n v="8.2454999999999998"/>
    <n v="6.0000000000000009"/>
  </r>
  <r>
    <s v="OWH-11126-533"/>
    <d v="2021-12-21T00:00:00"/>
    <s v="2021"/>
    <s v="December"/>
    <s v="25331-13794-SB"/>
    <s v="Ferdie Tourry"/>
    <s v="ftourryil@google.de"/>
    <s v="+1 (843) 243-1686"/>
    <s v="Florence"/>
    <s v="United States"/>
    <s v="No"/>
    <s v="L-M-2.5"/>
    <s v="Liberica"/>
    <s v="Medium"/>
    <n v="2"/>
    <n v="2.5"/>
    <n v="33.464999999999996"/>
    <n v="66.929999999999993"/>
    <n v="4.3504499999999995"/>
    <n v="8.700899999999999"/>
    <n v="13"/>
  </r>
  <r>
    <s v="UMT-26130-151"/>
    <d v="2019-05-21T00:00:00"/>
    <s v="2019"/>
    <s v="May"/>
    <s v="55864-37682-GQ"/>
    <s v="Cecil Weatherall"/>
    <s v="cweatherallim@toplist.cz"/>
    <s v="+1 (315) 335-0182"/>
    <s v="Syracuse"/>
    <s v="United States"/>
    <s v="Yes"/>
    <s v="L-M-0.2"/>
    <s v="Liberica"/>
    <s v="Medium"/>
    <n v="3"/>
    <n v="0.2"/>
    <n v="4.3650000000000002"/>
    <n v="13.095000000000001"/>
    <n v="0.56745000000000001"/>
    <n v="1.70235"/>
    <n v="13"/>
  </r>
  <r>
    <s v="JKA-27899-806"/>
    <d v="2021-10-26T00:00:00"/>
    <s v="2021"/>
    <s v="October"/>
    <s v="97005-25609-CQ"/>
    <s v="Gale Heindrick"/>
    <s v="gheindrickin@usda.gov"/>
    <s v="+1 (229) 111-7292"/>
    <s v="Lawrenceville"/>
    <s v="United States"/>
    <s v="No"/>
    <s v="R-L-1"/>
    <s v="Robusta"/>
    <s v="Light"/>
    <n v="5"/>
    <n v="1"/>
    <n v="11.95"/>
    <n v="59.75"/>
    <n v="0.71699999999999997"/>
    <n v="3.585"/>
    <n v="6"/>
  </r>
  <r>
    <s v="ULU-07744-724"/>
    <d v="2020-03-26T00:00:00"/>
    <s v="2020"/>
    <s v="March"/>
    <s v="94058-95794-IJ"/>
    <s v="Layne Imason"/>
    <s v="limasonio@discuz.net"/>
    <s v="UNKNOWN"/>
    <s v="Houston"/>
    <s v="United States"/>
    <s v="Yes"/>
    <s v="L-M-0.5"/>
    <s v="Liberica"/>
    <s v="Medium"/>
    <n v="5"/>
    <n v="0.5"/>
    <n v="8.73"/>
    <n v="43.650000000000006"/>
    <n v="1.1349"/>
    <n v="5.6745000000000001"/>
    <n v="12.999999999999998"/>
  </r>
  <r>
    <s v="NOM-56457-507"/>
    <d v="2020-10-14T00:00:00"/>
    <s v="2020"/>
    <s v="October"/>
    <s v="40214-03678-GU"/>
    <s v="Hazel Saill"/>
    <s v="hsaillip@odnoklassniki.ru"/>
    <s v="+1 (913) 968-8024"/>
    <s v="Kansas City"/>
    <s v="United States"/>
    <s v="Yes"/>
    <s v="E-M-1"/>
    <s v="Excelsa"/>
    <s v="Medium"/>
    <n v="6"/>
    <n v="1"/>
    <n v="13.75"/>
    <n v="82.5"/>
    <n v="1.5125"/>
    <n v="9.0749999999999993"/>
    <n v="10.999999999999998"/>
  </r>
  <r>
    <s v="NZN-71683-705"/>
    <d v="2021-12-13T00:00:00"/>
    <s v="2021"/>
    <s v="December"/>
    <s v="04921-85445-SL"/>
    <s v="Hermann Larvor"/>
    <s v="hlarvoriq@last.fm"/>
    <s v="+1 (941) 779-2195"/>
    <s v="Bradenton"/>
    <s v="United States"/>
    <s v="Yes"/>
    <s v="A-L-2.5"/>
    <s v="Arabica"/>
    <s v="Light"/>
    <n v="6"/>
    <n v="2.5"/>
    <n v="29.784999999999997"/>
    <n v="178.70999999999998"/>
    <n v="2.6806499999999995"/>
    <n v="16.083899999999996"/>
    <n v="8.9999999999999982"/>
  </r>
  <r>
    <s v="WMA-34232-850"/>
    <d v="2021-03-08T00:00:00"/>
    <s v="2021"/>
    <s v="March"/>
    <s v="53386-94266-LJ"/>
    <s v="Terri Lyford"/>
    <s v="UNKNOWN"/>
    <s v="+1 (610) 942-2790"/>
    <s v="Allentown"/>
    <s v="United States"/>
    <s v="Yes"/>
    <s v="L-D-2.5"/>
    <s v="Liberica"/>
    <s v="Dark"/>
    <n v="4"/>
    <n v="2.5"/>
    <n v="29.784999999999997"/>
    <n v="119.13999999999999"/>
    <n v="3.8720499999999998"/>
    <n v="15.488199999999999"/>
    <n v="13"/>
  </r>
  <r>
    <s v="EZL-27919-704"/>
    <d v="2021-01-21T00:00:00"/>
    <s v="2021"/>
    <s v="January"/>
    <s v="49480-85909-DG"/>
    <s v="Gabey Cogan"/>
    <s v="UNKNOWN"/>
    <s v="+1 (757) 101-9459"/>
    <s v="Hampton"/>
    <s v="United States"/>
    <s v="No"/>
    <s v="L-L-0.5"/>
    <s v="Liberica"/>
    <s v="Light"/>
    <n v="5"/>
    <n v="0.5"/>
    <n v="9.51"/>
    <n v="47.55"/>
    <n v="1.2363"/>
    <n v="6.1814999999999998"/>
    <n v="13"/>
  </r>
  <r>
    <s v="ZYU-11345-774"/>
    <d v="2021-01-10T00:00:00"/>
    <s v="2021"/>
    <s v="January"/>
    <s v="18293-78136-MN"/>
    <s v="Charin Penwarden"/>
    <s v="cpenwardenit@mlb.com"/>
    <s v="+353 (765) 345-5590"/>
    <s v="Whitegate"/>
    <s v="Ireland"/>
    <s v="No"/>
    <s v="L-M-0.5"/>
    <s v="Liberica"/>
    <s v="Medium"/>
    <n v="5"/>
    <n v="0.5"/>
    <n v="8.73"/>
    <n v="43.650000000000006"/>
    <n v="1.1349"/>
    <n v="5.6745000000000001"/>
    <n v="12.999999999999998"/>
  </r>
  <r>
    <s v="CPW-34587-459"/>
    <d v="2021-03-26T00:00:00"/>
    <s v="2021"/>
    <s v="March"/>
    <s v="84641-67384-TD"/>
    <s v="Milty Middis"/>
    <s v="mmiddisiu@dmoz.org"/>
    <s v="+1 (316) 736-9645"/>
    <s v="Wichita"/>
    <s v="United States"/>
    <s v="Yes"/>
    <s v="A-L-2.5"/>
    <s v="Arabica"/>
    <s v="Light"/>
    <n v="6"/>
    <n v="2.5"/>
    <n v="29.784999999999997"/>
    <n v="178.70999999999998"/>
    <n v="2.6806499999999995"/>
    <n v="16.083899999999996"/>
    <n v="8.9999999999999982"/>
  </r>
  <r>
    <s v="NQZ-82067-394"/>
    <d v="2022-03-25T00:00:00"/>
    <s v="2022"/>
    <s v="March"/>
    <s v="72320-29738-EB"/>
    <s v="Adrianne Vairow"/>
    <s v="avairowiv@studiopress.com"/>
    <s v="+44 (236) 517-2586"/>
    <s v="Thorpe"/>
    <s v="United Kingdom"/>
    <s v="No"/>
    <s v="R-L-2.5"/>
    <s v="Robusta"/>
    <s v="Light"/>
    <n v="1"/>
    <n v="2.5"/>
    <n v="27.484999999999996"/>
    <n v="27.484999999999996"/>
    <n v="1.6490999999999998"/>
    <n v="1.6490999999999998"/>
    <n v="6.0000000000000009"/>
  </r>
  <r>
    <s v="JBW-95055-851"/>
    <d v="2021-07-22T00:00:00"/>
    <s v="2021"/>
    <s v="July"/>
    <s v="47355-97488-XS"/>
    <s v="Anjanette Goldie"/>
    <s v="agoldieiw@goo.gl"/>
    <s v="UNKNOWN"/>
    <s v="Danbury"/>
    <s v="United States"/>
    <s v="No"/>
    <s v="A-M-1"/>
    <s v="Arabica"/>
    <s v="Medium"/>
    <n v="5"/>
    <n v="1"/>
    <n v="11.25"/>
    <n v="56.25"/>
    <n v="1.0125"/>
    <n v="5.0625"/>
    <n v="9"/>
  </r>
  <r>
    <s v="AHY-20324-088"/>
    <d v="2020-09-06T00:00:00"/>
    <s v="2020"/>
    <s v="September"/>
    <s v="63499-24884-PP"/>
    <s v="Nicky Ayris"/>
    <s v="nayrisix@t-online.de"/>
    <s v="+44 (627) 552-5656"/>
    <s v="Kinloch"/>
    <s v="United Kingdom"/>
    <s v="Yes"/>
    <s v="L-L-0.2"/>
    <s v="Liberica"/>
    <s v="Light"/>
    <n v="2"/>
    <n v="0.2"/>
    <n v="4.7549999999999999"/>
    <n v="9.51"/>
    <n v="0.61814999999999998"/>
    <n v="1.2363"/>
    <n v="13"/>
  </r>
  <r>
    <s v="ZSL-66684-103"/>
    <d v="2019-12-28T00:00:00"/>
    <s v="2019"/>
    <s v="December"/>
    <s v="39193-51770-FM"/>
    <s v="Laryssa Benediktovich"/>
    <s v="lbenediktovichiy@wunderground.com"/>
    <s v="+1 (904) 330-1211"/>
    <s v="Jacksonville"/>
    <s v="United States"/>
    <s v="Yes"/>
    <s v="E-M-0.2"/>
    <s v="Excelsa"/>
    <s v="Medium"/>
    <n v="2"/>
    <n v="0.2"/>
    <n v="4.125"/>
    <n v="8.25"/>
    <n v="0.45374999999999999"/>
    <n v="0.90749999999999997"/>
    <n v="11"/>
  </r>
  <r>
    <s v="WNE-73911-475"/>
    <d v="2020-04-20T00:00:00"/>
    <s v="2020"/>
    <s v="April"/>
    <s v="61323-91967-GG"/>
    <s v="Theo Jacobovitz"/>
    <s v="tjacobovitziz@cbc.ca"/>
    <s v="+1 (713) 642-2082"/>
    <s v="Houston"/>
    <s v="United States"/>
    <s v="No"/>
    <s v="L-D-0.5"/>
    <s v="Liberica"/>
    <s v="Dark"/>
    <n v="6"/>
    <n v="0.5"/>
    <n v="7.77"/>
    <n v="46.62"/>
    <n v="1.0101"/>
    <n v="6.0606"/>
    <n v="13"/>
  </r>
  <r>
    <s v="EZB-68383-559"/>
    <d v="2019-02-21T00:00:00"/>
    <s v="2019"/>
    <s v="February"/>
    <s v="90123-01967-KS"/>
    <s v="Becca Ableson"/>
    <s v="UNKNOWN"/>
    <s v="+1 (971) 254-5295"/>
    <s v="Portland"/>
    <s v="United States"/>
    <s v="No"/>
    <s v="R-L-1"/>
    <s v="Robusta"/>
    <s v="Light"/>
    <n v="6"/>
    <n v="1"/>
    <n v="11.95"/>
    <n v="71.699999999999989"/>
    <n v="0.71699999999999997"/>
    <n v="4.3019999999999996"/>
    <n v="6.0000000000000009"/>
  </r>
  <r>
    <s v="OVO-01283-090"/>
    <d v="2022-03-17T00:00:00"/>
    <s v="2022"/>
    <s v="March"/>
    <s v="15958-25089-OS"/>
    <s v="Jeno Druitt"/>
    <s v="jdruittj1@feedburner.com"/>
    <s v="+1 (650) 693-6904"/>
    <s v="Pasadena"/>
    <s v="United States"/>
    <s v="Yes"/>
    <s v="L-L-2.5"/>
    <s v="Liberica"/>
    <s v="Light"/>
    <n v="2"/>
    <n v="2.5"/>
    <n v="36.454999999999998"/>
    <n v="72.91"/>
    <n v="4.7391499999999995"/>
    <n v="9.4782999999999991"/>
    <n v="13"/>
  </r>
  <r>
    <s v="TXH-78646-919"/>
    <d v="2021-05-14T00:00:00"/>
    <s v="2021"/>
    <s v="May"/>
    <s v="98430-37820-UV"/>
    <s v="Deonne Shortall"/>
    <s v="dshortallj2@wikipedia.org"/>
    <s v="+1 (714) 917-8665"/>
    <s v="Santa Ana"/>
    <s v="United States"/>
    <s v="Yes"/>
    <s v="R-D-0.2"/>
    <s v="Robusta"/>
    <s v="Dark"/>
    <n v="3"/>
    <n v="0.2"/>
    <n v="2.6849999999999996"/>
    <n v="8.0549999999999997"/>
    <n v="0.16109999999999997"/>
    <n v="0.4832999999999999"/>
    <n v="5.9999999999999991"/>
  </r>
  <r>
    <s v="CYZ-37122-164"/>
    <d v="2019-01-06T00:00:00"/>
    <s v="2019"/>
    <s v="January"/>
    <s v="21798-04171-XC"/>
    <s v="Wilton Cottier"/>
    <s v="wcottierj3@cafepress.com"/>
    <s v="+1 (408) 261-7902"/>
    <s v="San Jose"/>
    <s v="United States"/>
    <s v="No"/>
    <s v="E-M-0.5"/>
    <s v="Excelsa"/>
    <s v="Medium"/>
    <n v="2"/>
    <n v="0.5"/>
    <n v="8.25"/>
    <n v="16.5"/>
    <n v="0.90749999999999997"/>
    <n v="1.8149999999999999"/>
    <n v="11"/>
  </r>
  <r>
    <s v="AGQ-06534-750"/>
    <d v="2019-04-24T00:00:00"/>
    <s v="2019"/>
    <s v="April"/>
    <s v="52798-46508-HP"/>
    <s v="Kevan Grinsted"/>
    <s v="kgrinstedj4@google.com.br"/>
    <s v="+353 (773) 225-6216"/>
    <s v="Tallaght"/>
    <s v="Ireland"/>
    <s v="No"/>
    <s v="A-L-1"/>
    <s v="Arabica"/>
    <s v="Light"/>
    <n v="5"/>
    <n v="1"/>
    <n v="12.95"/>
    <n v="64.75"/>
    <n v="1.1655"/>
    <n v="5.8274999999999997"/>
    <n v="9"/>
  </r>
  <r>
    <s v="QVL-32245-818"/>
    <d v="2021-05-30T00:00:00"/>
    <s v="2021"/>
    <s v="May"/>
    <s v="46478-42970-EM"/>
    <s v="Dionne Skyner"/>
    <s v="dskynerj5@hubpages.com"/>
    <s v="+1 (719) 937-4913"/>
    <s v="Colorado Springs"/>
    <s v="United States"/>
    <s v="No"/>
    <s v="A-M-0.5"/>
    <s v="Arabica"/>
    <s v="Medium"/>
    <n v="5"/>
    <n v="0.5"/>
    <n v="6.75"/>
    <n v="33.75"/>
    <n v="0.60749999999999993"/>
    <n v="3.0374999999999996"/>
    <n v="8.9999999999999982"/>
  </r>
  <r>
    <s v="LTD-96842-834"/>
    <d v="2022-07-12T00:00:00"/>
    <s v="2022"/>
    <s v="July"/>
    <s v="00246-15080-LE"/>
    <s v="Francesco Dressel"/>
    <s v="UNKNOWN"/>
    <s v="UNKNOWN"/>
    <s v="Toledo"/>
    <s v="United States"/>
    <s v="No"/>
    <s v="L-D-2.5"/>
    <s v="Liberica"/>
    <s v="Dark"/>
    <n v="6"/>
    <n v="2.5"/>
    <n v="29.784999999999997"/>
    <n v="178.70999999999998"/>
    <n v="3.8720499999999998"/>
    <n v="23.232299999999999"/>
    <n v="13"/>
  </r>
  <r>
    <s v="SEC-91807-425"/>
    <d v="2021-01-31T00:00:00"/>
    <s v="2021"/>
    <s v="January"/>
    <s v="94091-86957-HX"/>
    <s v="Jimmy Dymoke"/>
    <s v="jdymokeje@prnewswire.com"/>
    <s v="+353 (390) 459-9269"/>
    <s v="Beaumont"/>
    <s v="Ireland"/>
    <s v="No"/>
    <s v="A-M-1"/>
    <s v="Arabica"/>
    <s v="Medium"/>
    <n v="2"/>
    <n v="1"/>
    <n v="11.25"/>
    <n v="22.5"/>
    <n v="1.0125"/>
    <n v="2.0249999999999999"/>
    <n v="9"/>
  </r>
  <r>
    <s v="MHM-44857-599"/>
    <d v="2019-09-12T00:00:00"/>
    <s v="2019"/>
    <s v="September"/>
    <s v="26295-44907-DK"/>
    <s v="Ambrosio Weinmann"/>
    <s v="aweinmannj8@shinystat.com"/>
    <s v="+1 (513) 966-3308"/>
    <s v="Cincinnati"/>
    <s v="United States"/>
    <s v="No"/>
    <s v="L-D-1"/>
    <s v="Liberica"/>
    <s v="Dark"/>
    <n v="1"/>
    <n v="1"/>
    <n v="12.95"/>
    <n v="12.95"/>
    <n v="1.6835"/>
    <n v="1.6835"/>
    <n v="13"/>
  </r>
  <r>
    <s v="KGC-95046-911"/>
    <d v="2020-06-30T00:00:00"/>
    <s v="2020"/>
    <s v="June"/>
    <s v="95351-96177-QV"/>
    <s v="Elden Andriessen"/>
    <s v="eandriessenj9@europa.eu"/>
    <s v="+1 (314) 307-5250"/>
    <s v="Saint Louis"/>
    <s v="United States"/>
    <s v="Yes"/>
    <s v="A-M-2.5"/>
    <s v="Arabica"/>
    <s v="Medium"/>
    <n v="2"/>
    <n v="2.5"/>
    <n v="25.874999999999996"/>
    <n v="51.749999999999993"/>
    <n v="2.3287499999999994"/>
    <n v="4.6574999999999989"/>
    <n v="9"/>
  </r>
  <r>
    <s v="RZC-75150-413"/>
    <d v="2020-03-25T00:00:00"/>
    <s v="2020"/>
    <s v="March"/>
    <s v="92204-96636-BS"/>
    <s v="Roxie Deaconson"/>
    <s v="rdeaconsonja@archive.org"/>
    <s v="+1 (914) 524-1161"/>
    <s v="Yonkers"/>
    <s v="United States"/>
    <s v="No"/>
    <s v="E-D-0.5"/>
    <s v="Excelsa"/>
    <s v="Dark"/>
    <n v="5"/>
    <n v="0.5"/>
    <n v="7.29"/>
    <n v="36.450000000000003"/>
    <n v="0.80190000000000006"/>
    <n v="4.0095000000000001"/>
    <n v="10.999999999999998"/>
  </r>
  <r>
    <s v="EYH-88288-452"/>
    <d v="2021-04-14T00:00:00"/>
    <s v="2021"/>
    <s v="April"/>
    <s v="03010-30348-UA"/>
    <s v="Davida Caro"/>
    <s v="dcarojb@twitter.com"/>
    <s v="+1 (410) 594-3041"/>
    <s v="Baltimore"/>
    <s v="United States"/>
    <s v="Yes"/>
    <s v="L-L-2.5"/>
    <s v="Liberica"/>
    <s v="Light"/>
    <n v="5"/>
    <n v="2.5"/>
    <n v="36.454999999999998"/>
    <n v="182.27499999999998"/>
    <n v="4.7391499999999995"/>
    <n v="23.695749999999997"/>
    <n v="13"/>
  </r>
  <r>
    <s v="NYQ-24237-772"/>
    <d v="2019-08-16T00:00:00"/>
    <s v="2019"/>
    <s v="August"/>
    <s v="13441-34686-SW"/>
    <s v="Johna Bluck"/>
    <s v="jbluckjc@imageshack.us"/>
    <s v="+1 (904) 875-3139"/>
    <s v="Jacksonville"/>
    <s v="United States"/>
    <s v="No"/>
    <s v="L-D-0.5"/>
    <s v="Liberica"/>
    <s v="Dark"/>
    <n v="4"/>
    <n v="0.5"/>
    <n v="7.77"/>
    <n v="31.08"/>
    <n v="1.0101"/>
    <n v="4.0404"/>
    <n v="13"/>
  </r>
  <r>
    <s v="WKB-21680-566"/>
    <d v="2021-12-17T00:00:00"/>
    <s v="2021"/>
    <s v="December"/>
    <s v="96612-41722-VJ"/>
    <s v="Myrle Dearden"/>
    <s v="UNKNOWN"/>
    <s v="UNKNOWN"/>
    <s v="Bayside"/>
    <s v="Ireland"/>
    <s v="No"/>
    <s v="A-M-0.5"/>
    <s v="Arabica"/>
    <s v="Medium"/>
    <n v="3"/>
    <n v="0.5"/>
    <n v="6.75"/>
    <n v="20.25"/>
    <n v="0.60749999999999993"/>
    <n v="1.8224999999999998"/>
    <n v="8.9999999999999982"/>
  </r>
  <r>
    <s v="THE-61147-027"/>
    <d v="2019-12-31T00:00:00"/>
    <s v="2019"/>
    <s v="December"/>
    <s v="94091-86957-HX"/>
    <s v="Jimmy Dymoke"/>
    <s v="jdymokeje@prnewswire.com"/>
    <s v="+353 (390) 459-9269"/>
    <s v="Beaumont"/>
    <s v="Ireland"/>
    <s v="No"/>
    <s v="L-D-1"/>
    <s v="Liberica"/>
    <s v="Dark"/>
    <n v="2"/>
    <n v="1"/>
    <n v="12.95"/>
    <n v="25.9"/>
    <n v="1.6835"/>
    <n v="3.367"/>
    <n v="13"/>
  </r>
  <r>
    <s v="PTY-86420-119"/>
    <d v="2021-04-12T00:00:00"/>
    <s v="2021"/>
    <s v="April"/>
    <s v="25504-41681-WA"/>
    <s v="Orland Tadman"/>
    <s v="otadmanjf@ft.com"/>
    <s v="+1 (305) 205-3682"/>
    <s v="Miami"/>
    <s v="United States"/>
    <s v="Yes"/>
    <s v="A-D-0.5"/>
    <s v="Arabica"/>
    <s v="Dark"/>
    <n v="4"/>
    <n v="0.5"/>
    <n v="5.97"/>
    <n v="23.88"/>
    <n v="0.5373"/>
    <n v="2.1492"/>
    <n v="9.0000000000000018"/>
  </r>
  <r>
    <s v="QHL-27188-431"/>
    <d v="2019-09-28T00:00:00"/>
    <s v="2019"/>
    <s v="September"/>
    <s v="75443-07820-DZ"/>
    <s v="Barrett Gudde"/>
    <s v="bguddejg@dailymotion.com"/>
    <s v="UNKNOWN"/>
    <s v="San Francisco"/>
    <s v="United States"/>
    <s v="No"/>
    <s v="L-L-0.5"/>
    <s v="Liberica"/>
    <s v="Light"/>
    <n v="2"/>
    <n v="0.5"/>
    <n v="9.51"/>
    <n v="19.02"/>
    <n v="1.2363"/>
    <n v="2.4725999999999999"/>
    <n v="13"/>
  </r>
  <r>
    <s v="MIS-54381-047"/>
    <d v="2022-06-15T00:00:00"/>
    <s v="2022"/>
    <s v="June"/>
    <s v="39276-95489-XV"/>
    <s v="Nathan Sictornes"/>
    <s v="nsictornesjh@buzzfeed.com"/>
    <s v="+353 (410) 713-0145"/>
    <s v="Sandyford"/>
    <s v="Ireland"/>
    <s v="Yes"/>
    <s v="A-D-0.5"/>
    <s v="Arabica"/>
    <s v="Dark"/>
    <n v="5"/>
    <n v="0.5"/>
    <n v="5.97"/>
    <n v="29.849999999999998"/>
    <n v="0.5373"/>
    <n v="2.6865000000000001"/>
    <n v="9.0000000000000018"/>
  </r>
  <r>
    <s v="TBB-29780-459"/>
    <d v="2019-07-15T00:00:00"/>
    <s v="2019"/>
    <s v="July"/>
    <s v="61437-83623-PZ"/>
    <s v="Vivyan Dunning"/>
    <s v="vdunningji@independent.co.uk"/>
    <s v="UNKNOWN"/>
    <s v="Punta Gorda"/>
    <s v="United States"/>
    <s v="Yes"/>
    <s v="A-L-0.5"/>
    <s v="Arabica"/>
    <s v="Light"/>
    <n v="1"/>
    <n v="0.5"/>
    <n v="7.77"/>
    <n v="7.77"/>
    <n v="0.69929999999999992"/>
    <n v="0.69929999999999992"/>
    <n v="9"/>
  </r>
  <r>
    <s v="QLC-52637-305"/>
    <d v="2019-02-10T00:00:00"/>
    <s v="2019"/>
    <s v="February"/>
    <s v="34317-87258-HQ"/>
    <s v="Doralin Baison"/>
    <s v="UNKNOWN"/>
    <s v="+353 (214) 406-4884"/>
    <s v="Ballivor"/>
    <s v="Ireland"/>
    <s v="Yes"/>
    <s v="L-D-2.5"/>
    <s v="Liberica"/>
    <s v="Dark"/>
    <n v="4"/>
    <n v="2.5"/>
    <n v="29.784999999999997"/>
    <n v="119.13999999999999"/>
    <n v="3.8720499999999998"/>
    <n v="15.488199999999999"/>
    <n v="13"/>
  </r>
  <r>
    <s v="CWT-27056-328"/>
    <d v="2022-06-04T00:00:00"/>
    <s v="2022"/>
    <s v="June"/>
    <s v="18570-80998-ZS"/>
    <s v="Josefina Ferens"/>
    <s v="UNKNOWN"/>
    <s v="+1 (212) 163-1916"/>
    <s v="New York City"/>
    <s v="United States"/>
    <s v="Yes"/>
    <s v="E-D-0.2"/>
    <s v="Excelsa"/>
    <s v="Dark"/>
    <n v="6"/>
    <n v="0.2"/>
    <n v="3.645"/>
    <n v="21.87"/>
    <n v="0.40095000000000003"/>
    <n v="2.4057000000000004"/>
    <n v="11.000000000000002"/>
  </r>
  <r>
    <s v="ASS-05878-128"/>
    <d v="2020-10-10T00:00:00"/>
    <s v="2020"/>
    <s v="October"/>
    <s v="66580-33745-OQ"/>
    <s v="Shelley Gehring"/>
    <s v="sgehringjl@gnu.org"/>
    <s v="+1 (864) 940-7075"/>
    <s v="Spartanburg"/>
    <s v="United States"/>
    <s v="No"/>
    <s v="E-L-0.5"/>
    <s v="Excelsa"/>
    <s v="Light"/>
    <n v="2"/>
    <n v="0.5"/>
    <n v="8.91"/>
    <n v="17.82"/>
    <n v="0.98009999999999997"/>
    <n v="1.9601999999999999"/>
    <n v="11"/>
  </r>
  <r>
    <s v="EGK-03027-418"/>
    <d v="2021-06-06T00:00:00"/>
    <s v="2021"/>
    <s v="June"/>
    <s v="19820-29285-FD"/>
    <s v="Barrie Fallowes"/>
    <s v="bfallowesjm@purevolume.com"/>
    <s v="+1 (805) 975-3527"/>
    <s v="Bakersfield"/>
    <s v="United States"/>
    <s v="No"/>
    <s v="E-M-0.2"/>
    <s v="Excelsa"/>
    <s v="Medium"/>
    <n v="3"/>
    <n v="0.2"/>
    <n v="4.125"/>
    <n v="12.375"/>
    <n v="0.45374999999999999"/>
    <n v="1.3612500000000001"/>
    <n v="11"/>
  </r>
  <r>
    <s v="KCY-61732-849"/>
    <d v="2019-03-16T00:00:00"/>
    <s v="2019"/>
    <s v="March"/>
    <s v="11349-55147-SN"/>
    <s v="Nicolas Aiton"/>
    <s v="UNKNOWN"/>
    <s v="+353 (861) 791-0313"/>
    <s v="Dungarvan"/>
    <s v="Ireland"/>
    <s v="No"/>
    <s v="L-D-1"/>
    <s v="Liberica"/>
    <s v="Dark"/>
    <n v="2"/>
    <n v="1"/>
    <n v="12.95"/>
    <n v="25.9"/>
    <n v="1.6835"/>
    <n v="3.367"/>
    <n v="13"/>
  </r>
  <r>
    <s v="BLI-21697-702"/>
    <d v="2019-12-05T00:00:00"/>
    <s v="2019"/>
    <s v="December"/>
    <s v="21141-12455-VB"/>
    <s v="Shelli De Banke"/>
    <s v="sdejo@newsvine.com"/>
    <s v="+1 (314) 496-2561"/>
    <s v="Saint Louis"/>
    <s v="United States"/>
    <s v="Yes"/>
    <s v="A-M-0.5"/>
    <s v="Arabica"/>
    <s v="Medium"/>
    <n v="2"/>
    <n v="0.5"/>
    <n v="6.75"/>
    <n v="13.5"/>
    <n v="0.60749999999999993"/>
    <n v="1.2149999999999999"/>
    <n v="8.9999999999999982"/>
  </r>
  <r>
    <s v="KFJ-46568-890"/>
    <d v="2019-01-20T00:00:00"/>
    <s v="2019"/>
    <s v="January"/>
    <s v="71003-85639-HB"/>
    <s v="Lyell Murch"/>
    <s v="UNKNOWN"/>
    <s v="+1 (260) 280-7251"/>
    <s v="Fort Wayne"/>
    <s v="United States"/>
    <s v="Yes"/>
    <s v="E-L-0.5"/>
    <s v="Excelsa"/>
    <s v="Light"/>
    <n v="2"/>
    <n v="0.5"/>
    <n v="8.91"/>
    <n v="17.82"/>
    <n v="0.98009999999999997"/>
    <n v="1.9601999999999999"/>
    <n v="11"/>
  </r>
  <r>
    <s v="SOK-43535-680"/>
    <d v="2022-04-04T00:00:00"/>
    <s v="2022"/>
    <s v="April"/>
    <s v="58443-95866-YO"/>
    <s v="Stearne Count"/>
    <s v="scountjq@nba.com"/>
    <s v="+1 (952) 721-7276"/>
    <s v="Young America"/>
    <s v="United States"/>
    <s v="No"/>
    <s v="E-M-0.5"/>
    <s v="Excelsa"/>
    <s v="Medium"/>
    <n v="3"/>
    <n v="0.5"/>
    <n v="8.25"/>
    <n v="24.75"/>
    <n v="0.90749999999999997"/>
    <n v="2.7225000000000001"/>
    <n v="11"/>
  </r>
  <r>
    <s v="XUE-87260-201"/>
    <d v="2022-02-08T00:00:00"/>
    <s v="2022"/>
    <s v="February"/>
    <s v="89646-21249-OH"/>
    <s v="Selia Ragles"/>
    <s v="sraglesjr@blogtalkradio.com"/>
    <s v="+1 (479) 494-1369"/>
    <s v="Fort Smith"/>
    <s v="United States"/>
    <s v="No"/>
    <s v="R-M-0.2"/>
    <s v="Robusta"/>
    <s v="Medium"/>
    <n v="6"/>
    <n v="0.2"/>
    <n v="2.9849999999999999"/>
    <n v="17.91"/>
    <n v="0.17909999999999998"/>
    <n v="1.0745999999999998"/>
    <n v="5.9999999999999982"/>
  </r>
  <r>
    <s v="CZF-40873-691"/>
    <d v="2019-06-30T00:00:00"/>
    <s v="2019"/>
    <s v="June"/>
    <s v="64988-20636-XQ"/>
    <s v="Silas Deehan"/>
    <s v="UNKNOWN"/>
    <s v="UNKNOWN"/>
    <s v="Charlton"/>
    <s v="United Kingdom"/>
    <s v="No"/>
    <s v="E-M-0.5"/>
    <s v="Excelsa"/>
    <s v="Medium"/>
    <n v="2"/>
    <n v="0.5"/>
    <n v="8.25"/>
    <n v="16.5"/>
    <n v="0.90749999999999997"/>
    <n v="1.8149999999999999"/>
    <n v="11"/>
  </r>
  <r>
    <s v="AIA-98989-755"/>
    <d v="2020-05-09T00:00:00"/>
    <s v="2020"/>
    <s v="May"/>
    <s v="34704-83143-KS"/>
    <s v="Sacha Bruun"/>
    <s v="sbruunjt@blogtalkradio.com"/>
    <s v="+1 (209) 784-1969"/>
    <s v="Stockton"/>
    <s v="United States"/>
    <s v="No"/>
    <s v="R-M-0.2"/>
    <s v="Robusta"/>
    <s v="Medium"/>
    <n v="1"/>
    <n v="0.2"/>
    <n v="2.9849999999999999"/>
    <n v="2.9849999999999999"/>
    <n v="0.17909999999999998"/>
    <n v="0.17909999999999998"/>
    <n v="6"/>
  </r>
  <r>
    <s v="ITZ-21793-986"/>
    <d v="2021-06-11T00:00:00"/>
    <s v="2021"/>
    <s v="June"/>
    <s v="67388-17544-XX"/>
    <s v="Alon Pllu"/>
    <s v="aplluju@dagondesign.com"/>
    <s v="+353 (915) 742-6707"/>
    <s v="Navan"/>
    <s v="Ireland"/>
    <s v="Yes"/>
    <s v="E-D-0.2"/>
    <s v="Excelsa"/>
    <s v="Dark"/>
    <n v="4"/>
    <n v="0.2"/>
    <n v="3.645"/>
    <n v="14.58"/>
    <n v="0.40095000000000003"/>
    <n v="1.6038000000000001"/>
    <n v="11"/>
  </r>
  <r>
    <s v="YOK-93322-608"/>
    <d v="2021-11-04T00:00:00"/>
    <s v="2021"/>
    <s v="November"/>
    <s v="69411-48470-ID"/>
    <s v="Gilberto Cornier"/>
    <s v="gcornierjv@techcrunch.com"/>
    <s v="UNKNOWN"/>
    <s v="Tampa"/>
    <s v="United States"/>
    <s v="No"/>
    <s v="E-L-1"/>
    <s v="Excelsa"/>
    <s v="Light"/>
    <n v="6"/>
    <n v="1"/>
    <n v="14.85"/>
    <n v="89.1"/>
    <n v="1.6335"/>
    <n v="9.8010000000000002"/>
    <n v="11.000000000000002"/>
  </r>
  <r>
    <s v="LXK-00634-611"/>
    <d v="2022-02-20T00:00:00"/>
    <s v="2022"/>
    <s v="February"/>
    <s v="94091-86957-HX"/>
    <s v="Jimmy Dymoke"/>
    <s v="jdymokeje@prnewswire.com"/>
    <s v="+353 (390) 459-9269"/>
    <s v="Beaumont"/>
    <s v="Ireland"/>
    <s v="No"/>
    <s v="R-L-1"/>
    <s v="Robusta"/>
    <s v="Light"/>
    <n v="3"/>
    <n v="1"/>
    <n v="11.95"/>
    <n v="35.849999999999994"/>
    <n v="0.71699999999999997"/>
    <n v="2.1509999999999998"/>
    <n v="6.0000000000000009"/>
  </r>
  <r>
    <s v="CQW-37388-302"/>
    <d v="2019-07-03T00:00:00"/>
    <s v="2019"/>
    <s v="July"/>
    <s v="97741-98924-KT"/>
    <s v="Willabella Harvison"/>
    <s v="wharvisonjx@gizmodo.com"/>
    <s v="+1 (610) 316-8430"/>
    <s v="Philadelphia"/>
    <s v="United States"/>
    <s v="No"/>
    <s v="A-D-2.5"/>
    <s v="Arabica"/>
    <s v="Dark"/>
    <n v="3"/>
    <n v="2.5"/>
    <n v="22.884999999999998"/>
    <n v="68.655000000000001"/>
    <n v="2.0596499999999995"/>
    <n v="6.1789499999999986"/>
    <n v="8.9999999999999982"/>
  </r>
  <r>
    <s v="SPA-79365-334"/>
    <d v="2021-06-01T00:00:00"/>
    <s v="2021"/>
    <s v="June"/>
    <s v="79857-78167-KO"/>
    <s v="Darice Heaford"/>
    <s v="dheafordjy@twitpic.com"/>
    <s v="+1 (325) 537-8835"/>
    <s v="San Angelo"/>
    <s v="United States"/>
    <s v="No"/>
    <s v="L-D-1"/>
    <s v="Liberica"/>
    <s v="Dark"/>
    <n v="3"/>
    <n v="1"/>
    <n v="12.95"/>
    <n v="38.849999999999994"/>
    <n v="1.6835"/>
    <n v="5.0504999999999995"/>
    <n v="13"/>
  </r>
  <r>
    <s v="VPX-08817-517"/>
    <d v="2020-11-15T00:00:00"/>
    <s v="2020"/>
    <s v="November"/>
    <s v="46963-10322-ZA"/>
    <s v="Granger Fantham"/>
    <s v="gfanthamjz@hexun.com"/>
    <s v="+1 (323) 878-8818"/>
    <s v="Los Angeles"/>
    <s v="United States"/>
    <s v="Yes"/>
    <s v="L-L-1"/>
    <s v="Liberica"/>
    <s v="Light"/>
    <n v="5"/>
    <n v="1"/>
    <n v="15.85"/>
    <n v="79.25"/>
    <n v="2.0605000000000002"/>
    <n v="10.302500000000002"/>
    <n v="13.000000000000004"/>
  </r>
  <r>
    <s v="PBP-87115-410"/>
    <d v="2021-01-19T00:00:00"/>
    <s v="2021"/>
    <s v="January"/>
    <s v="93812-74772-MV"/>
    <s v="Reynolds Crookshanks"/>
    <s v="rcrookshanksk0@unc.edu"/>
    <s v="+1 (517) 654-6004"/>
    <s v="Lansing"/>
    <s v="United States"/>
    <s v="Yes"/>
    <s v="E-D-0.5"/>
    <s v="Excelsa"/>
    <s v="Dark"/>
    <n v="5"/>
    <n v="0.5"/>
    <n v="7.29"/>
    <n v="36.450000000000003"/>
    <n v="0.80190000000000006"/>
    <n v="4.0095000000000001"/>
    <n v="10.999999999999998"/>
  </r>
  <r>
    <s v="SFB-93752-440"/>
    <d v="2021-10-10T00:00:00"/>
    <s v="2021"/>
    <s v="October"/>
    <s v="48203-23480-UB"/>
    <s v="Niels Leake"/>
    <s v="nleakek1@cmu.edu"/>
    <s v="+1 (786) 470-1233"/>
    <s v="Clearwater"/>
    <s v="United States"/>
    <s v="Yes"/>
    <s v="R-M-0.2"/>
    <s v="Robusta"/>
    <s v="Medium"/>
    <n v="3"/>
    <n v="0.2"/>
    <n v="2.9849999999999999"/>
    <n v="8.9550000000000001"/>
    <n v="0.17909999999999998"/>
    <n v="0.53729999999999989"/>
    <n v="5.9999999999999982"/>
  </r>
  <r>
    <s v="TBU-65158-068"/>
    <d v="2022-02-28T00:00:00"/>
    <s v="2022"/>
    <s v="February"/>
    <s v="60357-65386-RD"/>
    <s v="Hetti Measures"/>
    <s v="UNKNOWN"/>
    <s v="+1 (562) 343-9707"/>
    <s v="Whittier"/>
    <s v="United States"/>
    <s v="No"/>
    <s v="E-D-1"/>
    <s v="Excelsa"/>
    <s v="Dark"/>
    <n v="2"/>
    <n v="1"/>
    <n v="12.15"/>
    <n v="24.3"/>
    <n v="1.3365"/>
    <n v="2.673"/>
    <n v="11"/>
  </r>
  <r>
    <s v="TEH-08414-216"/>
    <d v="2021-10-01T00:00:00"/>
    <s v="2021"/>
    <s v="October"/>
    <s v="35099-13971-JI"/>
    <s v="Gay Eilhersen"/>
    <s v="geilhersenk3@networksolutions.com"/>
    <s v="+1 (559) 791-5117"/>
    <s v="Fresno"/>
    <s v="United States"/>
    <s v="No"/>
    <s v="E-M-2.5"/>
    <s v="Excelsa"/>
    <s v="Medium"/>
    <n v="2"/>
    <n v="2.5"/>
    <n v="31.624999999999996"/>
    <n v="63.249999999999993"/>
    <n v="3.4787499999999998"/>
    <n v="6.9574999999999996"/>
    <n v="11"/>
  </r>
  <r>
    <s v="MAY-77231-536"/>
    <d v="2020-09-02T00:00:00"/>
    <s v="2020"/>
    <s v="September"/>
    <s v="01304-59807-OB"/>
    <s v="Nico Hubert"/>
    <s v="UNKNOWN"/>
    <s v="+1 (646) 228-3492"/>
    <s v="New York City"/>
    <s v="United States"/>
    <s v="Yes"/>
    <s v="A-M-0.2"/>
    <s v="Arabica"/>
    <s v="Medium"/>
    <n v="2"/>
    <n v="0.2"/>
    <n v="3.375"/>
    <n v="6.75"/>
    <n v="0.30374999999999996"/>
    <n v="0.60749999999999993"/>
    <n v="8.9999999999999982"/>
  </r>
  <r>
    <s v="ATY-28980-884"/>
    <d v="2020-07-31T00:00:00"/>
    <s v="2020"/>
    <s v="July"/>
    <s v="50705-17295-NK"/>
    <s v="Cristina Aleixo"/>
    <s v="caleixok5@globo.com"/>
    <s v="+1 (719) 241-4639"/>
    <s v="Colorado Springs"/>
    <s v="United States"/>
    <s v="No"/>
    <s v="A-L-0.2"/>
    <s v="Arabica"/>
    <s v="Light"/>
    <n v="6"/>
    <n v="0.2"/>
    <n v="3.8849999999999998"/>
    <n v="23.31"/>
    <n v="0.34964999999999996"/>
    <n v="2.0978999999999997"/>
    <n v="9"/>
  </r>
  <r>
    <s v="SWP-88281-918"/>
    <d v="2022-01-10T00:00:00"/>
    <s v="2022"/>
    <s v="January"/>
    <s v="77657-61366-FY"/>
    <s v="Derrek Allpress"/>
    <s v="UNKNOWN"/>
    <s v="+1 (562) 723-4457"/>
    <s v="Long Beach"/>
    <s v="United States"/>
    <s v="No"/>
    <s v="L-L-2.5"/>
    <s v="Liberica"/>
    <s v="Light"/>
    <n v="4"/>
    <n v="2.5"/>
    <n v="36.454999999999998"/>
    <n v="145.82"/>
    <n v="4.7391499999999995"/>
    <n v="18.956599999999998"/>
    <n v="13"/>
  </r>
  <r>
    <s v="VCE-56531-986"/>
    <d v="2021-03-09T00:00:00"/>
    <s v="2021"/>
    <s v="March"/>
    <s v="57192-13428-PL"/>
    <s v="Rikki Tomkowicz"/>
    <s v="rtomkowiczk7@bravesites.com"/>
    <s v="+353 (849) 645-1593"/>
    <s v="Lusk"/>
    <s v="Ireland"/>
    <s v="Yes"/>
    <s v="R-M-0.5"/>
    <s v="Robusta"/>
    <s v="Medium"/>
    <n v="5"/>
    <n v="0.5"/>
    <n v="5.97"/>
    <n v="29.849999999999998"/>
    <n v="0.35819999999999996"/>
    <n v="1.7909999999999999"/>
    <n v="6.0000000000000009"/>
  </r>
  <r>
    <s v="FVV-75700-005"/>
    <d v="2020-11-20T00:00:00"/>
    <s v="2020"/>
    <s v="November"/>
    <s v="24891-77957-LU"/>
    <s v="Rochette Huscroft"/>
    <s v="rhuscroftk8@jimdo.com"/>
    <s v="+1 (775) 223-5044"/>
    <s v="Reno"/>
    <s v="United States"/>
    <s v="Yes"/>
    <s v="E-D-0.5"/>
    <s v="Excelsa"/>
    <s v="Dark"/>
    <n v="3"/>
    <n v="0.5"/>
    <n v="7.29"/>
    <n v="21.87"/>
    <n v="0.80190000000000006"/>
    <n v="2.4057000000000004"/>
    <n v="11.000000000000002"/>
  </r>
  <r>
    <s v="CFZ-53492-600"/>
    <d v="2022-03-14T00:00:00"/>
    <s v="2022"/>
    <s v="March"/>
    <s v="64896-18468-BT"/>
    <s v="Selle Scurrer"/>
    <s v="sscurrerk9@flavors.me"/>
    <s v="+44 (520) 402-1303"/>
    <s v="Upton"/>
    <s v="United Kingdom"/>
    <s v="No"/>
    <s v="L-M-0.2"/>
    <s v="Liberica"/>
    <s v="Medium"/>
    <n v="1"/>
    <n v="0.2"/>
    <n v="4.3650000000000002"/>
    <n v="4.3650000000000002"/>
    <n v="0.56745000000000001"/>
    <n v="0.56745000000000001"/>
    <n v="13"/>
  </r>
  <r>
    <s v="LDK-71031-121"/>
    <d v="2019-01-10T00:00:00"/>
    <s v="2019"/>
    <s v="January"/>
    <s v="84761-40784-SV"/>
    <s v="Andie Rudram"/>
    <s v="arudramka@prnewswire.com"/>
    <s v="+1 (702) 333-7442"/>
    <s v="Las Vegas"/>
    <s v="United States"/>
    <s v="No"/>
    <s v="L-L-2.5"/>
    <s v="Liberica"/>
    <s v="Light"/>
    <n v="1"/>
    <n v="2.5"/>
    <n v="36.454999999999998"/>
    <n v="36.454999999999998"/>
    <n v="4.7391499999999995"/>
    <n v="4.7391499999999995"/>
    <n v="13"/>
  </r>
  <r>
    <s v="EBA-82404-343"/>
    <d v="2021-01-26T00:00:00"/>
    <s v="2021"/>
    <s v="January"/>
    <s v="20236-42322-CM"/>
    <s v="Leta Clarricoates"/>
    <s v="UNKNOWN"/>
    <s v="+1 (302) 620-1205"/>
    <s v="Wilmington"/>
    <s v="United States"/>
    <s v="Yes"/>
    <s v="L-D-0.2"/>
    <s v="Liberica"/>
    <s v="Dark"/>
    <n v="4"/>
    <n v="0.2"/>
    <n v="3.8849999999999998"/>
    <n v="15.54"/>
    <n v="0.50505"/>
    <n v="2.0202"/>
    <n v="13"/>
  </r>
  <r>
    <s v="USA-42811-560"/>
    <d v="2021-04-26T00:00:00"/>
    <s v="2021"/>
    <s v="April"/>
    <s v="49671-11547-WG"/>
    <s v="Jacquelyn Maha"/>
    <s v="jmahakc@cyberchimps.com"/>
    <s v="+1 (702) 238-8287"/>
    <s v="Reno"/>
    <s v="United States"/>
    <s v="No"/>
    <s v="E-L-0.2"/>
    <s v="Excelsa"/>
    <s v="Light"/>
    <n v="2"/>
    <n v="0.2"/>
    <n v="4.4550000000000001"/>
    <n v="8.91"/>
    <n v="0.49004999999999999"/>
    <n v="0.98009999999999997"/>
    <n v="11"/>
  </r>
  <r>
    <s v="SNL-83703-516"/>
    <d v="2022-01-04T00:00:00"/>
    <s v="2022"/>
    <s v="January"/>
    <s v="57976-33535-WK"/>
    <s v="Glory Clemon"/>
    <s v="gclemonkd@networksolutions.com"/>
    <s v="+1 (205) 681-2376"/>
    <s v="Tuscaloosa"/>
    <s v="United States"/>
    <s v="Yes"/>
    <s v="L-M-2.5"/>
    <s v="Liberica"/>
    <s v="Medium"/>
    <n v="3"/>
    <n v="2.5"/>
    <n v="33.464999999999996"/>
    <n v="100.39499999999998"/>
    <n v="4.3504499999999995"/>
    <n v="13.051349999999999"/>
    <n v="13"/>
  </r>
  <r>
    <s v="SUZ-83036-175"/>
    <d v="2019-08-20T00:00:00"/>
    <s v="2019"/>
    <s v="August"/>
    <s v="55915-19477-MK"/>
    <s v="Alica Kift"/>
    <s v="UNKNOWN"/>
    <s v="+1 (209) 133-9447"/>
    <s v="Garden Grove"/>
    <s v="United States"/>
    <s v="No"/>
    <s v="R-D-0.2"/>
    <s v="Robusta"/>
    <s v="Dark"/>
    <n v="5"/>
    <n v="0.2"/>
    <n v="2.6849999999999996"/>
    <n v="13.424999999999997"/>
    <n v="0.16109999999999997"/>
    <n v="0.80549999999999988"/>
    <n v="6.0000000000000009"/>
  </r>
  <r>
    <s v="RGM-01187-513"/>
    <d v="2022-07-15T00:00:00"/>
    <s v="2022"/>
    <s v="July"/>
    <s v="28121-11641-UA"/>
    <s v="Babb Pollins"/>
    <s v="bpollinskf@shinystat.com"/>
    <s v="UNKNOWN"/>
    <s v="Shawnee Mission"/>
    <s v="United States"/>
    <s v="No"/>
    <s v="E-D-0.2"/>
    <s v="Excelsa"/>
    <s v="Dark"/>
    <n v="6"/>
    <n v="0.2"/>
    <n v="3.645"/>
    <n v="21.87"/>
    <n v="0.40095000000000003"/>
    <n v="2.4057000000000004"/>
    <n v="11.000000000000002"/>
  </r>
  <r>
    <s v="CZG-01299-952"/>
    <d v="2019-02-12T00:00:00"/>
    <s v="2019"/>
    <s v="February"/>
    <s v="09540-70637-EV"/>
    <s v="Jarret Toye"/>
    <s v="jtoyekg@pinterest.com"/>
    <s v="+353 (587) 270-6561"/>
    <s v="Ballivor"/>
    <s v="Ireland"/>
    <s v="Yes"/>
    <s v="L-D-1"/>
    <s v="Liberica"/>
    <s v="Dark"/>
    <n v="2"/>
    <n v="1"/>
    <n v="12.95"/>
    <n v="25.9"/>
    <n v="1.6835"/>
    <n v="3.367"/>
    <n v="13"/>
  </r>
  <r>
    <s v="KLD-88731-484"/>
    <d v="2021-09-08T00:00:00"/>
    <s v="2021"/>
    <s v="September"/>
    <s v="17775-77072-PP"/>
    <s v="Carlie Linskill"/>
    <s v="clinskillkh@sphinn.com"/>
    <s v="+1 (513) 743-7556"/>
    <s v="Cincinnati"/>
    <s v="United States"/>
    <s v="No"/>
    <s v="A-M-1"/>
    <s v="Arabica"/>
    <s v="Medium"/>
    <n v="5"/>
    <n v="1"/>
    <n v="11.25"/>
    <n v="56.25"/>
    <n v="1.0125"/>
    <n v="5.0625"/>
    <n v="9"/>
  </r>
  <r>
    <s v="BQK-38412-229"/>
    <d v="2019-12-13T00:00:00"/>
    <s v="2019"/>
    <s v="December"/>
    <s v="90392-73338-BC"/>
    <s v="Natal Vigrass"/>
    <s v="nvigrasski@ezinearticles.com"/>
    <s v="+44 (336) 257-7415"/>
    <s v="Whitwell"/>
    <s v="United Kingdom"/>
    <s v="No"/>
    <s v="R-L-0.2"/>
    <s v="Robusta"/>
    <s v="Light"/>
    <n v="3"/>
    <n v="0.2"/>
    <n v="3.5849999999999995"/>
    <n v="10.754999999999999"/>
    <n v="0.21509999999999996"/>
    <n v="0.64529999999999987"/>
    <n v="5.9999999999999991"/>
  </r>
  <r>
    <s v="TCX-76953-071"/>
    <d v="2021-08-25T00:00:00"/>
    <s v="2021"/>
    <s v="August"/>
    <s v="94091-86957-HX"/>
    <s v="Jimmy Dymoke"/>
    <s v="jdymokeje@prnewswire.com"/>
    <s v="+353 (390) 459-9269"/>
    <s v="Beaumont"/>
    <s v="Ireland"/>
    <s v="No"/>
    <s v="E-D-0.2"/>
    <s v="Excelsa"/>
    <s v="Dark"/>
    <n v="5"/>
    <n v="0.2"/>
    <n v="3.645"/>
    <n v="18.225000000000001"/>
    <n v="0.40095000000000003"/>
    <n v="2.00475"/>
    <n v="10.999999999999998"/>
  </r>
  <r>
    <s v="LIN-88046-551"/>
    <d v="2022-03-23T00:00:00"/>
    <s v="2022"/>
    <s v="March"/>
    <s v="10725-45724-CO"/>
    <s v="Kandace Cragell"/>
    <s v="kcragellkk@google.com"/>
    <s v="+353 (458) 634-2269"/>
    <s v="Dungarvan"/>
    <s v="Ireland"/>
    <s v="No"/>
    <s v="R-L-0.5"/>
    <s v="Robusta"/>
    <s v="Light"/>
    <n v="4"/>
    <n v="0.5"/>
    <n v="7.169999999999999"/>
    <n v="28.679999999999996"/>
    <n v="0.43019999999999992"/>
    <n v="1.7207999999999997"/>
    <n v="6"/>
  </r>
  <r>
    <s v="PMV-54491-220"/>
    <d v="2019-04-11T00:00:00"/>
    <s v="2019"/>
    <s v="April"/>
    <s v="87242-18006-IR"/>
    <s v="Lyon Ibert"/>
    <s v="libertkl@huffingtonpost.com"/>
    <s v="+1 (408) 546-0790"/>
    <s v="Sunnyvale"/>
    <s v="United States"/>
    <s v="No"/>
    <s v="L-M-0.2"/>
    <s v="Liberica"/>
    <s v="Medium"/>
    <n v="2"/>
    <n v="0.2"/>
    <n v="4.3650000000000002"/>
    <n v="8.73"/>
    <n v="0.56745000000000001"/>
    <n v="1.1349"/>
    <n v="13"/>
  </r>
  <r>
    <s v="SKA-73676-005"/>
    <d v="2020-10-29T00:00:00"/>
    <s v="2020"/>
    <s v="October"/>
    <s v="36572-91896-PP"/>
    <s v="Reese Lidgey"/>
    <s v="rlidgeykm@vimeo.com"/>
    <s v="+1 (901) 276-4141"/>
    <s v="Memphis"/>
    <s v="United States"/>
    <s v="No"/>
    <s v="L-M-1"/>
    <s v="Liberica"/>
    <s v="Medium"/>
    <n v="4"/>
    <n v="1"/>
    <n v="14.55"/>
    <n v="58.2"/>
    <n v="1.8915000000000002"/>
    <n v="7.5660000000000007"/>
    <n v="13"/>
  </r>
  <r>
    <s v="TKH-62197-239"/>
    <d v="2020-07-30T00:00:00"/>
    <s v="2020"/>
    <s v="July"/>
    <s v="25181-97933-UX"/>
    <s v="Tersina Castagne"/>
    <s v="tcastagnekn@wikia.com"/>
    <s v="+1 (407) 154-6967"/>
    <s v="Orlando"/>
    <s v="United States"/>
    <s v="No"/>
    <s v="A-D-0.5"/>
    <s v="Arabica"/>
    <s v="Dark"/>
    <n v="3"/>
    <n v="0.5"/>
    <n v="5.97"/>
    <n v="17.91"/>
    <n v="0.5373"/>
    <n v="1.6118999999999999"/>
    <n v="9"/>
  </r>
  <r>
    <s v="YXF-57218-272"/>
    <d v="2019-03-15T00:00:00"/>
    <s v="2019"/>
    <s v="March"/>
    <s v="55374-03175-IA"/>
    <s v="Samuele Klaaassen"/>
    <s v="UNKNOWN"/>
    <s v="+1 (313) 436-2249"/>
    <s v="Detroit"/>
    <s v="United States"/>
    <s v="Yes"/>
    <s v="R-M-0.2"/>
    <s v="Robusta"/>
    <s v="Medium"/>
    <n v="6"/>
    <n v="0.2"/>
    <n v="2.9849999999999999"/>
    <n v="17.91"/>
    <n v="0.17909999999999998"/>
    <n v="1.0745999999999998"/>
    <n v="5.9999999999999982"/>
  </r>
  <r>
    <s v="PKJ-30083-501"/>
    <d v="2021-12-27T00:00:00"/>
    <s v="2021"/>
    <s v="December"/>
    <s v="76948-43532-JS"/>
    <s v="Jordana Halden"/>
    <s v="jhaldenkp@comcast.net"/>
    <s v="+353 (278) 873-4395"/>
    <s v="Clones"/>
    <s v="Ireland"/>
    <s v="No"/>
    <s v="E-D-0.5"/>
    <s v="Excelsa"/>
    <s v="Dark"/>
    <n v="2"/>
    <n v="0.5"/>
    <n v="7.29"/>
    <n v="14.58"/>
    <n v="0.80190000000000006"/>
    <n v="1.6038000000000001"/>
    <n v="11"/>
  </r>
  <r>
    <s v="WTT-91832-645"/>
    <d v="2019-10-03T00:00:00"/>
    <s v="2019"/>
    <s v="October"/>
    <s v="24344-88599-PP"/>
    <s v="Hussein Olliff"/>
    <s v="holliffkq@sciencedirect.com"/>
    <s v="+353 (203) 716-7239"/>
    <s v="Stradbally"/>
    <s v="Ireland"/>
    <s v="No"/>
    <s v="A-M-1"/>
    <s v="Arabica"/>
    <s v="Medium"/>
    <n v="3"/>
    <n v="1"/>
    <n v="11.25"/>
    <n v="33.75"/>
    <n v="1.0125"/>
    <n v="3.0374999999999996"/>
    <n v="8.9999999999999982"/>
  </r>
  <r>
    <s v="TRZ-94735-865"/>
    <d v="2019-02-05T00:00:00"/>
    <s v="2019"/>
    <s v="February"/>
    <s v="54462-58311-YF"/>
    <s v="Teddi Quadri"/>
    <s v="tquadrikr@opensource.org"/>
    <s v="+353 (789) 442-3189"/>
    <s v="Ballina"/>
    <s v="Ireland"/>
    <s v="Yes"/>
    <s v="L-M-0.5"/>
    <s v="Liberica"/>
    <s v="Medium"/>
    <n v="4"/>
    <n v="0.5"/>
    <n v="8.73"/>
    <n v="34.92"/>
    <n v="1.1349"/>
    <n v="4.5396000000000001"/>
    <n v="13"/>
  </r>
  <r>
    <s v="UDB-09651-780"/>
    <d v="2020-08-31T00:00:00"/>
    <s v="2020"/>
    <s v="August"/>
    <s v="90767-92589-LV"/>
    <s v="Felita Eshmade"/>
    <s v="feshmadeks@umn.edu"/>
    <s v="+1 (804) 531-4136"/>
    <s v="Richmond"/>
    <s v="United States"/>
    <s v="No"/>
    <s v="E-D-0.5"/>
    <s v="Excelsa"/>
    <s v="Dark"/>
    <n v="2"/>
    <n v="0.5"/>
    <n v="7.29"/>
    <n v="14.58"/>
    <n v="0.80190000000000006"/>
    <n v="1.6038000000000001"/>
    <n v="11"/>
  </r>
  <r>
    <s v="EHJ-82097-549"/>
    <d v="2021-01-13T00:00:00"/>
    <s v="2021"/>
    <s v="January"/>
    <s v="27517-43747-YD"/>
    <s v="Melodie OIlier"/>
    <s v="moilierkt@paginegialle.it"/>
    <s v="+353 (675) 503-7567"/>
    <s v="Glasnevin"/>
    <s v="Ireland"/>
    <s v="Yes"/>
    <s v="R-D-0.2"/>
    <s v="Robusta"/>
    <s v="Dark"/>
    <n v="2"/>
    <n v="0.2"/>
    <n v="2.6849999999999996"/>
    <n v="5.3699999999999992"/>
    <n v="0.16109999999999997"/>
    <n v="0.32219999999999993"/>
    <n v="6"/>
  </r>
  <r>
    <s v="ZFR-79447-696"/>
    <d v="2021-03-22T00:00:00"/>
    <s v="2021"/>
    <s v="March"/>
    <s v="77828-66867-KH"/>
    <s v="Hazel Iacopini"/>
    <s v="UNKNOWN"/>
    <s v="+1 (682) 246-6139"/>
    <s v="Fort Worth"/>
    <s v="United States"/>
    <s v="Yes"/>
    <s v="R-M-0.5"/>
    <s v="Robusta"/>
    <s v="Medium"/>
    <n v="1"/>
    <n v="0.5"/>
    <n v="5.97"/>
    <n v="5.97"/>
    <n v="0.35819999999999996"/>
    <n v="0.35819999999999996"/>
    <n v="6"/>
  </r>
  <r>
    <s v="NUU-03893-975"/>
    <d v="2020-01-17T00:00:00"/>
    <s v="2020"/>
    <s v="January"/>
    <s v="41054-59693-XE"/>
    <s v="Vinny Shoebotham"/>
    <s v="vshoebothamkv@redcross.org"/>
    <s v="+1 (212) 998-0802"/>
    <s v="Brooklyn"/>
    <s v="United States"/>
    <s v="No"/>
    <s v="L-L-0.5"/>
    <s v="Liberica"/>
    <s v="Light"/>
    <n v="2"/>
    <n v="0.5"/>
    <n v="9.51"/>
    <n v="19.02"/>
    <n v="1.2363"/>
    <n v="2.4725999999999999"/>
    <n v="13"/>
  </r>
  <r>
    <s v="GVG-59542-307"/>
    <d v="2019-07-02T00:00:00"/>
    <s v="2019"/>
    <s v="July"/>
    <s v="26314-66792-VP"/>
    <s v="Bran Sterke"/>
    <s v="bsterkekw@biblegateway.com"/>
    <s v="+1 (682) 617-0470"/>
    <s v="Fort Worth"/>
    <s v="United States"/>
    <s v="Yes"/>
    <s v="E-M-1"/>
    <s v="Excelsa"/>
    <s v="Medium"/>
    <n v="2"/>
    <n v="1"/>
    <n v="13.75"/>
    <n v="27.5"/>
    <n v="1.5125"/>
    <n v="3.0249999999999999"/>
    <n v="11"/>
  </r>
  <r>
    <s v="YLY-35287-172"/>
    <d v="2022-05-23T00:00:00"/>
    <s v="2022"/>
    <s v="May"/>
    <s v="69410-04668-MA"/>
    <s v="Simone Capon"/>
    <s v="scaponkx@craigslist.org"/>
    <s v="+1 (602) 619-0168"/>
    <s v="Phoenix"/>
    <s v="United States"/>
    <s v="No"/>
    <s v="A-D-0.5"/>
    <s v="Arabica"/>
    <s v="Dark"/>
    <n v="5"/>
    <n v="0.5"/>
    <n v="5.97"/>
    <n v="29.849999999999998"/>
    <n v="0.5373"/>
    <n v="2.6865000000000001"/>
    <n v="9.0000000000000018"/>
  </r>
  <r>
    <s v="DCI-96254-548"/>
    <d v="2022-06-14T00:00:00"/>
    <s v="2022"/>
    <s v="June"/>
    <s v="94091-86957-HX"/>
    <s v="Jimmy Dymoke"/>
    <s v="jdymokeje@prnewswire.com"/>
    <s v="+353 (390) 459-9269"/>
    <s v="Beaumont"/>
    <s v="Ireland"/>
    <s v="No"/>
    <s v="A-D-0.2"/>
    <s v="Arabica"/>
    <s v="Dark"/>
    <n v="6"/>
    <n v="0.2"/>
    <n v="2.9849999999999999"/>
    <n v="17.91"/>
    <n v="0.26865"/>
    <n v="1.6118999999999999"/>
    <n v="9"/>
  </r>
  <r>
    <s v="KHZ-26264-253"/>
    <d v="2021-07-20T00:00:00"/>
    <s v="2021"/>
    <s v="July"/>
    <s v="24972-55878-KX"/>
    <s v="Foster Constance"/>
    <s v="fconstancekz@ifeng.com"/>
    <s v="+1 (214) 388-6754"/>
    <s v="Dallas"/>
    <s v="United States"/>
    <s v="No"/>
    <s v="L-L-0.2"/>
    <s v="Liberica"/>
    <s v="Light"/>
    <n v="6"/>
    <n v="0.2"/>
    <n v="4.7549999999999999"/>
    <n v="28.53"/>
    <n v="0.61814999999999998"/>
    <n v="3.7088999999999999"/>
    <n v="12.999999999999998"/>
  </r>
  <r>
    <s v="AAQ-13644-699"/>
    <d v="2022-06-03T00:00:00"/>
    <s v="2022"/>
    <s v="June"/>
    <s v="46296-42617-OQ"/>
    <s v="Fernando Sulman"/>
    <s v="fsulmanl0@washington.edu"/>
    <s v="+1 (828) 464-2678"/>
    <s v="Asheville"/>
    <s v="United States"/>
    <s v="Yes"/>
    <s v="R-D-1"/>
    <s v="Robusta"/>
    <s v="Dark"/>
    <n v="4"/>
    <n v="1"/>
    <n v="8.9499999999999993"/>
    <n v="35.799999999999997"/>
    <n v="0.53699999999999992"/>
    <n v="2.1479999999999997"/>
    <n v="6"/>
  </r>
  <r>
    <s v="LWL-68108-794"/>
    <d v="2020-05-26T00:00:00"/>
    <s v="2020"/>
    <s v="May"/>
    <s v="44494-89923-UW"/>
    <s v="Dorotea Hollyman"/>
    <s v="dhollymanl1@ibm.com"/>
    <s v="+1 (406) 851-1244"/>
    <s v="Billings"/>
    <s v="United States"/>
    <s v="Yes"/>
    <s v="A-D-0.5"/>
    <s v="Arabica"/>
    <s v="Dark"/>
    <n v="3"/>
    <n v="0.5"/>
    <n v="5.97"/>
    <n v="17.91"/>
    <n v="0.5373"/>
    <n v="1.6118999999999999"/>
    <n v="9"/>
  </r>
  <r>
    <s v="JQT-14347-517"/>
    <d v="2019-07-26T00:00:00"/>
    <s v="2019"/>
    <s v="July"/>
    <s v="11621-09964-ID"/>
    <s v="Lorelei Nardoni"/>
    <s v="lnardonil2@hao123.com"/>
    <s v="UNKNOWN"/>
    <s v="Saint Louis"/>
    <s v="United States"/>
    <s v="No"/>
    <s v="R-D-1"/>
    <s v="Robusta"/>
    <s v="Dark"/>
    <n v="1"/>
    <n v="1"/>
    <n v="8.9499999999999993"/>
    <n v="8.9499999999999993"/>
    <n v="0.53699999999999992"/>
    <n v="0.53699999999999992"/>
    <n v="6"/>
  </r>
  <r>
    <s v="BMM-86471-923"/>
    <d v="2020-10-22T00:00:00"/>
    <s v="2020"/>
    <s v="October"/>
    <s v="76319-80715-II"/>
    <s v="Dallas Yarham"/>
    <s v="dyarhaml3@moonfruit.com"/>
    <s v="+1 (816) 213-5248"/>
    <s v="Independence"/>
    <s v="United States"/>
    <s v="Yes"/>
    <s v="L-D-2.5"/>
    <s v="Liberica"/>
    <s v="Dark"/>
    <n v="1"/>
    <n v="2.5"/>
    <n v="29.784999999999997"/>
    <n v="29.784999999999997"/>
    <n v="3.8720499999999998"/>
    <n v="3.8720499999999998"/>
    <n v="13"/>
  </r>
  <r>
    <s v="IXU-67272-326"/>
    <d v="2020-12-24T00:00:00"/>
    <s v="2020"/>
    <s v="December"/>
    <s v="91654-79216-IC"/>
    <s v="Arlana Ferrea"/>
    <s v="aferreal4@wikia.com"/>
    <s v="UNKNOWN"/>
    <s v="Greensboro"/>
    <s v="United States"/>
    <s v="No"/>
    <s v="E-L-0.5"/>
    <s v="Excelsa"/>
    <s v="Light"/>
    <n v="5"/>
    <n v="0.5"/>
    <n v="8.91"/>
    <n v="44.55"/>
    <n v="0.98009999999999997"/>
    <n v="4.9005000000000001"/>
    <n v="11.000000000000002"/>
  </r>
  <r>
    <s v="ITE-28312-615"/>
    <d v="2019-09-06T00:00:00"/>
    <s v="2019"/>
    <s v="September"/>
    <s v="56450-21890-HK"/>
    <s v="Chuck Kendrick"/>
    <s v="ckendrickl5@webnode.com"/>
    <s v="UNKNOWN"/>
    <s v="Monroe"/>
    <s v="United States"/>
    <s v="Yes"/>
    <s v="E-L-1"/>
    <s v="Excelsa"/>
    <s v="Light"/>
    <n v="6"/>
    <n v="1"/>
    <n v="14.85"/>
    <n v="89.1"/>
    <n v="1.6335"/>
    <n v="9.8010000000000002"/>
    <n v="11.000000000000002"/>
  </r>
  <r>
    <s v="ZHQ-30471-635"/>
    <d v="2019-04-08T00:00:00"/>
    <s v="2019"/>
    <s v="April"/>
    <s v="40600-58915-WZ"/>
    <s v="Sharona Danilchik"/>
    <s v="sdanilchikl6@mit.edu"/>
    <s v="+44 (292) 975-0144"/>
    <s v="Halton"/>
    <s v="United Kingdom"/>
    <s v="No"/>
    <s v="L-M-0.5"/>
    <s v="Liberica"/>
    <s v="Medium"/>
    <n v="5"/>
    <n v="0.5"/>
    <n v="8.73"/>
    <n v="43.650000000000006"/>
    <n v="1.1349"/>
    <n v="5.6745000000000001"/>
    <n v="12.999999999999998"/>
  </r>
  <r>
    <s v="LTP-31133-134"/>
    <d v="2022-01-26T00:00:00"/>
    <s v="2022"/>
    <s v="January"/>
    <s v="66527-94478-PB"/>
    <s v="Sarajane Potter"/>
    <s v="UNKNOWN"/>
    <s v="+1 (817) 389-2294"/>
    <s v="Fort Worth"/>
    <s v="United States"/>
    <s v="No"/>
    <s v="A-L-0.5"/>
    <s v="Arabica"/>
    <s v="Light"/>
    <n v="3"/>
    <n v="0.5"/>
    <n v="7.77"/>
    <n v="23.31"/>
    <n v="0.69929999999999992"/>
    <n v="2.0978999999999997"/>
    <n v="9"/>
  </r>
  <r>
    <s v="ZVQ-26122-859"/>
    <d v="2019-11-28T00:00:00"/>
    <s v="2019"/>
    <s v="November"/>
    <s v="77154-45038-IH"/>
    <s v="Bobby Folomkin"/>
    <s v="bfolomkinl8@yolasite.com"/>
    <s v="+1 (701) 278-8412"/>
    <s v="Fargo"/>
    <s v="United States"/>
    <s v="Yes"/>
    <s v="A-L-2.5"/>
    <s v="Arabica"/>
    <s v="Light"/>
    <n v="6"/>
    <n v="2.5"/>
    <n v="29.784999999999997"/>
    <n v="178.70999999999998"/>
    <n v="2.6806499999999995"/>
    <n v="16.083899999999996"/>
    <n v="8.9999999999999982"/>
  </r>
  <r>
    <s v="MIU-01481-194"/>
    <d v="2019-07-21T00:00:00"/>
    <s v="2019"/>
    <s v="July"/>
    <s v="08439-55669-AI"/>
    <s v="Rafferty Pursglove"/>
    <s v="rpursglovel9@biblegateway.com"/>
    <s v="+1 (214) 813-8745"/>
    <s v="Garland"/>
    <s v="United States"/>
    <s v="Yes"/>
    <s v="R-M-1"/>
    <s v="Robusta"/>
    <s v="Medium"/>
    <n v="6"/>
    <n v="1"/>
    <n v="9.9499999999999993"/>
    <n v="59.699999999999996"/>
    <n v="0.59699999999999998"/>
    <n v="3.5819999999999999"/>
    <n v="6.0000000000000009"/>
  </r>
  <r>
    <s v="MIU-01481-194"/>
    <d v="2019-07-21T00:00:00"/>
    <s v="2019"/>
    <s v="July"/>
    <s v="08439-55669-AI"/>
    <s v="Rafferty Pursglove"/>
    <s v="rpursglovel9@biblegateway.com"/>
    <s v="+1 (214) 813-8745"/>
    <s v="Garland"/>
    <s v="United States"/>
    <s v="Yes"/>
    <s v="A-L-0.5"/>
    <s v="Arabica"/>
    <s v="Light"/>
    <n v="2"/>
    <n v="0.5"/>
    <n v="7.77"/>
    <n v="15.54"/>
    <n v="0.69929999999999992"/>
    <n v="1.3985999999999998"/>
    <n v="9"/>
  </r>
  <r>
    <s v="UEA-72681-629"/>
    <d v="2021-03-12T00:00:00"/>
    <s v="2021"/>
    <s v="March"/>
    <s v="24972-55878-KX"/>
    <s v="Foster Constance"/>
    <s v="fconstancekz@ifeng.com"/>
    <s v="+1 (214) 388-6754"/>
    <s v="Dallas"/>
    <s v="United States"/>
    <s v="No"/>
    <s v="A-L-2.5"/>
    <s v="Arabica"/>
    <s v="Light"/>
    <n v="3"/>
    <n v="2.5"/>
    <n v="29.784999999999997"/>
    <n v="89.35499999999999"/>
    <n v="2.6806499999999995"/>
    <n v="8.0419499999999982"/>
    <n v="8.9999999999999982"/>
  </r>
  <r>
    <s v="CVE-15042-481"/>
    <d v="2022-01-01T00:00:00"/>
    <s v="2022"/>
    <s v="January"/>
    <s v="24972-55878-KX"/>
    <s v="Foster Constance"/>
    <s v="fconstancekz@ifeng.com"/>
    <s v="+1 (214) 388-6754"/>
    <s v="Dallas"/>
    <s v="United States"/>
    <s v="No"/>
    <s v="R-L-1"/>
    <s v="Robusta"/>
    <s v="Light"/>
    <n v="2"/>
    <n v="1"/>
    <n v="11.95"/>
    <n v="23.9"/>
    <n v="0.71699999999999997"/>
    <n v="1.4339999999999999"/>
    <n v="6"/>
  </r>
  <r>
    <s v="EJA-79176-833"/>
    <d v="2020-03-22T00:00:00"/>
    <s v="2020"/>
    <s v="March"/>
    <s v="91509-62250-GN"/>
    <s v="Dalia Eburah"/>
    <s v="deburahld@google.co.jp"/>
    <s v="+44 (607) 596-3921"/>
    <s v="Birmingham"/>
    <s v="United Kingdom"/>
    <s v="No"/>
    <s v="R-M-2.5"/>
    <s v="Robusta"/>
    <s v="Medium"/>
    <n v="6"/>
    <n v="2.5"/>
    <n v="22.884999999999998"/>
    <n v="137.31"/>
    <n v="1.3730999999999998"/>
    <n v="8.2385999999999981"/>
    <n v="5.9999999999999982"/>
  </r>
  <r>
    <s v="AHQ-40440-522"/>
    <d v="2020-09-18T00:00:00"/>
    <s v="2020"/>
    <s v="September"/>
    <s v="83833-46106-ZC"/>
    <s v="Martie Brimilcombe"/>
    <s v="mbrimilcombele@cnn.com"/>
    <s v="UNKNOWN"/>
    <s v="Springfield"/>
    <s v="United States"/>
    <s v="No"/>
    <s v="A-D-1"/>
    <s v="Arabica"/>
    <s v="Dark"/>
    <n v="1"/>
    <n v="1"/>
    <n v="9.9499999999999993"/>
    <n v="9.9499999999999993"/>
    <n v="0.89549999999999985"/>
    <n v="0.89549999999999985"/>
    <n v="9"/>
  </r>
  <r>
    <s v="TID-21626-411"/>
    <d v="2019-01-03T00:00:00"/>
    <s v="2019"/>
    <s v="January"/>
    <s v="19383-33606-PW"/>
    <s v="Suzanna Bollam"/>
    <s v="sbollamlf@list-manage.com"/>
    <s v="+1 (303) 746-0415"/>
    <s v="Littleton"/>
    <s v="United States"/>
    <s v="No"/>
    <s v="R-L-0.5"/>
    <s v="Robusta"/>
    <s v="Light"/>
    <n v="3"/>
    <n v="0.5"/>
    <n v="7.169999999999999"/>
    <n v="21.509999999999998"/>
    <n v="0.43019999999999992"/>
    <n v="1.2905999999999997"/>
    <n v="5.9999999999999991"/>
  </r>
  <r>
    <s v="RSR-96390-187"/>
    <d v="2021-09-29T00:00:00"/>
    <s v="2021"/>
    <s v="September"/>
    <s v="67052-76184-CB"/>
    <s v="Mellisa Mebes"/>
    <s v="UNKNOWN"/>
    <s v="+1 (410) 273-2348"/>
    <s v="Baltimore"/>
    <s v="United States"/>
    <s v="No"/>
    <s v="E-M-1"/>
    <s v="Excelsa"/>
    <s v="Medium"/>
    <n v="6"/>
    <n v="1"/>
    <n v="13.75"/>
    <n v="82.5"/>
    <n v="1.5125"/>
    <n v="9.0749999999999993"/>
    <n v="10.999999999999998"/>
  </r>
  <r>
    <s v="BZE-96093-118"/>
    <d v="2021-10-19T00:00:00"/>
    <s v="2021"/>
    <s v="October"/>
    <s v="43452-18035-DH"/>
    <s v="Alva Filipczak"/>
    <s v="afilipczaklh@ning.com"/>
    <s v="+353 (176) 447-3656"/>
    <s v="Moycullen"/>
    <s v="Ireland"/>
    <s v="No"/>
    <s v="L-M-0.2"/>
    <s v="Liberica"/>
    <s v="Medium"/>
    <n v="2"/>
    <n v="0.2"/>
    <n v="4.3650000000000002"/>
    <n v="8.73"/>
    <n v="0.56745000000000001"/>
    <n v="1.1349"/>
    <n v="13"/>
  </r>
  <r>
    <s v="LOU-41819-242"/>
    <d v="2022-07-14T00:00:00"/>
    <s v="2022"/>
    <s v="July"/>
    <s v="88060-50676-MV"/>
    <s v="Dorette Hinemoor"/>
    <s v="UNKNOWN"/>
    <s v="+1 (754) 336-4224"/>
    <s v="Fort Lauderdale"/>
    <s v="United States"/>
    <s v="Yes"/>
    <s v="R-M-1"/>
    <s v="Robusta"/>
    <s v="Medium"/>
    <n v="2"/>
    <n v="1"/>
    <n v="9.9499999999999993"/>
    <n v="19.899999999999999"/>
    <n v="0.59699999999999998"/>
    <n v="1.194"/>
    <n v="6.0000000000000009"/>
  </r>
  <r>
    <s v="FND-99527-640"/>
    <d v="2021-07-19T00:00:00"/>
    <s v="2021"/>
    <s v="July"/>
    <s v="89574-96203-EP"/>
    <s v="Rhetta Elnaugh"/>
    <s v="relnaughlj@comsenz.com"/>
    <s v="+1 (619) 728-2474"/>
    <s v="San Diego"/>
    <s v="United States"/>
    <s v="Yes"/>
    <s v="E-L-0.5"/>
    <s v="Excelsa"/>
    <s v="Light"/>
    <n v="2"/>
    <n v="0.5"/>
    <n v="8.91"/>
    <n v="17.82"/>
    <n v="0.98009999999999997"/>
    <n v="1.9601999999999999"/>
    <n v="11"/>
  </r>
  <r>
    <s v="ASG-27179-958"/>
    <d v="2021-12-10T00:00:00"/>
    <s v="2021"/>
    <s v="December"/>
    <s v="12607-75113-UV"/>
    <s v="Jule Deehan"/>
    <s v="jdeehanlk@about.me"/>
    <s v="+1 (972) 327-1194"/>
    <s v="Dallas"/>
    <s v="United States"/>
    <s v="No"/>
    <s v="A-M-0.5"/>
    <s v="Arabica"/>
    <s v="Medium"/>
    <n v="3"/>
    <n v="0.5"/>
    <n v="6.75"/>
    <n v="20.25"/>
    <n v="0.60749999999999993"/>
    <n v="1.8224999999999998"/>
    <n v="8.9999999999999982"/>
  </r>
  <r>
    <s v="YKX-23510-272"/>
    <d v="2019-03-17T00:00:00"/>
    <s v="2019"/>
    <s v="March"/>
    <s v="56991-05510-PR"/>
    <s v="Janella Eden"/>
    <s v="jedenll@e-recht24.de"/>
    <s v="UNKNOWN"/>
    <s v="Joliet"/>
    <s v="United States"/>
    <s v="No"/>
    <s v="A-L-2.5"/>
    <s v="Arabica"/>
    <s v="Light"/>
    <n v="2"/>
    <n v="2.5"/>
    <n v="29.784999999999997"/>
    <n v="59.569999999999993"/>
    <n v="2.6806499999999995"/>
    <n v="5.3612999999999991"/>
    <n v="9"/>
  </r>
  <r>
    <s v="FSA-98650-921"/>
    <d v="2020-02-28T00:00:00"/>
    <s v="2020"/>
    <s v="February"/>
    <s v="01841-48191-NL"/>
    <s v="Cam Jewster"/>
    <s v="cjewsterlu@moonfruit.com"/>
    <s v="+1 (937) 925-7390"/>
    <s v="Dayton"/>
    <s v="United States"/>
    <s v="Yes"/>
    <s v="L-L-0.5"/>
    <s v="Liberica"/>
    <s v="Light"/>
    <n v="2"/>
    <n v="0.5"/>
    <n v="9.51"/>
    <n v="19.02"/>
    <n v="1.2363"/>
    <n v="2.4725999999999999"/>
    <n v="13"/>
  </r>
  <r>
    <s v="ZUR-55774-294"/>
    <d v="2020-06-03T00:00:00"/>
    <s v="2020"/>
    <s v="June"/>
    <s v="33269-10023-CO"/>
    <s v="Ugo Southerden"/>
    <s v="usoutherdenln@hao123.com"/>
    <s v="+1 (786) 490-0037"/>
    <s v="Clearwater"/>
    <s v="United States"/>
    <s v="Yes"/>
    <s v="L-D-1"/>
    <s v="Liberica"/>
    <s v="Dark"/>
    <n v="6"/>
    <n v="1"/>
    <n v="12.95"/>
    <n v="77.699999999999989"/>
    <n v="1.6835"/>
    <n v="10.100999999999999"/>
    <n v="13"/>
  </r>
  <r>
    <s v="FUO-99821-974"/>
    <d v="2020-02-22T00:00:00"/>
    <s v="2020"/>
    <s v="February"/>
    <s v="31245-81098-PJ"/>
    <s v="Verne Dunkerley"/>
    <s v="UNKNOWN"/>
    <s v="+1 (763) 806-0186"/>
    <s v="Minneapolis"/>
    <s v="United States"/>
    <s v="No"/>
    <s v="E-M-1"/>
    <s v="Excelsa"/>
    <s v="Medium"/>
    <n v="3"/>
    <n v="1"/>
    <n v="13.75"/>
    <n v="41.25"/>
    <n v="1.5125"/>
    <n v="4.5374999999999996"/>
    <n v="10.999999999999998"/>
  </r>
  <r>
    <s v="YVH-19865-819"/>
    <d v="2019-11-09T00:00:00"/>
    <s v="2019"/>
    <s v="November"/>
    <s v="08946-56610-IH"/>
    <s v="Lacee Burtenshaw"/>
    <s v="lburtenshawlp@shinystat.com"/>
    <s v="+1 (678) 536-4251"/>
    <s v="Lawrenceville"/>
    <s v="United States"/>
    <s v="No"/>
    <s v="L-L-2.5"/>
    <s v="Liberica"/>
    <s v="Light"/>
    <n v="4"/>
    <n v="2.5"/>
    <n v="36.454999999999998"/>
    <n v="145.82"/>
    <n v="4.7391499999999995"/>
    <n v="18.956599999999998"/>
    <n v="13"/>
  </r>
  <r>
    <s v="NNF-47422-501"/>
    <d v="2020-03-07T00:00:00"/>
    <s v="2020"/>
    <s v="March"/>
    <s v="20260-32948-EB"/>
    <s v="Adorne Gregoratti"/>
    <s v="agregorattilq@vistaprint.com"/>
    <s v="+353 (773) 508-6581"/>
    <s v="Malahide"/>
    <s v="Ireland"/>
    <s v="No"/>
    <s v="E-L-0.2"/>
    <s v="Excelsa"/>
    <s v="Light"/>
    <n v="6"/>
    <n v="0.2"/>
    <n v="4.4550000000000001"/>
    <n v="26.73"/>
    <n v="0.49004999999999999"/>
    <n v="2.9402999999999997"/>
    <n v="10.999999999999998"/>
  </r>
  <r>
    <s v="RJI-71409-490"/>
    <d v="2021-04-26T00:00:00"/>
    <s v="2021"/>
    <s v="April"/>
    <s v="31613-41626-KX"/>
    <s v="Chris Croster"/>
    <s v="ccrosterlr@gov.uk"/>
    <s v="+1 (813) 621-3097"/>
    <s v="Tampa"/>
    <s v="United States"/>
    <s v="Yes"/>
    <s v="L-M-0.5"/>
    <s v="Liberica"/>
    <s v="Medium"/>
    <n v="5"/>
    <n v="0.5"/>
    <n v="8.73"/>
    <n v="43.650000000000006"/>
    <n v="1.1349"/>
    <n v="5.6745000000000001"/>
    <n v="12.999999999999998"/>
  </r>
  <r>
    <s v="UZL-46108-213"/>
    <d v="2021-11-11T00:00:00"/>
    <s v="2021"/>
    <s v="November"/>
    <s v="75961-20170-RD"/>
    <s v="Graeme Whitehead"/>
    <s v="gwhiteheadls@hp.com"/>
    <s v="UNKNOWN"/>
    <s v="Nashville"/>
    <s v="United States"/>
    <s v="No"/>
    <s v="L-L-1"/>
    <s v="Liberica"/>
    <s v="Light"/>
    <n v="2"/>
    <n v="1"/>
    <n v="15.85"/>
    <n v="31.7"/>
    <n v="2.0605000000000002"/>
    <n v="4.1210000000000004"/>
    <n v="13"/>
  </r>
  <r>
    <s v="AOX-44467-109"/>
    <d v="2021-06-15T00:00:00"/>
    <s v="2021"/>
    <s v="June"/>
    <s v="72524-06410-KD"/>
    <s v="Haslett Jodrelle"/>
    <s v="hjodrellelt@samsung.com"/>
    <s v="+1 (305) 334-0992"/>
    <s v="Miami"/>
    <s v="United States"/>
    <s v="No"/>
    <s v="A-D-2.5"/>
    <s v="Arabica"/>
    <s v="Dark"/>
    <n v="1"/>
    <n v="2.5"/>
    <n v="22.884999999999998"/>
    <n v="22.884999999999998"/>
    <n v="2.0596499999999995"/>
    <n v="2.0596499999999995"/>
    <n v="8.9999999999999982"/>
  </r>
  <r>
    <s v="TZD-67261-174"/>
    <d v="2020-02-27T00:00:00"/>
    <s v="2020"/>
    <s v="February"/>
    <s v="01841-48191-NL"/>
    <s v="Cam Jewster"/>
    <s v="cjewsterlu@moonfruit.com"/>
    <s v="+1 (937) 925-7390"/>
    <s v="Dayton"/>
    <s v="United States"/>
    <s v="Yes"/>
    <s v="E-D-2.5"/>
    <s v="Excelsa"/>
    <s v="Dark"/>
    <n v="1"/>
    <n v="2.5"/>
    <n v="27.945"/>
    <n v="27.945"/>
    <n v="3.07395"/>
    <n v="3.07395"/>
    <n v="11"/>
  </r>
  <r>
    <s v="TBU-64277-625"/>
    <d v="2021-04-19T00:00:00"/>
    <s v="2021"/>
    <s v="April"/>
    <s v="98918-34330-GY"/>
    <s v="Beryl Osborn"/>
    <s v="UNKNOWN"/>
    <s v="+1 (312) 648-4940"/>
    <s v="Chicago"/>
    <s v="United States"/>
    <s v="Yes"/>
    <s v="E-M-1"/>
    <s v="Excelsa"/>
    <s v="Medium"/>
    <n v="6"/>
    <n v="1"/>
    <n v="13.75"/>
    <n v="82.5"/>
    <n v="1.5125"/>
    <n v="9.0749999999999993"/>
    <n v="10.999999999999998"/>
  </r>
  <r>
    <s v="TYP-85767-944"/>
    <d v="2022-07-29T00:00:00"/>
    <s v="2022"/>
    <s v="July"/>
    <s v="51497-50894-WU"/>
    <s v="Kaela Nottram"/>
    <s v="knottramlw@odnoklassniki.ru"/>
    <s v="+353 (549) 358-7019"/>
    <s v="Arklow"/>
    <s v="Ireland"/>
    <s v="Yes"/>
    <s v="R-M-2.5"/>
    <s v="Robusta"/>
    <s v="Medium"/>
    <n v="2"/>
    <n v="2.5"/>
    <n v="22.884999999999998"/>
    <n v="45.769999999999996"/>
    <n v="1.3730999999999998"/>
    <n v="2.7461999999999995"/>
    <n v="6"/>
  </r>
  <r>
    <s v="GTT-73214-334"/>
    <d v="2019-01-20T00:00:00"/>
    <s v="2019"/>
    <s v="January"/>
    <s v="98636-90072-YE"/>
    <s v="Nobe Buney"/>
    <s v="nbuneylx@jugem.jp"/>
    <s v="+1 (510) 973-7084"/>
    <s v="Richmond"/>
    <s v="United States"/>
    <s v="No"/>
    <s v="A-L-1"/>
    <s v="Arabica"/>
    <s v="Light"/>
    <n v="6"/>
    <n v="1"/>
    <n v="12.95"/>
    <n v="77.699999999999989"/>
    <n v="1.1655"/>
    <n v="6.9930000000000003"/>
    <n v="9.0000000000000018"/>
  </r>
  <r>
    <s v="WAI-89905-069"/>
    <d v="2022-02-21T00:00:00"/>
    <s v="2022"/>
    <s v="February"/>
    <s v="47011-57815-HJ"/>
    <s v="Silvan McShea"/>
    <s v="smcshealy@photobucket.com"/>
    <s v="+1 (360) 578-2262"/>
    <s v="Olympia"/>
    <s v="United States"/>
    <s v="No"/>
    <s v="A-L-0.5"/>
    <s v="Arabica"/>
    <s v="Light"/>
    <n v="3"/>
    <n v="0.5"/>
    <n v="7.77"/>
    <n v="23.31"/>
    <n v="0.69929999999999992"/>
    <n v="2.0978999999999997"/>
    <n v="9"/>
  </r>
  <r>
    <s v="OJL-96844-459"/>
    <d v="2020-05-03T00:00:00"/>
    <s v="2020"/>
    <s v="May"/>
    <s v="61253-98356-VD"/>
    <s v="Karylin Huddart"/>
    <s v="khuddartlz@about.com"/>
    <s v="+1 (214) 931-4518"/>
    <s v="Arlington"/>
    <s v="United States"/>
    <s v="Yes"/>
    <s v="L-L-0.2"/>
    <s v="Liberica"/>
    <s v="Light"/>
    <n v="5"/>
    <n v="0.2"/>
    <n v="4.7549999999999999"/>
    <n v="23.774999999999999"/>
    <n v="0.61814999999999998"/>
    <n v="3.0907499999999999"/>
    <n v="13"/>
  </r>
  <r>
    <s v="VGI-33205-360"/>
    <d v="2019-03-21T00:00:00"/>
    <s v="2019"/>
    <s v="March"/>
    <s v="96762-10814-DA"/>
    <s v="Jereme Gippes"/>
    <s v="jgippesm0@cloudflare.com"/>
    <s v="+44 (185) 319-5850"/>
    <s v="Twyford"/>
    <s v="United Kingdom"/>
    <s v="Yes"/>
    <s v="L-M-0.5"/>
    <s v="Liberica"/>
    <s v="Medium"/>
    <n v="6"/>
    <n v="0.5"/>
    <n v="8.73"/>
    <n v="52.38"/>
    <n v="1.1349"/>
    <n v="6.8094000000000001"/>
    <n v="13"/>
  </r>
  <r>
    <s v="PCA-14081-576"/>
    <d v="2019-06-13T00:00:00"/>
    <s v="2019"/>
    <s v="June"/>
    <s v="63112-10870-LC"/>
    <s v="Lukas Whittlesee"/>
    <s v="lwhittleseem1@e-recht24.de"/>
    <s v="+1 (540) 413-9605"/>
    <s v="Roanoke"/>
    <s v="United States"/>
    <s v="No"/>
    <s v="R-L-0.2"/>
    <s v="Robusta"/>
    <s v="Light"/>
    <n v="5"/>
    <n v="0.2"/>
    <n v="3.5849999999999995"/>
    <n v="17.924999999999997"/>
    <n v="0.21509999999999996"/>
    <n v="1.0754999999999999"/>
    <n v="6.0000000000000009"/>
  </r>
  <r>
    <s v="SCS-67069-962"/>
    <d v="2020-06-05T00:00:00"/>
    <s v="2020"/>
    <s v="June"/>
    <s v="21403-49423-PD"/>
    <s v="Gregorius Trengrove"/>
    <s v="gtrengrovem2@elpais.com"/>
    <s v="+1 (516) 513-7620"/>
    <s v="New Hyde Park"/>
    <s v="United States"/>
    <s v="No"/>
    <s v="A-L-2.5"/>
    <s v="Arabica"/>
    <s v="Light"/>
    <n v="5"/>
    <n v="2.5"/>
    <n v="29.784999999999997"/>
    <n v="148.92499999999998"/>
    <n v="2.6806499999999995"/>
    <n v="13.403249999999998"/>
    <n v="9"/>
  </r>
  <r>
    <s v="BDM-03174-485"/>
    <d v="2019-03-16T00:00:00"/>
    <s v="2019"/>
    <s v="March"/>
    <s v="29581-13303-VB"/>
    <s v="Wright Caldero"/>
    <s v="wcalderom3@stumbleupon.com"/>
    <s v="+1 (714) 117-5483"/>
    <s v="Anaheim"/>
    <s v="United States"/>
    <s v="No"/>
    <s v="R-L-0.5"/>
    <s v="Robusta"/>
    <s v="Light"/>
    <n v="4"/>
    <n v="0.5"/>
    <n v="7.169999999999999"/>
    <n v="28.679999999999996"/>
    <n v="0.43019999999999992"/>
    <n v="1.7207999999999997"/>
    <n v="6"/>
  </r>
  <r>
    <s v="UJV-32333-364"/>
    <d v="2021-12-03T00:00:00"/>
    <s v="2021"/>
    <s v="December"/>
    <s v="86110-83695-YS"/>
    <s v="Merell Zanazzi"/>
    <s v="UNKNOWN"/>
    <s v="+1 (606) 824-3445"/>
    <s v="Lexington"/>
    <s v="United States"/>
    <s v="No"/>
    <s v="L-L-0.5"/>
    <s v="Liberica"/>
    <s v="Light"/>
    <n v="1"/>
    <n v="0.5"/>
    <n v="9.51"/>
    <n v="9.51"/>
    <n v="1.2363"/>
    <n v="1.2363"/>
    <n v="13"/>
  </r>
  <r>
    <s v="FLI-11493-954"/>
    <d v="2022-07-09T00:00:00"/>
    <s v="2022"/>
    <s v="July"/>
    <s v="80454-42225-FT"/>
    <s v="Jed Kennicott"/>
    <s v="jkennicottm5@yahoo.co.jp"/>
    <s v="+1 (813) 579-8389"/>
    <s v="Tampa"/>
    <s v="United States"/>
    <s v="No"/>
    <s v="A-L-0.5"/>
    <s v="Arabica"/>
    <s v="Light"/>
    <n v="4"/>
    <n v="0.5"/>
    <n v="7.77"/>
    <n v="31.08"/>
    <n v="0.69929999999999992"/>
    <n v="2.7971999999999997"/>
    <n v="9"/>
  </r>
  <r>
    <s v="IWL-13117-537"/>
    <d v="2020-04-29T00:00:00"/>
    <s v="2020"/>
    <s v="April"/>
    <s v="29129-60664-KO"/>
    <s v="Guenevere Ruggen"/>
    <s v="gruggenm6@nymag.com"/>
    <s v="+1 (408) 211-2306"/>
    <s v="San Jose"/>
    <s v="United States"/>
    <s v="Yes"/>
    <s v="R-D-0.2"/>
    <s v="Robusta"/>
    <s v="Dark"/>
    <n v="3"/>
    <n v="0.2"/>
    <n v="2.6849999999999996"/>
    <n v="8.0549999999999997"/>
    <n v="0.16109999999999997"/>
    <n v="0.4832999999999999"/>
    <n v="5.9999999999999991"/>
  </r>
  <r>
    <s v="OAM-76916-748"/>
    <d v="2022-01-27T00:00:00"/>
    <s v="2022"/>
    <s v="January"/>
    <s v="63025-62939-AN"/>
    <s v="Gonzales Cicculi"/>
    <s v="UNKNOWN"/>
    <s v="UNKNOWN"/>
    <s v="Washington"/>
    <s v="United States"/>
    <s v="Yes"/>
    <s v="E-D-1"/>
    <s v="Excelsa"/>
    <s v="Dark"/>
    <n v="3"/>
    <n v="1"/>
    <n v="12.15"/>
    <n v="36.450000000000003"/>
    <n v="1.3365"/>
    <n v="4.0095000000000001"/>
    <n v="10.999999999999998"/>
  </r>
  <r>
    <s v="UMB-11223-710"/>
    <d v="2021-02-13T00:00:00"/>
    <s v="2021"/>
    <s v="February"/>
    <s v="49012-12987-QT"/>
    <s v="Man Fright"/>
    <s v="mfrightm8@harvard.edu"/>
    <s v="+353 (955) 108-0675"/>
    <s v="Daingean"/>
    <s v="Ireland"/>
    <s v="No"/>
    <s v="R-D-0.2"/>
    <s v="Robusta"/>
    <s v="Dark"/>
    <n v="6"/>
    <n v="0.2"/>
    <n v="2.6849999999999996"/>
    <n v="16.11"/>
    <n v="0.16109999999999997"/>
    <n v="0.96659999999999979"/>
    <n v="5.9999999999999991"/>
  </r>
  <r>
    <s v="LXR-09892-726"/>
    <d v="2020-07-13T00:00:00"/>
    <s v="2020"/>
    <s v="July"/>
    <s v="50924-94200-SQ"/>
    <s v="Boyce Tarte"/>
    <s v="btartem9@aol.com"/>
    <s v="+1 (360) 927-6561"/>
    <s v="Olympia"/>
    <s v="United States"/>
    <s v="Yes"/>
    <s v="R-D-2.5"/>
    <s v="Robusta"/>
    <s v="Dark"/>
    <n v="2"/>
    <n v="2.5"/>
    <n v="20.584999999999997"/>
    <n v="41.169999999999995"/>
    <n v="1.2350999999999999"/>
    <n v="2.4701999999999997"/>
    <n v="6.0000000000000009"/>
  </r>
  <r>
    <s v="QXX-89943-393"/>
    <d v="2020-03-12T00:00:00"/>
    <s v="2020"/>
    <s v="March"/>
    <s v="15673-18812-IU"/>
    <s v="Caddric Krzysztofiak"/>
    <s v="ckrzysztofiakma@skyrock.com"/>
    <s v="+1 (972) 782-4187"/>
    <s v="Mesquite"/>
    <s v="United States"/>
    <s v="No"/>
    <s v="R-D-0.2"/>
    <s v="Robusta"/>
    <s v="Dark"/>
    <n v="4"/>
    <n v="0.2"/>
    <n v="2.6849999999999996"/>
    <n v="10.739999999999998"/>
    <n v="0.16109999999999997"/>
    <n v="0.64439999999999986"/>
    <n v="6"/>
  </r>
  <r>
    <s v="WVS-57822-366"/>
    <d v="2020-05-04T00:00:00"/>
    <s v="2020"/>
    <s v="May"/>
    <s v="52151-75971-YY"/>
    <s v="Darn Penquet"/>
    <s v="dpenquetmb@diigo.com"/>
    <s v="UNKNOWN"/>
    <s v="Sacramento"/>
    <s v="United States"/>
    <s v="No"/>
    <s v="E-M-2.5"/>
    <s v="Excelsa"/>
    <s v="Medium"/>
    <n v="4"/>
    <n v="2.5"/>
    <n v="31.624999999999996"/>
    <n v="126.49999999999999"/>
    <n v="3.4787499999999998"/>
    <n v="13.914999999999999"/>
    <n v="11"/>
  </r>
  <r>
    <s v="CLJ-23403-689"/>
    <d v="2021-04-03T00:00:00"/>
    <s v="2021"/>
    <s v="April"/>
    <s v="19413-02045-CG"/>
    <s v="Jammie Cloke"/>
    <s v="UNKNOWN"/>
    <s v="+44 (540) 353-5754"/>
    <s v="Newton"/>
    <s v="United Kingdom"/>
    <s v="No"/>
    <s v="R-L-1"/>
    <s v="Robusta"/>
    <s v="Light"/>
    <n v="2"/>
    <n v="1"/>
    <n v="11.95"/>
    <n v="23.9"/>
    <n v="0.71699999999999997"/>
    <n v="1.4339999999999999"/>
    <n v="6"/>
  </r>
  <r>
    <s v="XNU-83276-288"/>
    <d v="2022-06-01T00:00:00"/>
    <s v="2022"/>
    <s v="June"/>
    <s v="98185-92775-KT"/>
    <s v="Chester Clowton"/>
    <s v="UNKNOWN"/>
    <s v="+1 (763) 691-6777"/>
    <s v="Monticello"/>
    <s v="United States"/>
    <s v="No"/>
    <s v="R-M-0.5"/>
    <s v="Robusta"/>
    <s v="Medium"/>
    <n v="1"/>
    <n v="0.5"/>
    <n v="5.97"/>
    <n v="5.97"/>
    <n v="0.35819999999999996"/>
    <n v="0.35819999999999996"/>
    <n v="6"/>
  </r>
  <r>
    <s v="YOG-94666-679"/>
    <d v="2021-02-14T00:00:00"/>
    <s v="2021"/>
    <s v="February"/>
    <s v="86991-53901-AT"/>
    <s v="Kathleen Diable"/>
    <s v="UNKNOWN"/>
    <s v="UNKNOWN"/>
    <s v="Kinloch"/>
    <s v="United Kingdom"/>
    <s v="Yes"/>
    <s v="L-D-0.2"/>
    <s v="Liberica"/>
    <s v="Dark"/>
    <n v="2"/>
    <n v="0.2"/>
    <n v="3.8849999999999998"/>
    <n v="7.77"/>
    <n v="0.50505"/>
    <n v="1.0101"/>
    <n v="13"/>
  </r>
  <r>
    <s v="KHG-33953-115"/>
    <d v="2021-12-13T00:00:00"/>
    <s v="2021"/>
    <s v="December"/>
    <s v="78226-97287-JI"/>
    <s v="Koren Ferretti"/>
    <s v="kferrettimf@huffingtonpost.com"/>
    <s v="+353 (526) 215-2582"/>
    <s v="Balrothery"/>
    <s v="Ireland"/>
    <s v="No"/>
    <s v="L-D-0.5"/>
    <s v="Liberica"/>
    <s v="Dark"/>
    <n v="3"/>
    <n v="0.5"/>
    <n v="7.77"/>
    <n v="23.31"/>
    <n v="1.0101"/>
    <n v="3.0303"/>
    <n v="13"/>
  </r>
  <r>
    <s v="MHD-95615-696"/>
    <d v="2020-02-07T00:00:00"/>
    <s v="2020"/>
    <s v="February"/>
    <s v="27930-59250-JT"/>
    <s v="Allis Wilmore"/>
    <s v="UNKNOWN"/>
    <s v="+1 (713) 984-5207"/>
    <s v="Houston"/>
    <s v="United States"/>
    <s v="No"/>
    <s v="R-L-2.5"/>
    <s v="Robusta"/>
    <s v="Light"/>
    <n v="5"/>
    <n v="2.5"/>
    <n v="27.484999999999996"/>
    <n v="137.42499999999998"/>
    <n v="1.6490999999999998"/>
    <n v="8.2454999999999998"/>
    <n v="6.0000000000000009"/>
  </r>
  <r>
    <s v="HBH-64794-080"/>
    <d v="2021-02-08T00:00:00"/>
    <s v="2021"/>
    <s v="February"/>
    <s v="40560-18556-YE"/>
    <s v="Chaddie Bennie"/>
    <s v="UNKNOWN"/>
    <s v="+1 (915) 204-2588"/>
    <s v="El Paso"/>
    <s v="United States"/>
    <s v="Yes"/>
    <s v="R-D-0.2"/>
    <s v="Robusta"/>
    <s v="Dark"/>
    <n v="3"/>
    <n v="0.2"/>
    <n v="2.6849999999999996"/>
    <n v="8.0549999999999997"/>
    <n v="0.16109999999999997"/>
    <n v="0.4832999999999999"/>
    <n v="5.9999999999999991"/>
  </r>
  <r>
    <s v="CNJ-56058-223"/>
    <d v="2020-08-11T00:00:00"/>
    <s v="2020"/>
    <s v="August"/>
    <s v="40780-22081-LX"/>
    <s v="Alberta Balsdone"/>
    <s v="abalsdonemi@toplist.cz"/>
    <s v="+1 (863) 490-5370"/>
    <s v="Largo"/>
    <s v="United States"/>
    <s v="No"/>
    <s v="L-L-0.5"/>
    <s v="Liberica"/>
    <s v="Light"/>
    <n v="3"/>
    <n v="0.5"/>
    <n v="9.51"/>
    <n v="28.53"/>
    <n v="1.2363"/>
    <n v="3.7088999999999999"/>
    <n v="12.999999999999998"/>
  </r>
  <r>
    <s v="KHO-27106-786"/>
    <d v="2020-10-10T00:00:00"/>
    <s v="2020"/>
    <s v="October"/>
    <s v="01603-43789-TN"/>
    <s v="Brice Romera"/>
    <s v="bromeramj@list-manage.com"/>
    <s v="+353 (640) 110-9801"/>
    <s v="Foxrock"/>
    <s v="Ireland"/>
    <s v="Yes"/>
    <s v="A-M-1"/>
    <s v="Arabica"/>
    <s v="Medium"/>
    <n v="6"/>
    <n v="1"/>
    <n v="11.25"/>
    <n v="67.5"/>
    <n v="1.0125"/>
    <n v="6.0749999999999993"/>
    <n v="8.9999999999999982"/>
  </r>
  <r>
    <s v="KHO-27106-786"/>
    <d v="2020-10-10T00:00:00"/>
    <s v="2020"/>
    <s v="October"/>
    <s v="01603-43789-TN"/>
    <s v="Brice Romera"/>
    <s v="bromeramj@list-manage.com"/>
    <s v="+353 (640) 110-9801"/>
    <s v="Foxrock"/>
    <s v="Ireland"/>
    <s v="Yes"/>
    <s v="L-D-2.5"/>
    <s v="Liberica"/>
    <s v="Dark"/>
    <n v="6"/>
    <n v="2.5"/>
    <n v="29.784999999999997"/>
    <n v="178.70999999999998"/>
    <n v="3.8720499999999998"/>
    <n v="23.232299999999999"/>
    <n v="13"/>
  </r>
  <r>
    <s v="YAC-50329-982"/>
    <d v="2020-12-08T00:00:00"/>
    <s v="2020"/>
    <s v="December"/>
    <s v="75419-92838-TI"/>
    <s v="Conchita Bryde"/>
    <s v="cbrydeml@tuttocitta.it"/>
    <s v="+1 (405) 497-2199"/>
    <s v="Oklahoma City"/>
    <s v="United States"/>
    <s v="Yes"/>
    <s v="E-M-2.5"/>
    <s v="Excelsa"/>
    <s v="Medium"/>
    <n v="1"/>
    <n v="2.5"/>
    <n v="31.624999999999996"/>
    <n v="31.624999999999996"/>
    <n v="3.4787499999999998"/>
    <n v="3.4787499999999998"/>
    <n v="11"/>
  </r>
  <r>
    <s v="VVL-95291-039"/>
    <d v="2019-04-18T00:00:00"/>
    <s v="2019"/>
    <s v="April"/>
    <s v="96516-97464-MF"/>
    <s v="Silvanus Enefer"/>
    <s v="senefermm@blog.com"/>
    <s v="+1 (202) 877-3473"/>
    <s v="Washington"/>
    <s v="United States"/>
    <s v="No"/>
    <s v="E-L-0.2"/>
    <s v="Excelsa"/>
    <s v="Light"/>
    <n v="2"/>
    <n v="0.2"/>
    <n v="4.4550000000000001"/>
    <n v="8.91"/>
    <n v="0.49004999999999999"/>
    <n v="0.98009999999999997"/>
    <n v="11"/>
  </r>
  <r>
    <s v="VUT-20974-364"/>
    <d v="2021-01-04T00:00:00"/>
    <s v="2021"/>
    <s v="January"/>
    <s v="90285-56295-PO"/>
    <s v="Lenci Haggerstone"/>
    <s v="lhaggerstonemn@independent.co.uk"/>
    <s v="+1 (770) 779-0007"/>
    <s v="Atlanta"/>
    <s v="United States"/>
    <s v="No"/>
    <s v="R-M-0.5"/>
    <s v="Robusta"/>
    <s v="Medium"/>
    <n v="6"/>
    <n v="0.5"/>
    <n v="5.97"/>
    <n v="35.82"/>
    <n v="0.35819999999999996"/>
    <n v="2.1491999999999996"/>
    <n v="5.9999999999999982"/>
  </r>
  <r>
    <s v="SFC-34054-213"/>
    <d v="2019-03-10T00:00:00"/>
    <s v="2019"/>
    <s v="March"/>
    <s v="08100-71102-HQ"/>
    <s v="Marvin Gundry"/>
    <s v="mgundrymo@omniture.com"/>
    <s v="+353 (500) 164-9392"/>
    <s v="Castlebridge"/>
    <s v="Ireland"/>
    <s v="No"/>
    <s v="L-L-0.5"/>
    <s v="Liberica"/>
    <s v="Light"/>
    <n v="4"/>
    <n v="0.5"/>
    <n v="9.51"/>
    <n v="38.04"/>
    <n v="1.2363"/>
    <n v="4.9451999999999998"/>
    <n v="13"/>
  </r>
  <r>
    <s v="UDS-04807-593"/>
    <d v="2019-11-29T00:00:00"/>
    <s v="2019"/>
    <s v="November"/>
    <s v="84074-28110-OV"/>
    <s v="Bayard Wellan"/>
    <s v="bwellanmp@cafepress.com"/>
    <s v="UNKNOWN"/>
    <s v="Buffalo"/>
    <s v="United States"/>
    <s v="No"/>
    <s v="L-D-0.5"/>
    <s v="Liberica"/>
    <s v="Dark"/>
    <n v="2"/>
    <n v="0.5"/>
    <n v="7.77"/>
    <n v="15.54"/>
    <n v="1.0101"/>
    <n v="2.0202"/>
    <n v="13"/>
  </r>
  <r>
    <s v="FWE-98471-488"/>
    <d v="2022-07-19T00:00:00"/>
    <s v="2022"/>
    <s v="July"/>
    <s v="27930-59250-JT"/>
    <s v="Allis Wilmore"/>
    <s v="UNKNOWN"/>
    <s v="+1 (713) 984-5207"/>
    <s v="Houston"/>
    <s v="United States"/>
    <s v="No"/>
    <s v="L-L-1"/>
    <s v="Liberica"/>
    <s v="Light"/>
    <n v="5"/>
    <n v="1"/>
    <n v="15.85"/>
    <n v="79.25"/>
    <n v="2.0605000000000002"/>
    <n v="10.302500000000002"/>
    <n v="13.000000000000004"/>
  </r>
  <r>
    <s v="RAU-17060-674"/>
    <d v="2020-06-26T00:00:00"/>
    <s v="2020"/>
    <s v="June"/>
    <s v="12747-63766-EU"/>
    <s v="Caddric Atcheson"/>
    <s v="catchesonmr@xinhuanet.com"/>
    <s v="+1 (202) 975-7723"/>
    <s v="Washington"/>
    <s v="United States"/>
    <s v="Yes"/>
    <s v="L-L-0.2"/>
    <s v="Liberica"/>
    <s v="Light"/>
    <n v="1"/>
    <n v="0.2"/>
    <n v="4.7549999999999999"/>
    <n v="4.7549999999999999"/>
    <n v="0.61814999999999998"/>
    <n v="0.61814999999999998"/>
    <n v="13"/>
  </r>
  <r>
    <s v="AOL-13866-711"/>
    <d v="2019-02-14T00:00:00"/>
    <s v="2019"/>
    <s v="February"/>
    <s v="83490-88357-LJ"/>
    <s v="Eustace Stenton"/>
    <s v="estentonms@google.it"/>
    <s v="+1 (512) 819-1430"/>
    <s v="Austin"/>
    <s v="United States"/>
    <s v="Yes"/>
    <s v="E-M-1"/>
    <s v="Excelsa"/>
    <s v="Medium"/>
    <n v="4"/>
    <n v="1"/>
    <n v="13.75"/>
    <n v="55"/>
    <n v="1.5125"/>
    <n v="6.05"/>
    <n v="11"/>
  </r>
  <r>
    <s v="NOA-79645-377"/>
    <d v="2020-11-09T00:00:00"/>
    <s v="2020"/>
    <s v="November"/>
    <s v="53729-30320-XZ"/>
    <s v="Ericka Tripp"/>
    <s v="etrippmt@wp.com"/>
    <s v="+1 (602) 971-9708"/>
    <s v="Mesa"/>
    <s v="United States"/>
    <s v="No"/>
    <s v="R-D-0.5"/>
    <s v="Robusta"/>
    <s v="Dark"/>
    <n v="5"/>
    <n v="0.5"/>
    <n v="5.3699999999999992"/>
    <n v="26.849999999999994"/>
    <n v="0.32219999999999993"/>
    <n v="1.6109999999999998"/>
    <n v="6.0000000000000009"/>
  </r>
  <r>
    <s v="KMS-49214-806"/>
    <d v="2019-04-30T00:00:00"/>
    <s v="2019"/>
    <s v="April"/>
    <s v="50384-52703-LA"/>
    <s v="Lyndsey MacManus"/>
    <s v="lmacmanusmu@imdb.com"/>
    <s v="+1 (912) 191-6620"/>
    <s v="Savannah"/>
    <s v="United States"/>
    <s v="No"/>
    <s v="E-L-2.5"/>
    <s v="Excelsa"/>
    <s v="Light"/>
    <n v="4"/>
    <n v="2.5"/>
    <n v="34.154999999999994"/>
    <n v="136.61999999999998"/>
    <n v="3.7570499999999996"/>
    <n v="15.028199999999998"/>
    <n v="11"/>
  </r>
  <r>
    <s v="ABK-08091-531"/>
    <d v="2020-10-30T00:00:00"/>
    <s v="2020"/>
    <s v="October"/>
    <s v="53864-36201-FG"/>
    <s v="Tess Benediktovich"/>
    <s v="tbenediktovichmv@ebay.com"/>
    <s v="+1 (505) 523-8113"/>
    <s v="Albuquerque"/>
    <s v="United States"/>
    <s v="Yes"/>
    <s v="L-L-1"/>
    <s v="Liberica"/>
    <s v="Light"/>
    <n v="3"/>
    <n v="1"/>
    <n v="15.85"/>
    <n v="47.55"/>
    <n v="2.0605000000000002"/>
    <n v="6.1815000000000007"/>
    <n v="13.000000000000004"/>
  </r>
  <r>
    <s v="GPT-67705-953"/>
    <d v="2019-11-12T00:00:00"/>
    <s v="2019"/>
    <s v="November"/>
    <s v="70631-33225-MZ"/>
    <s v="Correy Bourner"/>
    <s v="cbournermw@chronoengine.com"/>
    <s v="UNKNOWN"/>
    <s v="Charlotte"/>
    <s v="United States"/>
    <s v="Yes"/>
    <s v="A-M-0.2"/>
    <s v="Arabica"/>
    <s v="Medium"/>
    <n v="5"/>
    <n v="0.2"/>
    <n v="3.375"/>
    <n v="16.875"/>
    <n v="0.30374999999999996"/>
    <n v="1.5187499999999998"/>
    <n v="8.9999999999999982"/>
  </r>
  <r>
    <s v="JNA-21450-177"/>
    <d v="2022-02-11T00:00:00"/>
    <s v="2022"/>
    <s v="February"/>
    <s v="54798-14109-HC"/>
    <s v="Odelia Skerme"/>
    <s v="oskermen3@hatena.ne.jp"/>
    <s v="+1 (405) 615-0298"/>
    <s v="Oklahoma City"/>
    <s v="United States"/>
    <s v="Yes"/>
    <s v="A-D-1"/>
    <s v="Arabica"/>
    <s v="Dark"/>
    <n v="3"/>
    <n v="1"/>
    <n v="9.9499999999999993"/>
    <n v="29.849999999999998"/>
    <n v="0.89549999999999985"/>
    <n v="2.6864999999999997"/>
    <n v="9"/>
  </r>
  <r>
    <s v="MPQ-23421-608"/>
    <d v="2021-03-28T00:00:00"/>
    <s v="2021"/>
    <s v="March"/>
    <s v="08023-52962-ET"/>
    <s v="Kandy Heddan"/>
    <s v="kheddanmy@icq.com"/>
    <s v="+1 (850) 796-6812"/>
    <s v="Pensacola"/>
    <s v="United States"/>
    <s v="Yes"/>
    <s v="E-M-0.5"/>
    <s v="Excelsa"/>
    <s v="Medium"/>
    <n v="5"/>
    <n v="0.5"/>
    <n v="8.25"/>
    <n v="41.25"/>
    <n v="0.90749999999999997"/>
    <n v="4.5374999999999996"/>
    <n v="10.999999999999998"/>
  </r>
  <r>
    <s v="NLI-63891-565"/>
    <d v="2021-12-10T00:00:00"/>
    <s v="2021"/>
    <s v="December"/>
    <s v="41899-00283-VK"/>
    <s v="Ibby Charters"/>
    <s v="ichartersmz@abc.net.au"/>
    <s v="+1 (202) 710-9776"/>
    <s v="Washington"/>
    <s v="United States"/>
    <s v="No"/>
    <s v="E-M-0.2"/>
    <s v="Excelsa"/>
    <s v="Medium"/>
    <n v="5"/>
    <n v="0.2"/>
    <n v="4.125"/>
    <n v="20.625"/>
    <n v="0.45374999999999999"/>
    <n v="2.2687499999999998"/>
    <n v="10.999999999999998"/>
  </r>
  <r>
    <s v="HHF-36647-854"/>
    <d v="2021-11-05T00:00:00"/>
    <s v="2021"/>
    <s v="November"/>
    <s v="39011-18412-GR"/>
    <s v="Adora Roubert"/>
    <s v="aroubertn0@tmall.com"/>
    <s v="+1 (772) 366-6549"/>
    <s v="Port Saint Lucie"/>
    <s v="United States"/>
    <s v="Yes"/>
    <s v="A-D-2.5"/>
    <s v="Arabica"/>
    <s v="Dark"/>
    <n v="6"/>
    <n v="2.5"/>
    <n v="22.884999999999998"/>
    <n v="137.31"/>
    <n v="2.0596499999999995"/>
    <n v="12.357899999999997"/>
    <n v="8.9999999999999982"/>
  </r>
  <r>
    <s v="SBN-16537-046"/>
    <d v="2020-02-29T00:00:00"/>
    <s v="2020"/>
    <s v="February"/>
    <s v="60255-12579-PZ"/>
    <s v="Hillel Mairs"/>
    <s v="hmairsn1@so-net.ne.jp"/>
    <s v="+1 (304) 834-9665"/>
    <s v="Huntington"/>
    <s v="United States"/>
    <s v="No"/>
    <s v="A-D-0.2"/>
    <s v="Arabica"/>
    <s v="Dark"/>
    <n v="1"/>
    <n v="0.2"/>
    <n v="2.9849999999999999"/>
    <n v="2.9849999999999999"/>
    <n v="0.26865"/>
    <n v="0.26865"/>
    <n v="9.0000000000000018"/>
  </r>
  <r>
    <s v="XZD-44484-632"/>
    <d v="2021-08-06T00:00:00"/>
    <s v="2021"/>
    <s v="August"/>
    <s v="80541-38332-BP"/>
    <s v="Helaina Rainforth"/>
    <s v="hrainforthn2@blog.com"/>
    <s v="+1 (215) 607-9440"/>
    <s v="Philadelphia"/>
    <s v="United States"/>
    <s v="No"/>
    <s v="E-M-1"/>
    <s v="Excelsa"/>
    <s v="Medium"/>
    <n v="2"/>
    <n v="1"/>
    <n v="13.75"/>
    <n v="27.5"/>
    <n v="1.5125"/>
    <n v="3.0249999999999999"/>
    <n v="11"/>
  </r>
  <r>
    <s v="XZD-44484-632"/>
    <d v="2021-08-06T00:00:00"/>
    <s v="2021"/>
    <s v="August"/>
    <s v="80541-38332-BP"/>
    <s v="Helaina Rainforth"/>
    <s v="hrainforthn2@blog.com"/>
    <s v="+1 (215) 607-9440"/>
    <s v="Philadelphia"/>
    <s v="United States"/>
    <s v="No"/>
    <s v="A-D-0.2"/>
    <s v="Arabica"/>
    <s v="Dark"/>
    <n v="2"/>
    <n v="0.2"/>
    <n v="2.9849999999999999"/>
    <n v="5.97"/>
    <n v="0.26865"/>
    <n v="0.5373"/>
    <n v="9.0000000000000018"/>
  </r>
  <r>
    <s v="IKQ-39946-768"/>
    <d v="2021-03-19T00:00:00"/>
    <s v="2021"/>
    <s v="March"/>
    <s v="72778-50968-UQ"/>
    <s v="Isac Jesper"/>
    <s v="ijespern4@theglobeandmail.com"/>
    <s v="+1 (239) 918-0943"/>
    <s v="Naples"/>
    <s v="United States"/>
    <s v="No"/>
    <s v="R-M-1"/>
    <s v="Robusta"/>
    <s v="Medium"/>
    <n v="6"/>
    <n v="1"/>
    <n v="9.9499999999999993"/>
    <n v="59.699999999999996"/>
    <n v="0.59699999999999998"/>
    <n v="3.5819999999999999"/>
    <n v="6.0000000000000009"/>
  </r>
  <r>
    <s v="KMB-95211-174"/>
    <d v="2021-04-16T00:00:00"/>
    <s v="2021"/>
    <s v="April"/>
    <s v="23941-30203-MO"/>
    <s v="Lenette Dwerryhouse"/>
    <s v="ldwerryhousen5@gravatar.com"/>
    <s v="+1 (682) 812-1698"/>
    <s v="Fort Worth"/>
    <s v="United States"/>
    <s v="Yes"/>
    <s v="R-D-2.5"/>
    <s v="Robusta"/>
    <s v="Dark"/>
    <n v="4"/>
    <n v="2.5"/>
    <n v="20.584999999999997"/>
    <n v="82.339999999999989"/>
    <n v="1.2350999999999999"/>
    <n v="4.9403999999999995"/>
    <n v="6.0000000000000009"/>
  </r>
  <r>
    <s v="QWY-99467-368"/>
    <d v="2020-11-06T00:00:00"/>
    <s v="2020"/>
    <s v="November"/>
    <s v="96434-50068-DZ"/>
    <s v="Nadeen Broomer"/>
    <s v="nbroomern6@examiner.com"/>
    <s v="+1 (402) 219-2018"/>
    <s v="Omaha"/>
    <s v="United States"/>
    <s v="No"/>
    <s v="A-D-2.5"/>
    <s v="Arabica"/>
    <s v="Dark"/>
    <n v="1"/>
    <n v="2.5"/>
    <n v="22.884999999999998"/>
    <n v="22.884999999999998"/>
    <n v="2.0596499999999995"/>
    <n v="2.0596499999999995"/>
    <n v="8.9999999999999982"/>
  </r>
  <r>
    <s v="SRG-76791-614"/>
    <d v="2021-03-15T00:00:00"/>
    <s v="2021"/>
    <s v="March"/>
    <s v="11729-74102-XB"/>
    <s v="Konstantine Thoumasson"/>
    <s v="kthoumassonn7@bloglovin.com"/>
    <s v="UNKNOWN"/>
    <s v="Tucson"/>
    <s v="United States"/>
    <s v="Yes"/>
    <s v="E-L-0.5"/>
    <s v="Excelsa"/>
    <s v="Light"/>
    <n v="1"/>
    <n v="0.5"/>
    <n v="8.91"/>
    <n v="8.91"/>
    <n v="0.98009999999999997"/>
    <n v="0.98009999999999997"/>
    <n v="11"/>
  </r>
  <r>
    <s v="VSN-94485-621"/>
    <d v="2021-10-17T00:00:00"/>
    <s v="2021"/>
    <s v="October"/>
    <s v="88116-12604-TE"/>
    <s v="Frans Habbergham"/>
    <s v="fhabberghamn8@discovery.com"/>
    <s v="+1 (775) 814-9362"/>
    <s v="Sparks"/>
    <s v="United States"/>
    <s v="No"/>
    <s v="A-D-0.2"/>
    <s v="Arabica"/>
    <s v="Dark"/>
    <n v="4"/>
    <n v="0.2"/>
    <n v="2.9849999999999999"/>
    <n v="11.94"/>
    <n v="0.26865"/>
    <n v="1.0746"/>
    <n v="9.0000000000000018"/>
  </r>
  <r>
    <s v="UFZ-24348-219"/>
    <d v="2019-09-07T00:00:00"/>
    <s v="2019"/>
    <s v="September"/>
    <s v="27930-59250-JT"/>
    <s v="Allis Wilmore"/>
    <s v="UNKNOWN"/>
    <s v="+1 (713) 984-5207"/>
    <s v="Houston"/>
    <s v="United States"/>
    <s v="No"/>
    <s v="L-M-2.5"/>
    <s v="Liberica"/>
    <s v="Medium"/>
    <n v="3"/>
    <n v="2.5"/>
    <n v="33.464999999999996"/>
    <n v="100.39499999999998"/>
    <n v="4.3504499999999995"/>
    <n v="13.051349999999999"/>
    <n v="13"/>
  </r>
  <r>
    <s v="UKS-93055-397"/>
    <d v="2022-07-13T00:00:00"/>
    <s v="2022"/>
    <s v="July"/>
    <s v="13082-41034-PD"/>
    <s v="Romain Avrashin"/>
    <s v="ravrashinna@tamu.edu"/>
    <s v="+1 (202) 973-9890"/>
    <s v="Washington"/>
    <s v="United States"/>
    <s v="No"/>
    <s v="A-D-2.5"/>
    <s v="Arabica"/>
    <s v="Dark"/>
    <n v="5"/>
    <n v="2.5"/>
    <n v="22.884999999999998"/>
    <n v="114.42499999999998"/>
    <n v="2.0596499999999995"/>
    <n v="10.298249999999998"/>
    <n v="9"/>
  </r>
  <r>
    <s v="AVH-56062-335"/>
    <d v="2021-11-21T00:00:00"/>
    <s v="2021"/>
    <s v="November"/>
    <s v="18082-74419-QH"/>
    <s v="Miran Doidge"/>
    <s v="mdoidgenb@etsy.com"/>
    <s v="+1 (831) 955-4716"/>
    <s v="Salinas"/>
    <s v="United States"/>
    <s v="No"/>
    <s v="E-M-0.5"/>
    <s v="Excelsa"/>
    <s v="Medium"/>
    <n v="5"/>
    <n v="0.5"/>
    <n v="8.25"/>
    <n v="41.25"/>
    <n v="0.90749999999999997"/>
    <n v="4.5374999999999996"/>
    <n v="10.999999999999998"/>
  </r>
  <r>
    <s v="HGE-19842-613"/>
    <d v="2022-01-13T00:00:00"/>
    <s v="2022"/>
    <s v="January"/>
    <s v="49401-45041-ZU"/>
    <s v="Janeva Edinboro"/>
    <s v="jedinboronc@reverbnation.com"/>
    <s v="+1 (754) 219-4187"/>
    <s v="Fort Lauderdale"/>
    <s v="United States"/>
    <s v="Yes"/>
    <s v="R-L-0.5"/>
    <s v="Robusta"/>
    <s v="Light"/>
    <n v="4"/>
    <n v="0.5"/>
    <n v="7.169999999999999"/>
    <n v="28.679999999999996"/>
    <n v="0.43019999999999992"/>
    <n v="1.7207999999999997"/>
    <n v="6"/>
  </r>
  <r>
    <s v="WBA-85905-175"/>
    <d v="2022-07-13T00:00:00"/>
    <s v="2022"/>
    <s v="July"/>
    <s v="41252-45992-VS"/>
    <s v="Trumaine Tewelson"/>
    <s v="ttewelsonnd@cdbaby.com"/>
    <s v="UNKNOWN"/>
    <s v="El Paso"/>
    <s v="United States"/>
    <s v="No"/>
    <s v="L-M-0.2"/>
    <s v="Liberica"/>
    <s v="Medium"/>
    <n v="1"/>
    <n v="0.2"/>
    <n v="4.3650000000000002"/>
    <n v="4.3650000000000002"/>
    <n v="0.56745000000000001"/>
    <n v="0.56745000000000001"/>
    <n v="13"/>
  </r>
  <r>
    <s v="DZI-35365-596"/>
    <d v="2021-11-02T00:00:00"/>
    <s v="2021"/>
    <s v="November"/>
    <s v="54798-14109-HC"/>
    <s v="Odelia Skerme"/>
    <s v="oskermen3@hatena.ne.jp"/>
    <s v="+1 (405) 615-0298"/>
    <s v="Oklahoma City"/>
    <s v="United States"/>
    <s v="Yes"/>
    <s v="E-M-0.2"/>
    <s v="Excelsa"/>
    <s v="Medium"/>
    <n v="2"/>
    <n v="0.2"/>
    <n v="4.125"/>
    <n v="8.25"/>
    <n v="0.45374999999999999"/>
    <n v="0.90749999999999997"/>
    <n v="11"/>
  </r>
  <r>
    <s v="XIR-88982-743"/>
    <d v="2021-07-10T00:00:00"/>
    <s v="2021"/>
    <s v="July"/>
    <s v="00852-54571-WP"/>
    <s v="De Drewitt"/>
    <s v="ddrewittnf@mapquest.com"/>
    <s v="+1 (571) 504-1175"/>
    <s v="Alexandria"/>
    <s v="United States"/>
    <s v="Yes"/>
    <s v="E-M-0.2"/>
    <s v="Excelsa"/>
    <s v="Medium"/>
    <n v="2"/>
    <n v="0.2"/>
    <n v="4.125"/>
    <n v="8.25"/>
    <n v="0.45374999999999999"/>
    <n v="0.90749999999999997"/>
    <n v="11"/>
  </r>
  <r>
    <s v="VUC-72395-865"/>
    <d v="2021-10-07T00:00:00"/>
    <s v="2021"/>
    <s v="October"/>
    <s v="13321-57602-GK"/>
    <s v="Adelheid Gladhill"/>
    <s v="agladhillng@stanford.edu"/>
    <s v="+1 (410) 991-5601"/>
    <s v="Baltimore"/>
    <s v="United States"/>
    <s v="Yes"/>
    <s v="A-D-0.5"/>
    <s v="Arabica"/>
    <s v="Dark"/>
    <n v="6"/>
    <n v="0.5"/>
    <n v="5.97"/>
    <n v="35.82"/>
    <n v="0.5373"/>
    <n v="3.2237999999999998"/>
    <n v="9"/>
  </r>
  <r>
    <s v="BQJ-44755-910"/>
    <d v="2020-02-28T00:00:00"/>
    <s v="2020"/>
    <s v="February"/>
    <s v="75006-89922-VW"/>
    <s v="Murielle Lorinez"/>
    <s v="mlorineznh@whitehouse.gov"/>
    <s v="UNKNOWN"/>
    <s v="Evansville"/>
    <s v="United States"/>
    <s v="No"/>
    <s v="E-D-2.5"/>
    <s v="Excelsa"/>
    <s v="Dark"/>
    <n v="6"/>
    <n v="2.5"/>
    <n v="27.945"/>
    <n v="167.67000000000002"/>
    <n v="3.07395"/>
    <n v="18.4437"/>
    <n v="10.999999999999998"/>
  </r>
  <r>
    <s v="JKC-64636-831"/>
    <d v="2022-07-05T00:00:00"/>
    <s v="2022"/>
    <s v="July"/>
    <s v="52098-80103-FD"/>
    <s v="Edin Mathe"/>
    <s v="UNKNOWN"/>
    <s v="+1 (404) 514-8311"/>
    <s v="Lawrenceville"/>
    <s v="United States"/>
    <s v="Yes"/>
    <s v="A-M-2.5"/>
    <s v="Arabica"/>
    <s v="Medium"/>
    <n v="2"/>
    <n v="2.5"/>
    <n v="25.874999999999996"/>
    <n v="51.749999999999993"/>
    <n v="2.3287499999999994"/>
    <n v="4.6574999999999989"/>
    <n v="9"/>
  </r>
  <r>
    <s v="ZKI-78561-066"/>
    <d v="2021-09-21T00:00:00"/>
    <s v="2021"/>
    <s v="September"/>
    <s v="60121-12432-VU"/>
    <s v="Mordy Van Der Vlies"/>
    <s v="mvannj@wikipedia.org"/>
    <s v="UNKNOWN"/>
    <s v="Mobile"/>
    <s v="United States"/>
    <s v="Yes"/>
    <s v="A-D-0.2"/>
    <s v="Arabica"/>
    <s v="Dark"/>
    <n v="3"/>
    <n v="0.2"/>
    <n v="2.9849999999999999"/>
    <n v="8.9550000000000001"/>
    <n v="0.26865"/>
    <n v="0.80594999999999994"/>
    <n v="9"/>
  </r>
  <r>
    <s v="IMP-12563-728"/>
    <d v="2019-01-03T00:00:00"/>
    <s v="2019"/>
    <s v="January"/>
    <s v="68346-14810-UA"/>
    <s v="Spencer Wastell"/>
    <s v="UNKNOWN"/>
    <s v="+1 (432) 765-8747"/>
    <s v="Midland"/>
    <s v="United States"/>
    <s v="No"/>
    <s v="E-L-0.5"/>
    <s v="Excelsa"/>
    <s v="Light"/>
    <n v="6"/>
    <n v="0.5"/>
    <n v="8.91"/>
    <n v="53.46"/>
    <n v="0.98009999999999997"/>
    <n v="5.8805999999999994"/>
    <n v="10.999999999999998"/>
  </r>
  <r>
    <s v="MZL-81126-390"/>
    <d v="2022-03-08T00:00:00"/>
    <s v="2022"/>
    <s v="March"/>
    <s v="48464-99723-HK"/>
    <s v="Jemimah Ethelston"/>
    <s v="jethelstonnl@creativecommons.org"/>
    <s v="+1 (954) 385-3551"/>
    <s v="Hollywood"/>
    <s v="United States"/>
    <s v="Yes"/>
    <s v="A-L-0.2"/>
    <s v="Arabica"/>
    <s v="Light"/>
    <n v="6"/>
    <n v="0.2"/>
    <n v="3.8849999999999998"/>
    <n v="23.31"/>
    <n v="0.34964999999999996"/>
    <n v="2.0978999999999997"/>
    <n v="9"/>
  </r>
  <r>
    <s v="MZL-81126-390"/>
    <d v="2022-03-08T00:00:00"/>
    <s v="2022"/>
    <s v="March"/>
    <s v="48464-99723-HK"/>
    <s v="Jemimah Ethelston"/>
    <s v="jethelstonnl@creativecommons.org"/>
    <s v="+1 (954) 385-3551"/>
    <s v="Hollywood"/>
    <s v="United States"/>
    <s v="Yes"/>
    <s v="A-M-0.2"/>
    <s v="Arabica"/>
    <s v="Medium"/>
    <n v="2"/>
    <n v="0.2"/>
    <n v="3.375"/>
    <n v="6.75"/>
    <n v="0.30374999999999996"/>
    <n v="0.60749999999999993"/>
    <n v="8.9999999999999982"/>
  </r>
  <r>
    <s v="TVF-57766-608"/>
    <d v="2020-03-10T00:00:00"/>
    <s v="2020"/>
    <s v="March"/>
    <s v="88420-46464-XE"/>
    <s v="Perice Eberz"/>
    <s v="peberznn@woothemes.com"/>
    <s v="+1 (530) 938-1204"/>
    <s v="Chico"/>
    <s v="United States"/>
    <s v="Yes"/>
    <s v="L-D-0.5"/>
    <s v="Liberica"/>
    <s v="Dark"/>
    <n v="1"/>
    <n v="0.5"/>
    <n v="7.77"/>
    <n v="7.77"/>
    <n v="1.0101"/>
    <n v="1.0101"/>
    <n v="13"/>
  </r>
  <r>
    <s v="RUX-37995-892"/>
    <d v="2021-11-27T00:00:00"/>
    <s v="2021"/>
    <s v="November"/>
    <s v="37762-09530-MP"/>
    <s v="Bear Gaish"/>
    <s v="bgaishno@altervista.org"/>
    <s v="UNKNOWN"/>
    <s v="Austin"/>
    <s v="United States"/>
    <s v="Yes"/>
    <s v="L-D-2.5"/>
    <s v="Liberica"/>
    <s v="Dark"/>
    <n v="4"/>
    <n v="2.5"/>
    <n v="29.784999999999997"/>
    <n v="119.13999999999999"/>
    <n v="3.8720499999999998"/>
    <n v="15.488199999999999"/>
    <n v="13"/>
  </r>
  <r>
    <s v="AVK-76526-953"/>
    <d v="2021-03-04T00:00:00"/>
    <s v="2021"/>
    <s v="March"/>
    <s v="47268-50127-XY"/>
    <s v="Lynnea Danton"/>
    <s v="ldantonnp@miitbeian.gov.cn"/>
    <s v="UNKNOWN"/>
    <s v="El Paso"/>
    <s v="United States"/>
    <s v="No"/>
    <s v="A-D-1"/>
    <s v="Arabica"/>
    <s v="Dark"/>
    <n v="2"/>
    <n v="1"/>
    <n v="9.9499999999999993"/>
    <n v="19.899999999999999"/>
    <n v="0.89549999999999985"/>
    <n v="1.7909999999999997"/>
    <n v="9"/>
  </r>
  <r>
    <s v="RIU-02231-623"/>
    <d v="2021-11-16T00:00:00"/>
    <s v="2021"/>
    <s v="November"/>
    <s v="25544-84179-QC"/>
    <s v="Skipton Morrall"/>
    <s v="smorrallnq@answers.com"/>
    <s v="+1 (304) 897-5422"/>
    <s v="Charleston"/>
    <s v="United States"/>
    <s v="Yes"/>
    <s v="R-L-0.5"/>
    <s v="Robusta"/>
    <s v="Light"/>
    <n v="5"/>
    <n v="0.5"/>
    <n v="7.169999999999999"/>
    <n v="35.849999999999994"/>
    <n v="0.43019999999999992"/>
    <n v="2.1509999999999998"/>
    <n v="6.0000000000000009"/>
  </r>
  <r>
    <s v="WFK-99317-827"/>
    <d v="2019-06-16T00:00:00"/>
    <s v="2019"/>
    <s v="June"/>
    <s v="32058-76765-ZL"/>
    <s v="Devan Crownshaw"/>
    <s v="dcrownshawnr@photobucket.com"/>
    <s v="+1 (610) 576-4733"/>
    <s v="Allentown"/>
    <s v="United States"/>
    <s v="No"/>
    <s v="L-D-2.5"/>
    <s v="Liberica"/>
    <s v="Dark"/>
    <n v="3"/>
    <n v="2.5"/>
    <n v="29.784999999999997"/>
    <n v="89.35499999999999"/>
    <n v="3.8720499999999998"/>
    <n v="11.616149999999999"/>
    <n v="13"/>
  </r>
  <r>
    <s v="SFD-00372-284"/>
    <d v="2020-07-19T00:00:00"/>
    <s v="2020"/>
    <s v="July"/>
    <s v="54798-14109-HC"/>
    <s v="Odelia Skerme"/>
    <s v="oskermen3@hatena.ne.jp"/>
    <s v="+1 (405) 615-0298"/>
    <s v="Oklahoma City"/>
    <s v="United States"/>
    <s v="Yes"/>
    <s v="L-M-0.2"/>
    <s v="Liberica"/>
    <s v="Medium"/>
    <n v="2"/>
    <n v="0.2"/>
    <n v="4.3650000000000002"/>
    <n v="8.73"/>
    <n v="0.56745000000000001"/>
    <n v="1.1349"/>
    <n v="13"/>
  </r>
  <r>
    <s v="SXC-62166-515"/>
    <d v="2020-02-28T00:00:00"/>
    <s v="2020"/>
    <s v="February"/>
    <s v="69171-65646-UC"/>
    <s v="Joceline Reddoch"/>
    <s v="jreddochnt@sun.com"/>
    <s v="+1 (863) 742-5292"/>
    <s v="Largo"/>
    <s v="United States"/>
    <s v="No"/>
    <s v="R-L-2.5"/>
    <s v="Robusta"/>
    <s v="Light"/>
    <n v="5"/>
    <n v="2.5"/>
    <n v="27.484999999999996"/>
    <n v="137.42499999999998"/>
    <n v="1.6490999999999998"/>
    <n v="8.2454999999999998"/>
    <n v="6.0000000000000009"/>
  </r>
  <r>
    <s v="YIE-87008-621"/>
    <d v="2019-06-22T00:00:00"/>
    <s v="2019"/>
    <s v="June"/>
    <s v="22503-52799-MI"/>
    <s v="Shelley Titley"/>
    <s v="stitleynu@whitehouse.gov"/>
    <s v="+1 (701) 350-6149"/>
    <s v="Fargo"/>
    <s v="United States"/>
    <s v="No"/>
    <s v="L-M-0.5"/>
    <s v="Liberica"/>
    <s v="Medium"/>
    <n v="4"/>
    <n v="0.5"/>
    <n v="8.73"/>
    <n v="34.92"/>
    <n v="1.1349"/>
    <n v="4.5396000000000001"/>
    <n v="13"/>
  </r>
  <r>
    <s v="HRM-94548-288"/>
    <d v="2019-09-08T00:00:00"/>
    <s v="2019"/>
    <s v="September"/>
    <s v="08934-65581-ZI"/>
    <s v="Redd Simao"/>
    <s v="rsimaonv@simplemachines.org"/>
    <s v="+1 (479) 898-5090"/>
    <s v="Fort Smith"/>
    <s v="United States"/>
    <s v="No"/>
    <s v="A-L-2.5"/>
    <s v="Arabica"/>
    <s v="Light"/>
    <n v="6"/>
    <n v="2.5"/>
    <n v="29.784999999999997"/>
    <n v="178.70999999999998"/>
    <n v="2.6806499999999995"/>
    <n v="16.083899999999996"/>
    <n v="8.9999999999999982"/>
  </r>
  <r>
    <s v="UJG-34731-295"/>
    <d v="2022-05-26T00:00:00"/>
    <s v="2022"/>
    <s v="May"/>
    <s v="15764-22559-ZT"/>
    <s v="Cece Inker"/>
    <s v="UNKNOWN"/>
    <s v="+1 (863) 977-9033"/>
    <s v="Lakeland"/>
    <s v="United States"/>
    <s v="No"/>
    <s v="A-M-2.5"/>
    <s v="Arabica"/>
    <s v="Medium"/>
    <n v="1"/>
    <n v="2.5"/>
    <n v="25.874999999999996"/>
    <n v="25.874999999999996"/>
    <n v="2.3287499999999994"/>
    <n v="2.3287499999999994"/>
    <n v="9"/>
  </r>
  <r>
    <s v="TWD-70988-853"/>
    <d v="2019-12-03T00:00:00"/>
    <s v="2019"/>
    <s v="December"/>
    <s v="87519-68847-ZG"/>
    <s v="Noel Chisholm"/>
    <s v="nchisholmnx@example.com"/>
    <s v="+1 (865) 228-1100"/>
    <s v="Knoxville"/>
    <s v="United States"/>
    <s v="Yes"/>
    <s v="L-D-1"/>
    <s v="Liberica"/>
    <s v="Dark"/>
    <n v="6"/>
    <n v="1"/>
    <n v="12.95"/>
    <n v="77.699999999999989"/>
    <n v="1.6835"/>
    <n v="10.100999999999999"/>
    <n v="13"/>
  </r>
  <r>
    <s v="CIX-22904-641"/>
    <d v="2019-09-17T00:00:00"/>
    <s v="2019"/>
    <s v="September"/>
    <s v="78012-56878-UB"/>
    <s v="Grazia Oats"/>
    <s v="goatsny@live.com"/>
    <s v="+1 (213) 813-1072"/>
    <s v="Los Angeles"/>
    <s v="United States"/>
    <s v="Yes"/>
    <s v="R-M-1"/>
    <s v="Robusta"/>
    <s v="Medium"/>
    <n v="1"/>
    <n v="1"/>
    <n v="9.9499999999999993"/>
    <n v="9.9499999999999993"/>
    <n v="0.59699999999999998"/>
    <n v="0.59699999999999998"/>
    <n v="6.0000000000000009"/>
  </r>
  <r>
    <s v="DLV-65840-759"/>
    <d v="2022-05-31T00:00:00"/>
    <s v="2022"/>
    <s v="May"/>
    <s v="77192-72145-RG"/>
    <s v="Meade Birkin"/>
    <s v="mbirkinnz@java.com"/>
    <s v="+1 (954) 431-7206"/>
    <s v="Miami"/>
    <s v="United States"/>
    <s v="Yes"/>
    <s v="L-M-1"/>
    <s v="Liberica"/>
    <s v="Medium"/>
    <n v="2"/>
    <n v="1"/>
    <n v="14.55"/>
    <n v="29.1"/>
    <n v="1.8915000000000002"/>
    <n v="3.7830000000000004"/>
    <n v="13"/>
  </r>
  <r>
    <s v="RXN-55491-201"/>
    <d v="2019-10-21T00:00:00"/>
    <s v="2019"/>
    <s v="October"/>
    <s v="86071-79238-CX"/>
    <s v="Ronda Pyson"/>
    <s v="rpysono0@constantcontact.com"/>
    <s v="+353 (836) 436-1472"/>
    <s v="Clones"/>
    <s v="Ireland"/>
    <s v="No"/>
    <s v="R-L-0.2"/>
    <s v="Robusta"/>
    <s v="Light"/>
    <n v="6"/>
    <n v="0.2"/>
    <n v="3.5849999999999995"/>
    <n v="21.509999999999998"/>
    <n v="0.21509999999999996"/>
    <n v="1.2905999999999997"/>
    <n v="5.9999999999999991"/>
  </r>
  <r>
    <s v="UHK-63283-868"/>
    <d v="2022-04-24T00:00:00"/>
    <s v="2022"/>
    <s v="April"/>
    <s v="16809-16936-WF"/>
    <s v="Modesty MacConnechie"/>
    <s v="mmacconnechieo9@reuters.com"/>
    <s v="+1 (304) 620-6008"/>
    <s v="Charleston"/>
    <s v="United States"/>
    <s v="Yes"/>
    <s v="A-M-0.5"/>
    <s v="Arabica"/>
    <s v="Medium"/>
    <n v="1"/>
    <n v="0.5"/>
    <n v="6.75"/>
    <n v="6.75"/>
    <n v="0.60749999999999993"/>
    <n v="0.60749999999999993"/>
    <n v="8.9999999999999982"/>
  </r>
  <r>
    <s v="PJC-31401-893"/>
    <d v="2021-01-13T00:00:00"/>
    <s v="2021"/>
    <s v="January"/>
    <s v="11212-69985-ZJ"/>
    <s v="Rafaela Treacher"/>
    <s v="rtreachero2@usa.gov"/>
    <s v="+353 (552) 867-2244"/>
    <s v="Greystones"/>
    <s v="Ireland"/>
    <s v="No"/>
    <s v="A-D-0.5"/>
    <s v="Arabica"/>
    <s v="Dark"/>
    <n v="3"/>
    <n v="0.5"/>
    <n v="5.97"/>
    <n v="17.91"/>
    <n v="0.5373"/>
    <n v="1.6118999999999999"/>
    <n v="9"/>
  </r>
  <r>
    <s v="HHO-79903-185"/>
    <d v="2022-08-19T00:00:00"/>
    <s v="2022"/>
    <s v="August"/>
    <s v="53893-01719-CL"/>
    <s v="Bee Fattorini"/>
    <s v="bfattorinio3@quantcast.com"/>
    <s v="UNKNOWN"/>
    <s v="Monaghan"/>
    <s v="Ireland"/>
    <s v="Yes"/>
    <s v="A-L-2.5"/>
    <s v="Arabica"/>
    <s v="Light"/>
    <n v="1"/>
    <n v="2.5"/>
    <n v="29.784999999999997"/>
    <n v="29.784999999999997"/>
    <n v="2.6806499999999995"/>
    <n v="2.6806499999999995"/>
    <n v="9"/>
  </r>
  <r>
    <s v="YWM-07310-594"/>
    <d v="2019-03-02T00:00:00"/>
    <s v="2019"/>
    <s v="March"/>
    <s v="66028-99867-WJ"/>
    <s v="Margie Palleske"/>
    <s v="mpalleskeo4@nyu.edu"/>
    <s v="+1 (561) 371-1596"/>
    <s v="Pompano Beach"/>
    <s v="United States"/>
    <s v="Yes"/>
    <s v="E-M-0.5"/>
    <s v="Excelsa"/>
    <s v="Medium"/>
    <n v="5"/>
    <n v="0.5"/>
    <n v="8.25"/>
    <n v="41.25"/>
    <n v="0.90749999999999997"/>
    <n v="4.5374999999999996"/>
    <n v="10.999999999999998"/>
  </r>
  <r>
    <s v="FHD-94983-982"/>
    <d v="2020-01-21T00:00:00"/>
    <s v="2020"/>
    <s v="January"/>
    <s v="62839-56723-CH"/>
    <s v="Alexina Randals"/>
    <s v="UNKNOWN"/>
    <s v="+1 (916) 300-4433"/>
    <s v="Sacramento"/>
    <s v="United States"/>
    <s v="Yes"/>
    <s v="R-M-0.5"/>
    <s v="Robusta"/>
    <s v="Medium"/>
    <n v="3"/>
    <n v="0.5"/>
    <n v="5.97"/>
    <n v="17.91"/>
    <n v="0.35819999999999996"/>
    <n v="1.0745999999999998"/>
    <n v="5.9999999999999982"/>
  </r>
  <r>
    <s v="WQK-10857-119"/>
    <d v="2021-09-21T00:00:00"/>
    <s v="2021"/>
    <s v="September"/>
    <s v="96849-52854-CR"/>
    <s v="Filip Antcliffe"/>
    <s v="fantcliffeo6@amazon.co.jp"/>
    <s v="+353 (581) 217-6697"/>
    <s v="Clonskeagh"/>
    <s v="Ireland"/>
    <s v="Yes"/>
    <s v="E-D-0.5"/>
    <s v="Excelsa"/>
    <s v="Dark"/>
    <n v="1"/>
    <n v="0.5"/>
    <n v="7.29"/>
    <n v="7.29"/>
    <n v="0.80190000000000006"/>
    <n v="0.80190000000000006"/>
    <n v="11"/>
  </r>
  <r>
    <s v="DXA-50313-073"/>
    <d v="2019-08-30T00:00:00"/>
    <s v="2019"/>
    <s v="August"/>
    <s v="19755-55847-VW"/>
    <s v="Peyter Matignon"/>
    <s v="pmatignono7@harvard.edu"/>
    <s v="+44 (792) 626-3977"/>
    <s v="Kirkton"/>
    <s v="United Kingdom"/>
    <s v="Yes"/>
    <s v="E-L-1"/>
    <s v="Excelsa"/>
    <s v="Light"/>
    <n v="2"/>
    <n v="1"/>
    <n v="14.85"/>
    <n v="29.7"/>
    <n v="1.6335"/>
    <n v="3.2669999999999999"/>
    <n v="11"/>
  </r>
  <r>
    <s v="ONW-00560-570"/>
    <d v="2019-02-25T00:00:00"/>
    <s v="2019"/>
    <s v="February"/>
    <s v="32900-82606-BO"/>
    <s v="Claudie Weond"/>
    <s v="cweondo8@theglobeandmail.com"/>
    <s v="+1 (828) 335-1268"/>
    <s v="Asheville"/>
    <s v="United States"/>
    <s v="No"/>
    <s v="A-M-1"/>
    <s v="Arabica"/>
    <s v="Medium"/>
    <n v="2"/>
    <n v="1"/>
    <n v="11.25"/>
    <n v="22.5"/>
    <n v="1.0125"/>
    <n v="2.0249999999999999"/>
    <n v="9"/>
  </r>
  <r>
    <s v="BRJ-19414-277"/>
    <d v="2019-09-17T00:00:00"/>
    <s v="2019"/>
    <s v="September"/>
    <s v="16809-16936-WF"/>
    <s v="Modesty MacConnechie"/>
    <s v="mmacconnechieo9@reuters.com"/>
    <s v="+1 (304) 620-6008"/>
    <s v="Charleston"/>
    <s v="United States"/>
    <s v="Yes"/>
    <s v="R-M-0.2"/>
    <s v="Robusta"/>
    <s v="Medium"/>
    <n v="4"/>
    <n v="0.2"/>
    <n v="2.9849999999999999"/>
    <n v="11.94"/>
    <n v="0.17909999999999998"/>
    <n v="0.71639999999999993"/>
    <n v="6"/>
  </r>
  <r>
    <s v="MIQ-16322-908"/>
    <d v="2019-08-03T00:00:00"/>
    <s v="2019"/>
    <s v="August"/>
    <s v="20118-28138-QD"/>
    <s v="Jaquenette Skentelbery"/>
    <s v="jskentelberyoa@paypal.com"/>
    <s v="+1 (713) 976-5419"/>
    <s v="Houston"/>
    <s v="United States"/>
    <s v="No"/>
    <s v="A-L-1"/>
    <s v="Arabica"/>
    <s v="Light"/>
    <n v="2"/>
    <n v="1"/>
    <n v="12.95"/>
    <n v="25.9"/>
    <n v="1.1655"/>
    <n v="2.331"/>
    <n v="9"/>
  </r>
  <r>
    <s v="MVO-39328-830"/>
    <d v="2021-02-26T00:00:00"/>
    <s v="2021"/>
    <s v="February"/>
    <s v="84057-45461-AH"/>
    <s v="Orazio Comber"/>
    <s v="ocomberob@goo.gl"/>
    <s v="+353 (947) 836-2302"/>
    <s v="Confey"/>
    <s v="Ireland"/>
    <s v="No"/>
    <s v="L-M-0.5"/>
    <s v="Liberica"/>
    <s v="Medium"/>
    <n v="5"/>
    <n v="0.5"/>
    <n v="8.73"/>
    <n v="43.650000000000006"/>
    <n v="1.1349"/>
    <n v="5.6745000000000001"/>
    <n v="12.999999999999998"/>
  </r>
  <r>
    <s v="MVO-39328-830"/>
    <d v="2021-02-26T00:00:00"/>
    <s v="2021"/>
    <s v="February"/>
    <s v="84057-45461-AH"/>
    <s v="Orazio Comber"/>
    <s v="ocomberob@goo.gl"/>
    <s v="+353 (947) 836-2302"/>
    <s v="Confey"/>
    <s v="Ireland"/>
    <s v="No"/>
    <s v="A-L-0.5"/>
    <s v="Arabica"/>
    <s v="Light"/>
    <n v="6"/>
    <n v="0.5"/>
    <n v="7.77"/>
    <n v="46.62"/>
    <n v="0.69929999999999992"/>
    <n v="4.1957999999999993"/>
    <n v="9"/>
  </r>
  <r>
    <s v="NTJ-88319-746"/>
    <d v="2021-08-03T00:00:00"/>
    <s v="2021"/>
    <s v="August"/>
    <s v="90882-88130-KQ"/>
    <s v="Zachary Tramel"/>
    <s v="ztramelod@netlog.com"/>
    <s v="+1 (862) 925-5943"/>
    <s v="Newark"/>
    <s v="United States"/>
    <s v="No"/>
    <s v="L-L-0.5"/>
    <s v="Liberica"/>
    <s v="Light"/>
    <n v="3"/>
    <n v="0.5"/>
    <n v="9.51"/>
    <n v="28.53"/>
    <n v="1.2363"/>
    <n v="3.7088999999999999"/>
    <n v="12.999999999999998"/>
  </r>
  <r>
    <s v="LCY-24377-948"/>
    <d v="2021-05-07T00:00:00"/>
    <s v="2021"/>
    <s v="May"/>
    <s v="21617-79890-DD"/>
    <s v="Izaak Primak"/>
    <s v="UNKNOWN"/>
    <s v="+1 (206) 705-3979"/>
    <s v="Seattle"/>
    <s v="United States"/>
    <s v="Yes"/>
    <s v="R-L-2.5"/>
    <s v="Robusta"/>
    <s v="Light"/>
    <n v="1"/>
    <n v="2.5"/>
    <n v="27.484999999999996"/>
    <n v="27.484999999999996"/>
    <n v="1.6490999999999998"/>
    <n v="1.6490999999999998"/>
    <n v="6.0000000000000009"/>
  </r>
  <r>
    <s v="FWD-85967-769"/>
    <d v="2019-06-14T00:00:00"/>
    <s v="2019"/>
    <s v="June"/>
    <s v="20256-54689-LO"/>
    <s v="Brittani Thoresbie"/>
    <s v="UNKNOWN"/>
    <s v="+1 (303) 606-9146"/>
    <s v="Englewood"/>
    <s v="United States"/>
    <s v="No"/>
    <s v="E-D-0.2"/>
    <s v="Excelsa"/>
    <s v="Dark"/>
    <n v="3"/>
    <n v="0.2"/>
    <n v="3.645"/>
    <n v="10.935"/>
    <n v="0.40095000000000003"/>
    <n v="1.2028500000000002"/>
    <n v="11.000000000000002"/>
  </r>
  <r>
    <s v="KTO-53793-109"/>
    <d v="2019-11-21T00:00:00"/>
    <s v="2019"/>
    <s v="November"/>
    <s v="17572-27091-AA"/>
    <s v="Constanta Hatfull"/>
    <s v="chatfullog@ebay.com"/>
    <s v="+1 (815) 382-1966"/>
    <s v="Rockford"/>
    <s v="United States"/>
    <s v="No"/>
    <s v="R-L-0.2"/>
    <s v="Robusta"/>
    <s v="Light"/>
    <n v="2"/>
    <n v="0.2"/>
    <n v="3.5849999999999995"/>
    <n v="7.169999999999999"/>
    <n v="0.21509999999999996"/>
    <n v="0.43019999999999992"/>
    <n v="6"/>
  </r>
  <r>
    <s v="OCK-89033-348"/>
    <d v="2021-03-31T00:00:00"/>
    <s v="2021"/>
    <s v="March"/>
    <s v="82300-88786-UE"/>
    <s v="Bobbe Castagneto"/>
    <s v="UNKNOWN"/>
    <s v="+1 (406) 972-9050"/>
    <s v="Billings"/>
    <s v="United States"/>
    <s v="Yes"/>
    <s v="A-L-0.2"/>
    <s v="Arabica"/>
    <s v="Light"/>
    <n v="6"/>
    <n v="0.2"/>
    <n v="3.8849999999999998"/>
    <n v="23.31"/>
    <n v="0.34964999999999996"/>
    <n v="2.0978999999999997"/>
    <n v="9"/>
  </r>
  <r>
    <s v="GPZ-36017-366"/>
    <d v="2019-07-01T00:00:00"/>
    <s v="2019"/>
    <s v="July"/>
    <s v="65732-22589-OW"/>
    <s v="Kippie Marrison"/>
    <s v="kmarrisonoq@dropbox.com"/>
    <s v="+1 (303) 808-6803"/>
    <s v="Denver"/>
    <s v="United States"/>
    <s v="Yes"/>
    <s v="A-D-2.5"/>
    <s v="Arabica"/>
    <s v="Dark"/>
    <n v="5"/>
    <n v="2.5"/>
    <n v="22.884999999999998"/>
    <n v="114.42499999999998"/>
    <n v="2.0596499999999995"/>
    <n v="10.298249999999998"/>
    <n v="9"/>
  </r>
  <r>
    <s v="BZP-33213-637"/>
    <d v="2020-05-05T00:00:00"/>
    <s v="2020"/>
    <s v="May"/>
    <s v="77175-09826-SF"/>
    <s v="Lindon Agnolo"/>
    <s v="lagnolooj@pinterest.com"/>
    <s v="+1 (918) 228-6949"/>
    <s v="Tulsa"/>
    <s v="United States"/>
    <s v="Yes"/>
    <s v="A-M-2.5"/>
    <s v="Arabica"/>
    <s v="Medium"/>
    <n v="3"/>
    <n v="2.5"/>
    <n v="25.874999999999996"/>
    <n v="77.624999999999986"/>
    <n v="2.3287499999999994"/>
    <n v="6.9862499999999983"/>
    <n v="9"/>
  </r>
  <r>
    <s v="WFH-21507-708"/>
    <d v="2020-04-20T00:00:00"/>
    <s v="2020"/>
    <s v="April"/>
    <s v="07237-32539-NB"/>
    <s v="Delainey Kiddy"/>
    <s v="dkiddyok@fda.gov"/>
    <s v="+1 (209) 103-3933"/>
    <s v="Fresno"/>
    <s v="United States"/>
    <s v="Yes"/>
    <s v="R-D-0.5"/>
    <s v="Robusta"/>
    <s v="Dark"/>
    <n v="1"/>
    <n v="0.5"/>
    <n v="5.3699999999999992"/>
    <n v="5.3699999999999992"/>
    <n v="0.32219999999999993"/>
    <n v="0.32219999999999993"/>
    <n v="6"/>
  </r>
  <r>
    <s v="HST-96923-073"/>
    <d v="2019-07-18T00:00:00"/>
    <s v="2019"/>
    <s v="July"/>
    <s v="54722-76431-EX"/>
    <s v="Helli Petroulis"/>
    <s v="hpetroulisol@state.tx.us"/>
    <s v="+353 (783) 893-0842"/>
    <s v="Mullagh"/>
    <s v="Ireland"/>
    <s v="No"/>
    <s v="R-D-2.5"/>
    <s v="Robusta"/>
    <s v="Dark"/>
    <n v="6"/>
    <n v="2.5"/>
    <n v="20.584999999999997"/>
    <n v="123.50999999999999"/>
    <n v="1.2350999999999999"/>
    <n v="7.4105999999999987"/>
    <n v="5.9999999999999991"/>
  </r>
  <r>
    <s v="ENN-79947-323"/>
    <d v="2021-11-18T00:00:00"/>
    <s v="2021"/>
    <s v="November"/>
    <s v="67847-82662-TE"/>
    <s v="Marty Scholl"/>
    <s v="mschollom@taobao.com"/>
    <s v="+1 (415) 613-5939"/>
    <s v="San Francisco"/>
    <s v="United States"/>
    <s v="No"/>
    <s v="L-M-0.5"/>
    <s v="Liberica"/>
    <s v="Medium"/>
    <n v="2"/>
    <n v="0.5"/>
    <n v="8.73"/>
    <n v="17.46"/>
    <n v="1.1349"/>
    <n v="2.2698"/>
    <n v="13"/>
  </r>
  <r>
    <s v="BHA-47429-889"/>
    <d v="2020-06-20T00:00:00"/>
    <s v="2020"/>
    <s v="June"/>
    <s v="51114-51191-EW"/>
    <s v="Kienan Ferson"/>
    <s v="kfersonon@g.co"/>
    <s v="+1 (251) 291-1195"/>
    <s v="Mobile"/>
    <s v="United States"/>
    <s v="No"/>
    <s v="E-L-0.2"/>
    <s v="Excelsa"/>
    <s v="Light"/>
    <n v="3"/>
    <n v="0.2"/>
    <n v="4.4550000000000001"/>
    <n v="13.365"/>
    <n v="0.49004999999999999"/>
    <n v="1.4701499999999998"/>
    <n v="10.999999999999998"/>
  </r>
  <r>
    <s v="SZY-63017-318"/>
    <d v="2021-04-06T00:00:00"/>
    <s v="2021"/>
    <s v="April"/>
    <s v="91809-58808-TV"/>
    <s v="Blake Kelloway"/>
    <s v="bkellowayoo@omniture.com"/>
    <s v="+1 (415) 757-3377"/>
    <s v="San Francisco"/>
    <s v="United States"/>
    <s v="Yes"/>
    <s v="A-L-0.2"/>
    <s v="Arabica"/>
    <s v="Light"/>
    <n v="2"/>
    <n v="0.2"/>
    <n v="3.8849999999999998"/>
    <n v="7.77"/>
    <n v="0.34964999999999996"/>
    <n v="0.69929999999999992"/>
    <n v="9"/>
  </r>
  <r>
    <s v="LCU-93317-340"/>
    <d v="2019-06-17T00:00:00"/>
    <s v="2019"/>
    <s v="June"/>
    <s v="84996-26826-DK"/>
    <s v="Scarlett Oliffe"/>
    <s v="soliffeop@yellowbook.com"/>
    <s v="+1 (212) 198-9134"/>
    <s v="Jamaica"/>
    <s v="United States"/>
    <s v="Yes"/>
    <s v="R-D-0.2"/>
    <s v="Robusta"/>
    <s v="Dark"/>
    <n v="1"/>
    <n v="0.2"/>
    <n v="2.6849999999999996"/>
    <n v="2.6849999999999996"/>
    <n v="0.16109999999999997"/>
    <n v="0.16109999999999997"/>
    <n v="6"/>
  </r>
  <r>
    <s v="UOM-71431-481"/>
    <d v="2022-03-26T00:00:00"/>
    <s v="2022"/>
    <s v="March"/>
    <s v="65732-22589-OW"/>
    <s v="Kippie Marrison"/>
    <s v="kmarrisonoq@dropbox.com"/>
    <s v="+1 (303) 808-6803"/>
    <s v="Denver"/>
    <s v="United States"/>
    <s v="Yes"/>
    <s v="R-D-2.5"/>
    <s v="Robusta"/>
    <s v="Dark"/>
    <n v="1"/>
    <n v="2.5"/>
    <n v="20.584999999999997"/>
    <n v="20.584999999999997"/>
    <n v="1.2350999999999999"/>
    <n v="1.2350999999999999"/>
    <n v="6.0000000000000009"/>
  </r>
  <r>
    <s v="PJH-42618-877"/>
    <d v="2021-09-30T00:00:00"/>
    <s v="2021"/>
    <s v="September"/>
    <s v="93676-95250-XJ"/>
    <s v="Celestia Dolohunty"/>
    <s v="cdolohuntyor@dailymail.co.uk"/>
    <s v="+1 (619) 353-0412"/>
    <s v="San Diego"/>
    <s v="United States"/>
    <s v="Yes"/>
    <s v="A-D-2.5"/>
    <s v="Arabica"/>
    <s v="Dark"/>
    <n v="5"/>
    <n v="2.5"/>
    <n v="22.884999999999998"/>
    <n v="114.42499999999998"/>
    <n v="2.0596499999999995"/>
    <n v="10.298249999999998"/>
    <n v="9"/>
  </r>
  <r>
    <s v="XED-90333-402"/>
    <d v="2019-06-19T00:00:00"/>
    <s v="2019"/>
    <s v="June"/>
    <s v="28300-14355-GF"/>
    <s v="Patsy Vasilenko"/>
    <s v="pvasilenkoos@addtoany.com"/>
    <s v="+44 (116) 714-6469"/>
    <s v="Preston"/>
    <s v="United Kingdom"/>
    <s v="No"/>
    <s v="E-M-0.2"/>
    <s v="Excelsa"/>
    <s v="Medium"/>
    <n v="5"/>
    <n v="0.2"/>
    <n v="4.125"/>
    <n v="20.625"/>
    <n v="0.45374999999999999"/>
    <n v="2.2687499999999998"/>
    <n v="10.999999999999998"/>
  </r>
  <r>
    <s v="IKK-62234-199"/>
    <d v="2022-03-31T00:00:00"/>
    <s v="2022"/>
    <s v="March"/>
    <s v="91190-84826-IQ"/>
    <s v="Raphaela Schankelborg"/>
    <s v="rschankelborgot@ameblo.jp"/>
    <s v="UNKNOWN"/>
    <s v="Pittsburgh"/>
    <s v="United States"/>
    <s v="Yes"/>
    <s v="L-L-0.5"/>
    <s v="Liberica"/>
    <s v="Light"/>
    <n v="6"/>
    <n v="0.5"/>
    <n v="9.51"/>
    <n v="57.06"/>
    <n v="1.2363"/>
    <n v="7.4177999999999997"/>
    <n v="12.999999999999998"/>
  </r>
  <r>
    <s v="KAW-95195-329"/>
    <d v="2020-07-04T00:00:00"/>
    <s v="2020"/>
    <s v="July"/>
    <s v="34570-99384-AF"/>
    <s v="Sharity Wickens"/>
    <s v="UNKNOWN"/>
    <s v="+353 (724) 224-5556"/>
    <s v="Cavan"/>
    <s v="Ireland"/>
    <s v="Yes"/>
    <s v="R-D-2.5"/>
    <s v="Robusta"/>
    <s v="Dark"/>
    <n v="4"/>
    <n v="2.5"/>
    <n v="20.584999999999997"/>
    <n v="82.339999999999989"/>
    <n v="1.2350999999999999"/>
    <n v="4.9403999999999995"/>
    <n v="6.0000000000000009"/>
  </r>
  <r>
    <s v="QDO-57268-842"/>
    <d v="2021-11-21T00:00:00"/>
    <s v="2021"/>
    <s v="November"/>
    <s v="57808-90533-UE"/>
    <s v="Derick Snow"/>
    <s v="UNKNOWN"/>
    <s v="+1 (718) 461-3002"/>
    <s v="New York City"/>
    <s v="United States"/>
    <s v="No"/>
    <s v="E-M-2.5"/>
    <s v="Excelsa"/>
    <s v="Medium"/>
    <n v="5"/>
    <n v="2.5"/>
    <n v="31.624999999999996"/>
    <n v="158.12499999999997"/>
    <n v="3.4787499999999998"/>
    <n v="17.393749999999997"/>
    <n v="11"/>
  </r>
  <r>
    <s v="IIZ-24416-212"/>
    <d v="2021-05-31T00:00:00"/>
    <s v="2021"/>
    <s v="May"/>
    <s v="76060-30540-LB"/>
    <s v="Baxy Cargen"/>
    <s v="bcargenow@geocities.jp"/>
    <s v="+1 (253) 509-6510"/>
    <s v="Seattle"/>
    <s v="United States"/>
    <s v="Yes"/>
    <s v="R-D-0.5"/>
    <s v="Robusta"/>
    <s v="Dark"/>
    <n v="6"/>
    <n v="0.5"/>
    <n v="5.3699999999999992"/>
    <n v="32.22"/>
    <n v="0.32219999999999993"/>
    <n v="1.9331999999999996"/>
    <n v="5.9999999999999991"/>
  </r>
  <r>
    <s v="AWP-11469-510"/>
    <d v="2020-04-11T00:00:00"/>
    <s v="2020"/>
    <s v="April"/>
    <s v="76730-63769-ND"/>
    <s v="Ryann Stickler"/>
    <s v="rsticklerox@printfriendly.com"/>
    <s v="+44 (830) 367-6129"/>
    <s v="Birmingham"/>
    <s v="United Kingdom"/>
    <s v="No"/>
    <s v="E-D-1"/>
    <s v="Excelsa"/>
    <s v="Dark"/>
    <n v="2"/>
    <n v="1"/>
    <n v="12.15"/>
    <n v="24.3"/>
    <n v="1.3365"/>
    <n v="2.673"/>
    <n v="11"/>
  </r>
  <r>
    <s v="KXA-27983-918"/>
    <d v="2020-09-15T00:00:00"/>
    <s v="2020"/>
    <s v="September"/>
    <s v="96042-27290-EQ"/>
    <s v="Daryn Cassius"/>
    <s v="UNKNOWN"/>
    <s v="+1 (269) 398-0766"/>
    <s v="Battle Creek"/>
    <s v="United States"/>
    <s v="No"/>
    <s v="R-L-0.5"/>
    <s v="Robusta"/>
    <s v="Light"/>
    <n v="5"/>
    <n v="0.5"/>
    <n v="7.169999999999999"/>
    <n v="35.849999999999994"/>
    <n v="0.43019999999999992"/>
    <n v="2.1509999999999998"/>
    <n v="6.0000000000000009"/>
  </r>
  <r>
    <s v="VKQ-39009-292"/>
    <d v="2021-11-23T00:00:00"/>
    <s v="2021"/>
    <s v="November"/>
    <s v="57808-90533-UE"/>
    <s v="Derick Snow"/>
    <s v="UNKNOWN"/>
    <s v="+1 (718) 461-3002"/>
    <s v="New York City"/>
    <s v="United States"/>
    <s v="No"/>
    <s v="L-M-1"/>
    <s v="Liberica"/>
    <s v="Medium"/>
    <n v="5"/>
    <n v="1"/>
    <n v="14.55"/>
    <n v="72.75"/>
    <n v="1.8915000000000002"/>
    <n v="9.4575000000000014"/>
    <n v="13.000000000000004"/>
  </r>
  <r>
    <s v="PDB-98743-282"/>
    <d v="2022-01-23T00:00:00"/>
    <s v="2022"/>
    <s v="January"/>
    <s v="51940-02669-OR"/>
    <s v="Skelly Dolohunty"/>
    <s v="UNKNOWN"/>
    <s v="+353 (239) 716-2717"/>
    <s v="Ballymun"/>
    <s v="Ireland"/>
    <s v="No"/>
    <s v="L-L-1"/>
    <s v="Liberica"/>
    <s v="Light"/>
    <n v="3"/>
    <n v="1"/>
    <n v="15.85"/>
    <n v="47.55"/>
    <n v="2.0605000000000002"/>
    <n v="6.1815000000000007"/>
    <n v="13.000000000000004"/>
  </r>
  <r>
    <s v="SXW-34014-556"/>
    <d v="2021-01-27T00:00:00"/>
    <s v="2021"/>
    <s v="January"/>
    <s v="99144-98314-GN"/>
    <s v="Drake Jevon"/>
    <s v="djevonp1@ibm.com"/>
    <s v="+1 (832) 733-7027"/>
    <s v="Houston"/>
    <s v="United States"/>
    <s v="Yes"/>
    <s v="R-L-0.2"/>
    <s v="Robusta"/>
    <s v="Light"/>
    <n v="1"/>
    <n v="0.2"/>
    <n v="3.5849999999999995"/>
    <n v="3.5849999999999995"/>
    <n v="0.21509999999999996"/>
    <n v="0.21509999999999996"/>
    <n v="6"/>
  </r>
  <r>
    <s v="QOJ-38788-727"/>
    <d v="2019-06-24T00:00:00"/>
    <s v="2019"/>
    <s v="June"/>
    <s v="16358-63919-CE"/>
    <s v="Hall Ranner"/>
    <s v="hrannerp2@omniture.com"/>
    <s v="+1 (513) 635-0251"/>
    <s v="Cincinnati"/>
    <s v="United States"/>
    <s v="No"/>
    <s v="E-M-2.5"/>
    <s v="Excelsa"/>
    <s v="Medium"/>
    <n v="5"/>
    <n v="2.5"/>
    <n v="31.624999999999996"/>
    <n v="158.12499999999997"/>
    <n v="3.4787499999999998"/>
    <n v="17.393749999999997"/>
    <n v="11"/>
  </r>
  <r>
    <s v="TGF-38649-658"/>
    <d v="2020-03-15T00:00:00"/>
    <s v="2020"/>
    <s v="March"/>
    <s v="67743-54817-UT"/>
    <s v="Berkly Imrie"/>
    <s v="bimriep3@addtoany.com"/>
    <s v="+1 (559) 761-5288"/>
    <s v="Fresno"/>
    <s v="United States"/>
    <s v="No"/>
    <s v="L-M-0.5"/>
    <s v="Liberica"/>
    <s v="Medium"/>
    <n v="2"/>
    <n v="0.5"/>
    <n v="8.73"/>
    <n v="17.46"/>
    <n v="1.1349"/>
    <n v="2.2698"/>
    <n v="13"/>
  </r>
  <r>
    <s v="EAI-25194-209"/>
    <d v="2021-09-24T00:00:00"/>
    <s v="2021"/>
    <s v="September"/>
    <s v="44601-51441-BH"/>
    <s v="Dorey Sopper"/>
    <s v="dsopperp4@eventbrite.com"/>
    <s v="+1 (612) 870-1604"/>
    <s v="Saint Paul"/>
    <s v="United States"/>
    <s v="No"/>
    <s v="A-L-2.5"/>
    <s v="Arabica"/>
    <s v="Light"/>
    <n v="5"/>
    <n v="2.5"/>
    <n v="29.784999999999997"/>
    <n v="148.92499999999998"/>
    <n v="2.6806499999999995"/>
    <n v="13.403249999999998"/>
    <n v="9"/>
  </r>
  <r>
    <s v="IJK-34441-720"/>
    <d v="2019-04-05T00:00:00"/>
    <s v="2019"/>
    <s v="April"/>
    <s v="97201-58870-WB"/>
    <s v="Darcy Lochran"/>
    <s v="UNKNOWN"/>
    <s v="+1 (915) 776-4578"/>
    <s v="El Paso"/>
    <s v="United States"/>
    <s v="Yes"/>
    <s v="A-M-0.5"/>
    <s v="Arabica"/>
    <s v="Medium"/>
    <n v="6"/>
    <n v="0.5"/>
    <n v="6.75"/>
    <n v="40.5"/>
    <n v="0.60749999999999993"/>
    <n v="3.6449999999999996"/>
    <n v="8.9999999999999982"/>
  </r>
  <r>
    <s v="ZMC-00336-619"/>
    <d v="2022-01-27T00:00:00"/>
    <s v="2022"/>
    <s v="January"/>
    <s v="19849-12926-QF"/>
    <s v="Lauritz Ledgley"/>
    <s v="lledgleyp6@de.vu"/>
    <s v="+1 (515) 261-2295"/>
    <s v="Des Moines"/>
    <s v="United States"/>
    <s v="Yes"/>
    <s v="A-M-0.5"/>
    <s v="Arabica"/>
    <s v="Medium"/>
    <n v="4"/>
    <n v="0.5"/>
    <n v="6.75"/>
    <n v="27"/>
    <n v="0.60749999999999993"/>
    <n v="2.4299999999999997"/>
    <n v="8.9999999999999982"/>
  </r>
  <r>
    <s v="UPX-54529-618"/>
    <d v="2021-09-10T00:00:00"/>
    <s v="2021"/>
    <s v="September"/>
    <s v="40535-56770-UM"/>
    <s v="Tawnya Menary"/>
    <s v="tmenaryp7@phoca.cz"/>
    <s v="+1 (971) 467-6353"/>
    <s v="Portland"/>
    <s v="United States"/>
    <s v="No"/>
    <s v="L-D-1"/>
    <s v="Liberica"/>
    <s v="Dark"/>
    <n v="3"/>
    <n v="1"/>
    <n v="12.95"/>
    <n v="38.849999999999994"/>
    <n v="1.6835"/>
    <n v="5.0504999999999995"/>
    <n v="13"/>
  </r>
  <r>
    <s v="DLX-01059-899"/>
    <d v="2020-01-06T00:00:00"/>
    <s v="2020"/>
    <s v="January"/>
    <s v="74940-09646-MU"/>
    <s v="Gustaf Ciccotti"/>
    <s v="gciccottip8@so-net.ne.jp"/>
    <s v="+1 (832) 392-5010"/>
    <s v="Houston"/>
    <s v="United States"/>
    <s v="No"/>
    <s v="R-L-1"/>
    <s v="Robusta"/>
    <s v="Light"/>
    <n v="5"/>
    <n v="1"/>
    <n v="11.95"/>
    <n v="59.75"/>
    <n v="0.71699999999999997"/>
    <n v="3.585"/>
    <n v="6"/>
  </r>
  <r>
    <s v="MEK-85120-243"/>
    <d v="2022-03-15T00:00:00"/>
    <s v="2022"/>
    <s v="March"/>
    <s v="06623-54610-HC"/>
    <s v="Bobbe Renner"/>
    <s v="UNKNOWN"/>
    <s v="+1 (919) 456-9860"/>
    <s v="Durham"/>
    <s v="United States"/>
    <s v="No"/>
    <s v="R-L-0.2"/>
    <s v="Robusta"/>
    <s v="Light"/>
    <n v="3"/>
    <n v="0.2"/>
    <n v="3.5849999999999995"/>
    <n v="10.754999999999999"/>
    <n v="0.21509999999999996"/>
    <n v="0.64529999999999987"/>
    <n v="5.9999999999999991"/>
  </r>
  <r>
    <s v="NFI-37188-246"/>
    <d v="2021-09-08T00:00:00"/>
    <s v="2021"/>
    <s v="September"/>
    <s v="89490-75361-AF"/>
    <s v="Wilton Jallin"/>
    <s v="wjallinpa@pcworld.com"/>
    <s v="+1 (617) 201-1702"/>
    <s v="Boston"/>
    <s v="United States"/>
    <s v="No"/>
    <s v="A-D-2.5"/>
    <s v="Arabica"/>
    <s v="Dark"/>
    <n v="4"/>
    <n v="2.5"/>
    <n v="22.884999999999998"/>
    <n v="91.539999999999992"/>
    <n v="2.0596499999999995"/>
    <n v="8.2385999999999981"/>
    <n v="8.9999999999999982"/>
  </r>
  <r>
    <s v="BXH-62195-013"/>
    <d v="2021-11-11T00:00:00"/>
    <s v="2021"/>
    <s v="November"/>
    <s v="94526-79230-GZ"/>
    <s v="Mindy Bogey"/>
    <s v="mbogeypb@thetimes.co.uk"/>
    <s v="+1 (202) 479-4238"/>
    <s v="Washington"/>
    <s v="United States"/>
    <s v="Yes"/>
    <s v="A-M-1"/>
    <s v="Arabica"/>
    <s v="Medium"/>
    <n v="4"/>
    <n v="1"/>
    <n v="11.25"/>
    <n v="45"/>
    <n v="1.0125"/>
    <n v="4.05"/>
    <n v="9"/>
  </r>
  <r>
    <s v="YLK-78851-470"/>
    <d v="2019-09-18T00:00:00"/>
    <s v="2019"/>
    <s v="September"/>
    <s v="58559-08254-UY"/>
    <s v="Paulie Fonzone"/>
    <s v="UNKNOWN"/>
    <s v="+1 (518) 905-1184"/>
    <s v="Albany"/>
    <s v="United States"/>
    <s v="Yes"/>
    <s v="R-M-2.5"/>
    <s v="Robusta"/>
    <s v="Medium"/>
    <n v="6"/>
    <n v="2.5"/>
    <n v="22.884999999999998"/>
    <n v="137.31"/>
    <n v="1.3730999999999998"/>
    <n v="8.2385999999999981"/>
    <n v="5.9999999999999982"/>
  </r>
  <r>
    <s v="DXY-76225-633"/>
    <d v="2021-07-29T00:00:00"/>
    <s v="2021"/>
    <s v="July"/>
    <s v="88574-37083-WX"/>
    <s v="Merrile Cobbledick"/>
    <s v="mcobbledickpd@ucsd.edu"/>
    <s v="+1 (520) 567-8210"/>
    <s v="Tucson"/>
    <s v="United States"/>
    <s v="No"/>
    <s v="A-M-0.5"/>
    <s v="Arabica"/>
    <s v="Medium"/>
    <n v="1"/>
    <n v="0.5"/>
    <n v="6.75"/>
    <n v="6.75"/>
    <n v="0.60749999999999993"/>
    <n v="0.60749999999999993"/>
    <n v="8.9999999999999982"/>
  </r>
  <r>
    <s v="UHP-24614-199"/>
    <d v="2022-03-20T00:00:00"/>
    <s v="2022"/>
    <s v="March"/>
    <s v="67953-79896-AC"/>
    <s v="Antonius Lewry"/>
    <s v="alewrype@whitehouse.gov"/>
    <s v="+1 (334) 368-9435"/>
    <s v="Montgomery"/>
    <s v="United States"/>
    <s v="No"/>
    <s v="A-M-1"/>
    <s v="Arabica"/>
    <s v="Medium"/>
    <n v="4"/>
    <n v="1"/>
    <n v="11.25"/>
    <n v="45"/>
    <n v="1.0125"/>
    <n v="4.05"/>
    <n v="9"/>
  </r>
  <r>
    <s v="HBY-35655-049"/>
    <d v="2020-05-04T00:00:00"/>
    <s v="2020"/>
    <s v="May"/>
    <s v="69207-93422-CQ"/>
    <s v="Isis Hessel"/>
    <s v="ihesselpf@ox.ac.uk"/>
    <s v="+1 (907) 873-3538"/>
    <s v="Fairbanks"/>
    <s v="United States"/>
    <s v="Yes"/>
    <s v="E-D-2.5"/>
    <s v="Excelsa"/>
    <s v="Dark"/>
    <n v="3"/>
    <n v="2.5"/>
    <n v="27.945"/>
    <n v="83.835000000000008"/>
    <n v="3.07395"/>
    <n v="9.2218499999999999"/>
    <n v="10.999999999999998"/>
  </r>
  <r>
    <s v="DCE-22886-861"/>
    <d v="2021-04-05T00:00:00"/>
    <s v="2021"/>
    <s v="April"/>
    <s v="56060-17602-RG"/>
    <s v="Harland Trematick"/>
    <s v="UNKNOWN"/>
    <s v="UNKNOWN"/>
    <s v="Monasterevin"/>
    <s v="Ireland"/>
    <s v="Yes"/>
    <s v="E-D-0.2"/>
    <s v="Excelsa"/>
    <s v="Dark"/>
    <n v="1"/>
    <n v="0.2"/>
    <n v="3.645"/>
    <n v="3.645"/>
    <n v="0.40095000000000003"/>
    <n v="0.40095000000000003"/>
    <n v="11"/>
  </r>
  <r>
    <s v="QTG-93823-843"/>
    <d v="2022-01-12T00:00:00"/>
    <s v="2022"/>
    <s v="January"/>
    <s v="46859-14212-FI"/>
    <s v="Chloris Sorrell"/>
    <s v="csorrellph@amazon.com"/>
    <s v="+44 (160) 225-1993"/>
    <s v="Norton"/>
    <s v="United Kingdom"/>
    <s v="No"/>
    <s v="A-M-0.5"/>
    <s v="Arabica"/>
    <s v="Medium"/>
    <n v="1"/>
    <n v="0.5"/>
    <n v="6.75"/>
    <n v="6.75"/>
    <n v="0.60749999999999993"/>
    <n v="0.60749999999999993"/>
    <n v="8.9999999999999982"/>
  </r>
  <r>
    <s v="QTG-93823-843"/>
    <d v="2022-01-12T00:00:00"/>
    <s v="2022"/>
    <s v="January"/>
    <s v="46859-14212-FI"/>
    <s v="Chloris Sorrell"/>
    <s v="csorrellph@amazon.com"/>
    <s v="+44 (160) 225-1993"/>
    <s v="Norton"/>
    <s v="United Kingdom"/>
    <s v="No"/>
    <s v="E-D-0.5"/>
    <s v="Excelsa"/>
    <s v="Dark"/>
    <n v="3"/>
    <n v="0.5"/>
    <n v="7.29"/>
    <n v="21.87"/>
    <n v="0.80190000000000006"/>
    <n v="2.4057000000000004"/>
    <n v="11.000000000000002"/>
  </r>
  <r>
    <s v="WFT-16178-396"/>
    <d v="2020-12-16T00:00:00"/>
    <s v="2020"/>
    <s v="December"/>
    <s v="33555-01585-RP"/>
    <s v="Quintina Heavyside"/>
    <s v="qheavysidepj@unc.edu"/>
    <s v="+1 (859) 572-4305"/>
    <s v="Lexington"/>
    <s v="United States"/>
    <s v="Yes"/>
    <s v="R-D-0.2"/>
    <s v="Robusta"/>
    <s v="Dark"/>
    <n v="5"/>
    <n v="0.2"/>
    <n v="2.6849999999999996"/>
    <n v="13.424999999999997"/>
    <n v="0.16109999999999997"/>
    <n v="0.80549999999999988"/>
    <n v="6.0000000000000009"/>
  </r>
  <r>
    <s v="ERC-54560-934"/>
    <d v="2022-05-30T00:00:00"/>
    <s v="2022"/>
    <s v="May"/>
    <s v="11932-85629-CU"/>
    <s v="Hadley Reuven"/>
    <s v="hreuvenpk@whitehouse.gov"/>
    <s v="+1 (616) 851-0525"/>
    <s v="Grand Rapids"/>
    <s v="United States"/>
    <s v="No"/>
    <s v="R-D-2.5"/>
    <s v="Robusta"/>
    <s v="Dark"/>
    <n v="6"/>
    <n v="2.5"/>
    <n v="20.584999999999997"/>
    <n v="123.50999999999999"/>
    <n v="1.2350999999999999"/>
    <n v="7.4105999999999987"/>
    <n v="5.9999999999999991"/>
  </r>
  <r>
    <s v="RUK-78200-416"/>
    <d v="2021-11-09T00:00:00"/>
    <s v="2021"/>
    <s v="November"/>
    <s v="36192-07175-XC"/>
    <s v="Mitch Attwool"/>
    <s v="mattwoolpl@nba.com"/>
    <s v="+1 (515) 821-3701"/>
    <s v="Des Moines"/>
    <s v="United States"/>
    <s v="No"/>
    <s v="L-D-0.2"/>
    <s v="Liberica"/>
    <s v="Dark"/>
    <n v="2"/>
    <n v="0.2"/>
    <n v="3.8849999999999998"/>
    <n v="7.77"/>
    <n v="0.50505"/>
    <n v="1.0101"/>
    <n v="13"/>
  </r>
  <r>
    <s v="KHK-13105-388"/>
    <d v="2022-04-08T00:00:00"/>
    <s v="2022"/>
    <s v="April"/>
    <s v="46242-54946-ZW"/>
    <s v="Charin Maplethorp"/>
    <s v="UNKNOWN"/>
    <s v="UNKNOWN"/>
    <s v="Wilmington"/>
    <s v="United States"/>
    <s v="Yes"/>
    <s v="A-M-1"/>
    <s v="Arabica"/>
    <s v="Medium"/>
    <n v="6"/>
    <n v="1"/>
    <n v="11.25"/>
    <n v="67.5"/>
    <n v="1.0125"/>
    <n v="6.0749999999999993"/>
    <n v="8.9999999999999982"/>
  </r>
  <r>
    <s v="NJR-03699-189"/>
    <d v="2019-10-08T00:00:00"/>
    <s v="2019"/>
    <s v="October"/>
    <s v="95152-82155-VQ"/>
    <s v="Goldie Wynes"/>
    <s v="gwynespn@dagondesign.com"/>
    <s v="+1 (512) 118-8603"/>
    <s v="Austin"/>
    <s v="United States"/>
    <s v="No"/>
    <s v="E-D-2.5"/>
    <s v="Excelsa"/>
    <s v="Dark"/>
    <n v="1"/>
    <n v="2.5"/>
    <n v="27.945"/>
    <n v="27.945"/>
    <n v="3.07395"/>
    <n v="3.07395"/>
    <n v="11"/>
  </r>
  <r>
    <s v="PJV-20427-019"/>
    <d v="2021-09-12T00:00:00"/>
    <s v="2021"/>
    <s v="September"/>
    <s v="13404-39127-WQ"/>
    <s v="Celie MacCourt"/>
    <s v="cmaccourtpo@amazon.com"/>
    <s v="UNKNOWN"/>
    <s v="Orlando"/>
    <s v="United States"/>
    <s v="No"/>
    <s v="A-L-2.5"/>
    <s v="Arabica"/>
    <s v="Light"/>
    <n v="3"/>
    <n v="2.5"/>
    <n v="29.784999999999997"/>
    <n v="89.35499999999999"/>
    <n v="2.6806499999999995"/>
    <n v="8.0419499999999982"/>
    <n v="8.9999999999999982"/>
  </r>
  <r>
    <s v="UGK-07613-982"/>
    <d v="2022-07-28T00:00:00"/>
    <s v="2022"/>
    <s v="July"/>
    <s v="57808-90533-UE"/>
    <s v="Derick Snow"/>
    <s v="UNKNOWN"/>
    <s v="+1 (718) 461-3002"/>
    <s v="New York City"/>
    <s v="United States"/>
    <s v="No"/>
    <s v="A-M-0.5"/>
    <s v="Arabica"/>
    <s v="Medium"/>
    <n v="3"/>
    <n v="0.5"/>
    <n v="6.75"/>
    <n v="20.25"/>
    <n v="0.60749999999999993"/>
    <n v="1.8224999999999998"/>
    <n v="8.9999999999999982"/>
  </r>
  <r>
    <s v="OLA-68289-577"/>
    <d v="2020-06-30T00:00:00"/>
    <s v="2020"/>
    <s v="June"/>
    <s v="40226-52317-IO"/>
    <s v="Evy Wilsone"/>
    <s v="ewilsonepq@eepurl.com"/>
    <s v="+1 (202) 969-6382"/>
    <s v="Washington"/>
    <s v="United States"/>
    <s v="Yes"/>
    <s v="A-M-0.5"/>
    <s v="Arabica"/>
    <s v="Medium"/>
    <n v="5"/>
    <n v="0.5"/>
    <n v="6.75"/>
    <n v="33.75"/>
    <n v="0.60749999999999993"/>
    <n v="3.0374999999999996"/>
    <n v="8.9999999999999982"/>
  </r>
  <r>
    <s v="TNR-84447-052"/>
    <d v="2019-01-09T00:00:00"/>
    <s v="2019"/>
    <s v="January"/>
    <s v="34419-18068-AG"/>
    <s v="Dolores Duffie"/>
    <s v="dduffiepr@time.com"/>
    <s v="+1 (971) 936-3214"/>
    <s v="Portland"/>
    <s v="United States"/>
    <s v="No"/>
    <s v="E-D-2.5"/>
    <s v="Excelsa"/>
    <s v="Dark"/>
    <n v="4"/>
    <n v="2.5"/>
    <n v="27.945"/>
    <n v="111.78"/>
    <n v="3.07395"/>
    <n v="12.2958"/>
    <n v="11"/>
  </r>
  <r>
    <s v="FBZ-64200-586"/>
    <d v="2022-07-12T00:00:00"/>
    <s v="2022"/>
    <s v="July"/>
    <s v="51738-61457-RS"/>
    <s v="Mathilda Matiasek"/>
    <s v="mmatiasekps@ucoz.ru"/>
    <s v="UNKNOWN"/>
    <s v="New York City"/>
    <s v="United States"/>
    <s v="Yes"/>
    <s v="E-M-2.5"/>
    <s v="Excelsa"/>
    <s v="Medium"/>
    <n v="2"/>
    <n v="2.5"/>
    <n v="31.624999999999996"/>
    <n v="63.249999999999993"/>
    <n v="3.4787499999999998"/>
    <n v="6.9574999999999996"/>
    <n v="11"/>
  </r>
  <r>
    <s v="OBN-66334-505"/>
    <d v="2020-11-30T00:00:00"/>
    <s v="2020"/>
    <s v="November"/>
    <s v="86757-52367-ON"/>
    <s v="Jarred Camillo"/>
    <s v="jcamillopt@shinystat.com"/>
    <s v="+1 (202) 572-0994"/>
    <s v="Washington"/>
    <s v="United States"/>
    <s v="Yes"/>
    <s v="E-L-0.2"/>
    <s v="Excelsa"/>
    <s v="Light"/>
    <n v="2"/>
    <n v="0.2"/>
    <n v="4.4550000000000001"/>
    <n v="8.91"/>
    <n v="0.49004999999999999"/>
    <n v="0.98009999999999997"/>
    <n v="11"/>
  </r>
  <r>
    <s v="NXM-89323-646"/>
    <d v="2019-03-22T00:00:00"/>
    <s v="2019"/>
    <s v="March"/>
    <s v="28158-93383-CK"/>
    <s v="Kameko Philbrick"/>
    <s v="kphilbrickpu@cdc.gov"/>
    <s v="UNKNOWN"/>
    <s v="Washington"/>
    <s v="United States"/>
    <s v="Yes"/>
    <s v="E-D-1"/>
    <s v="Excelsa"/>
    <s v="Dark"/>
    <n v="1"/>
    <n v="1"/>
    <n v="12.15"/>
    <n v="12.15"/>
    <n v="1.3365"/>
    <n v="1.3365"/>
    <n v="11"/>
  </r>
  <r>
    <s v="NHI-23264-055"/>
    <d v="2022-02-15T00:00:00"/>
    <s v="2022"/>
    <s v="February"/>
    <s v="44799-09711-XW"/>
    <s v="Mallory Shrimpling"/>
    <s v="UNKNOWN"/>
    <s v="UNKNOWN"/>
    <s v="Allentown"/>
    <s v="United States"/>
    <s v="Yes"/>
    <s v="A-D-0.5"/>
    <s v="Arabica"/>
    <s v="Dark"/>
    <n v="4"/>
    <n v="0.5"/>
    <n v="5.97"/>
    <n v="23.88"/>
    <n v="0.5373"/>
    <n v="2.1492"/>
    <n v="9.0000000000000018"/>
  </r>
  <r>
    <s v="EQH-53569-934"/>
    <d v="2020-10-13T00:00:00"/>
    <s v="2020"/>
    <s v="October"/>
    <s v="53667-91553-LT"/>
    <s v="Barnett Sillis"/>
    <s v="bsillispw@istockphoto.com"/>
    <s v="+1 (305) 267-4961"/>
    <s v="Miami"/>
    <s v="United States"/>
    <s v="No"/>
    <s v="E-M-1"/>
    <s v="Excelsa"/>
    <s v="Medium"/>
    <n v="4"/>
    <n v="1"/>
    <n v="13.75"/>
    <n v="55"/>
    <n v="1.5125"/>
    <n v="6.05"/>
    <n v="11"/>
  </r>
  <r>
    <s v="XKK-06692-189"/>
    <d v="2021-12-27T00:00:00"/>
    <s v="2021"/>
    <s v="December"/>
    <s v="86579-92122-OC"/>
    <s v="Brenn Dundredge"/>
    <s v="UNKNOWN"/>
    <s v="+1 (405) 369-5173"/>
    <s v="Oklahoma City"/>
    <s v="United States"/>
    <s v="Yes"/>
    <s v="R-D-1"/>
    <s v="Robusta"/>
    <s v="Dark"/>
    <n v="3"/>
    <n v="1"/>
    <n v="8.9499999999999993"/>
    <n v="26.849999999999998"/>
    <n v="0.53699999999999992"/>
    <n v="1.6109999999999998"/>
    <n v="6"/>
  </r>
  <r>
    <s v="BYP-16005-016"/>
    <d v="2021-08-01T00:00:00"/>
    <s v="2021"/>
    <s v="August"/>
    <s v="01474-63436-TP"/>
    <s v="Read Cutts"/>
    <s v="rcuttspy@techcrunch.com"/>
    <s v="+1 (815) 758-8653"/>
    <s v="Rockford"/>
    <s v="United States"/>
    <s v="No"/>
    <s v="R-M-2.5"/>
    <s v="Robusta"/>
    <s v="Medium"/>
    <n v="5"/>
    <n v="2.5"/>
    <n v="22.884999999999998"/>
    <n v="114.42499999999998"/>
    <n v="1.3730999999999998"/>
    <n v="6.865499999999999"/>
    <n v="6"/>
  </r>
  <r>
    <s v="LWS-13938-905"/>
    <d v="2020-11-18T00:00:00"/>
    <s v="2020"/>
    <s v="November"/>
    <s v="90533-82440-EE"/>
    <s v="Michale Delves"/>
    <s v="mdelvespz@nature.com"/>
    <s v="+1 (334) 881-9178"/>
    <s v="Montgomery"/>
    <s v="United States"/>
    <s v="Yes"/>
    <s v="A-M-2.5"/>
    <s v="Arabica"/>
    <s v="Medium"/>
    <n v="6"/>
    <n v="2.5"/>
    <n v="25.874999999999996"/>
    <n v="155.24999999999997"/>
    <n v="2.3287499999999994"/>
    <n v="13.972499999999997"/>
    <n v="9"/>
  </r>
  <r>
    <s v="OLH-95722-362"/>
    <d v="2021-10-24T00:00:00"/>
    <s v="2021"/>
    <s v="October"/>
    <s v="48553-69225-VX"/>
    <s v="Devland Gritton"/>
    <s v="dgrittonq0@nydailynews.com"/>
    <s v="+1 (626) 968-5148"/>
    <s v="Pasadena"/>
    <s v="United States"/>
    <s v="Yes"/>
    <s v="L-D-0.5"/>
    <s v="Liberica"/>
    <s v="Dark"/>
    <n v="3"/>
    <n v="0.5"/>
    <n v="7.77"/>
    <n v="23.31"/>
    <n v="1.0101"/>
    <n v="3.0303"/>
    <n v="13"/>
  </r>
  <r>
    <s v="OLH-95722-362"/>
    <d v="2021-10-24T00:00:00"/>
    <s v="2021"/>
    <s v="October"/>
    <s v="48553-69225-VX"/>
    <s v="Devland Gritton"/>
    <s v="dgrittonq0@nydailynews.com"/>
    <s v="+1 (626) 968-5148"/>
    <s v="Pasadena"/>
    <s v="United States"/>
    <s v="Yes"/>
    <s v="R-M-2.5"/>
    <s v="Robusta"/>
    <s v="Medium"/>
    <n v="4"/>
    <n v="2.5"/>
    <n v="22.884999999999998"/>
    <n v="91.539999999999992"/>
    <n v="1.3730999999999998"/>
    <n v="5.4923999999999991"/>
    <n v="6"/>
  </r>
  <r>
    <s v="KCW-50949-318"/>
    <d v="2019-12-30T00:00:00"/>
    <s v="2019"/>
    <s v="December"/>
    <s v="52374-27313-IV"/>
    <s v="Dell Gut"/>
    <s v="dgutq2@umich.edu"/>
    <s v="+1 (281) 648-9915"/>
    <s v="Houston"/>
    <s v="United States"/>
    <s v="Yes"/>
    <s v="E-L-1"/>
    <s v="Excelsa"/>
    <s v="Light"/>
    <n v="5"/>
    <n v="1"/>
    <n v="14.85"/>
    <n v="74.25"/>
    <n v="1.6335"/>
    <n v="8.1675000000000004"/>
    <n v="11"/>
  </r>
  <r>
    <s v="JGZ-16947-591"/>
    <d v="2021-02-02T00:00:00"/>
    <s v="2021"/>
    <s v="February"/>
    <s v="14264-41252-SL"/>
    <s v="Willy Pummery"/>
    <s v="wpummeryq3@topsy.com"/>
    <s v="+1 (231) 416-9594"/>
    <s v="Muskegon"/>
    <s v="United States"/>
    <s v="No"/>
    <s v="L-L-0.2"/>
    <s v="Liberica"/>
    <s v="Light"/>
    <n v="6"/>
    <n v="0.2"/>
    <n v="4.7549999999999999"/>
    <n v="28.53"/>
    <n v="0.61814999999999998"/>
    <n v="3.7088999999999999"/>
    <n v="12.999999999999998"/>
  </r>
  <r>
    <s v="LXS-63326-144"/>
    <d v="2021-05-16T00:00:00"/>
    <s v="2021"/>
    <s v="May"/>
    <s v="35367-50483-AR"/>
    <s v="Geoffrey Siuda"/>
    <s v="gsiudaq4@nytimes.com"/>
    <s v="+1 (202) 315-8135"/>
    <s v="Washington"/>
    <s v="United States"/>
    <s v="Yes"/>
    <s v="R-L-0.5"/>
    <s v="Robusta"/>
    <s v="Light"/>
    <n v="2"/>
    <n v="0.5"/>
    <n v="7.169999999999999"/>
    <n v="14.339999999999998"/>
    <n v="0.43019999999999992"/>
    <n v="0.86039999999999983"/>
    <n v="6"/>
  </r>
  <r>
    <s v="CZG-86544-655"/>
    <d v="2022-04-23T00:00:00"/>
    <s v="2022"/>
    <s v="April"/>
    <s v="69443-77665-QW"/>
    <s v="Henderson Crowne"/>
    <s v="hcrowneq5@wufoo.com"/>
    <s v="+353 (476) 525-5512"/>
    <s v="Sallins"/>
    <s v="Ireland"/>
    <s v="Yes"/>
    <s v="A-L-0.5"/>
    <s v="Arabica"/>
    <s v="Light"/>
    <n v="2"/>
    <n v="0.5"/>
    <n v="7.77"/>
    <n v="15.54"/>
    <n v="0.69929999999999992"/>
    <n v="1.3985999999999998"/>
    <n v="9"/>
  </r>
  <r>
    <s v="WFV-88138-247"/>
    <d v="2021-09-25T00:00:00"/>
    <s v="2021"/>
    <s v="September"/>
    <s v="63411-51758-QC"/>
    <s v="Vernor Pawsey"/>
    <s v="vpawseyq6@tiny.cc"/>
    <s v="+1 (478) 568-4944"/>
    <s v="Macon"/>
    <s v="United States"/>
    <s v="No"/>
    <s v="R-L-1"/>
    <s v="Robusta"/>
    <s v="Light"/>
    <n v="3"/>
    <n v="1"/>
    <n v="11.95"/>
    <n v="35.849999999999994"/>
    <n v="0.71699999999999997"/>
    <n v="2.1509999999999998"/>
    <n v="6.0000000000000009"/>
  </r>
  <r>
    <s v="RFG-28227-288"/>
    <d v="2022-06-07T00:00:00"/>
    <s v="2022"/>
    <s v="June"/>
    <s v="68605-21835-UF"/>
    <s v="Augustin Waterhouse"/>
    <s v="awaterhouseq7@istockphoto.com"/>
    <s v="+1 (318) 129-0806"/>
    <s v="Shreveport"/>
    <s v="United States"/>
    <s v="No"/>
    <s v="A-L-0.5"/>
    <s v="Arabica"/>
    <s v="Light"/>
    <n v="6"/>
    <n v="0.5"/>
    <n v="7.77"/>
    <n v="46.62"/>
    <n v="0.69929999999999992"/>
    <n v="4.1957999999999993"/>
    <n v="9"/>
  </r>
  <r>
    <s v="QAK-77286-758"/>
    <d v="2020-08-11T00:00:00"/>
    <s v="2020"/>
    <s v="August"/>
    <s v="34786-30419-XY"/>
    <s v="Fanchon Haughian"/>
    <s v="fhaughianq8@1688.com"/>
    <s v="+1 (253) 974-5538"/>
    <s v="Tacoma"/>
    <s v="United States"/>
    <s v="No"/>
    <s v="R-L-0.5"/>
    <s v="Robusta"/>
    <s v="Light"/>
    <n v="5"/>
    <n v="0.5"/>
    <n v="7.169999999999999"/>
    <n v="35.849999999999994"/>
    <n v="0.43019999999999992"/>
    <n v="2.1509999999999998"/>
    <n v="6.0000000000000009"/>
  </r>
  <r>
    <s v="CZD-56716-840"/>
    <d v="2019-02-28T00:00:00"/>
    <s v="2019"/>
    <s v="February"/>
    <s v="15456-29250-RU"/>
    <s v="Jaimie Hatz"/>
    <s v="UNKNOWN"/>
    <s v="+1 (915) 920-9318"/>
    <s v="El Paso"/>
    <s v="United States"/>
    <s v="No"/>
    <s v="L-D-2.5"/>
    <s v="Liberica"/>
    <s v="Dark"/>
    <n v="4"/>
    <n v="2.5"/>
    <n v="29.784999999999997"/>
    <n v="119.13999999999999"/>
    <n v="3.8720499999999998"/>
    <n v="15.488199999999999"/>
    <n v="13"/>
  </r>
  <r>
    <s v="UBI-59229-277"/>
    <d v="2019-09-11T00:00:00"/>
    <s v="2019"/>
    <s v="September"/>
    <s v="00886-35803-FG"/>
    <s v="Edeline Edney"/>
    <s v="UNKNOWN"/>
    <s v="+1 (205) 866-7629"/>
    <s v="Birmingham"/>
    <s v="United States"/>
    <s v="No"/>
    <s v="L-D-0.5"/>
    <s v="Liberica"/>
    <s v="Dark"/>
    <n v="3"/>
    <n v="0.5"/>
    <n v="7.77"/>
    <n v="23.31"/>
    <n v="1.0101"/>
    <n v="3.0303"/>
    <n v="13"/>
  </r>
  <r>
    <s v="WJJ-37489-898"/>
    <d v="2021-04-08T00:00:00"/>
    <s v="2021"/>
    <s v="April"/>
    <s v="31599-82152-AD"/>
    <s v="Rickie Faltin"/>
    <s v="rfaltinqb@topsy.com"/>
    <s v="UNKNOWN"/>
    <s v="Portumna"/>
    <s v="Ireland"/>
    <s v="No"/>
    <s v="A-M-1"/>
    <s v="Arabica"/>
    <s v="Medium"/>
    <n v="1"/>
    <n v="1"/>
    <n v="11.25"/>
    <n v="11.25"/>
    <n v="1.0125"/>
    <n v="1.0125"/>
    <n v="9"/>
  </r>
  <r>
    <s v="ORX-57454-917"/>
    <d v="2021-09-06T00:00:00"/>
    <s v="2021"/>
    <s v="September"/>
    <s v="76209-39601-ZR"/>
    <s v="Gnni Cheeke"/>
    <s v="gcheekeqc@sitemeter.com"/>
    <s v="+44 (677) 694-1404"/>
    <s v="London"/>
    <s v="United Kingdom"/>
    <s v="Yes"/>
    <s v="E-D-2.5"/>
    <s v="Excelsa"/>
    <s v="Dark"/>
    <n v="3"/>
    <n v="2.5"/>
    <n v="27.945"/>
    <n v="83.835000000000008"/>
    <n v="3.07395"/>
    <n v="9.2218499999999999"/>
    <n v="10.999999999999998"/>
  </r>
  <r>
    <s v="GRB-68838-629"/>
    <d v="2021-09-10T00:00:00"/>
    <s v="2021"/>
    <s v="September"/>
    <s v="15064-65241-HB"/>
    <s v="Gwenni Ratt"/>
    <s v="grattqd@phpbb.com"/>
    <s v="+353 (878) 618-9723"/>
    <s v="Castlemartyr"/>
    <s v="Ireland"/>
    <s v="No"/>
    <s v="R-L-2.5"/>
    <s v="Robusta"/>
    <s v="Light"/>
    <n v="4"/>
    <n v="2.5"/>
    <n v="27.484999999999996"/>
    <n v="109.93999999999998"/>
    <n v="1.6490999999999998"/>
    <n v="6.5963999999999992"/>
    <n v="6.0000000000000009"/>
  </r>
  <r>
    <s v="SHT-04865-419"/>
    <d v="2022-05-22T00:00:00"/>
    <s v="2022"/>
    <s v="May"/>
    <s v="69215-90789-DL"/>
    <s v="Johnath Fairebrother"/>
    <s v="UNKNOWN"/>
    <s v="+1 (302) 159-1841"/>
    <s v="Wilmington"/>
    <s v="United States"/>
    <s v="Yes"/>
    <s v="R-L-0.2"/>
    <s v="Robusta"/>
    <s v="Light"/>
    <n v="4"/>
    <n v="0.2"/>
    <n v="3.5849999999999995"/>
    <n v="14.339999999999998"/>
    <n v="0.21509999999999996"/>
    <n v="0.86039999999999983"/>
    <n v="6"/>
  </r>
  <r>
    <s v="UQI-28177-865"/>
    <d v="2020-09-18T00:00:00"/>
    <s v="2020"/>
    <s v="September"/>
    <s v="04317-46176-TB"/>
    <s v="Ingamar Eberlein"/>
    <s v="ieberleinqf@hc360.com"/>
    <s v="+1 (717) 323-3451"/>
    <s v="Harrisburg"/>
    <s v="United States"/>
    <s v="No"/>
    <s v="R-L-0.2"/>
    <s v="Robusta"/>
    <s v="Light"/>
    <n v="6"/>
    <n v="0.2"/>
    <n v="3.5849999999999995"/>
    <n v="21.509999999999998"/>
    <n v="0.21509999999999996"/>
    <n v="1.2905999999999997"/>
    <n v="5.9999999999999991"/>
  </r>
  <r>
    <s v="OIB-13664-879"/>
    <d v="2021-08-31T00:00:00"/>
    <s v="2021"/>
    <s v="August"/>
    <s v="04713-57765-KR"/>
    <s v="Jilly Dreng"/>
    <s v="jdrengqg@uiuc.edu"/>
    <s v="+353 (350) 974-1489"/>
    <s v="Sallins"/>
    <s v="Ireland"/>
    <s v="Yes"/>
    <s v="A-M-1"/>
    <s v="Arabica"/>
    <s v="Medium"/>
    <n v="2"/>
    <n v="1"/>
    <n v="11.25"/>
    <n v="22.5"/>
    <n v="1.0125"/>
    <n v="2.0249999999999999"/>
    <n v="9"/>
  </r>
  <r>
    <s v="PJS-30996-485"/>
    <d v="2022-01-21T00:00:00"/>
    <s v="2022"/>
    <s v="January"/>
    <s v="86579-92122-OC"/>
    <s v="Brenn Dundredge"/>
    <s v="UNKNOWN"/>
    <s v="+1 (405) 369-5173"/>
    <s v="Oklahoma City"/>
    <s v="United States"/>
    <s v="Yes"/>
    <s v="A-L-0.2"/>
    <s v="Arabica"/>
    <s v="Light"/>
    <n v="1"/>
    <n v="0.2"/>
    <n v="3.8849999999999998"/>
    <n v="3.8849999999999998"/>
    <n v="0.34964999999999996"/>
    <n v="0.34964999999999996"/>
    <n v="9"/>
  </r>
  <r>
    <s v="HEL-86709-449"/>
    <d v="2022-06-10T00:00:00"/>
    <s v="2022"/>
    <s v="June"/>
    <s v="86579-92122-OC"/>
    <s v="Brenn Dundredge"/>
    <s v="UNKNOWN"/>
    <s v="+1 (405) 369-5173"/>
    <s v="Oklahoma City"/>
    <s v="United States"/>
    <s v="Yes"/>
    <s v="E-D-2.5"/>
    <s v="Excelsa"/>
    <s v="Dark"/>
    <n v="1"/>
    <n v="2.5"/>
    <n v="27.945"/>
    <n v="27.945"/>
    <n v="3.07395"/>
    <n v="3.07395"/>
    <n v="11"/>
  </r>
  <r>
    <s v="NCH-55389-562"/>
    <d v="2019-04-27T00:00:00"/>
    <s v="2019"/>
    <s v="April"/>
    <s v="86579-92122-OC"/>
    <s v="Brenn Dundredge"/>
    <s v="UNKNOWN"/>
    <s v="+1 (405) 369-5173"/>
    <s v="Oklahoma City"/>
    <s v="United States"/>
    <s v="Yes"/>
    <s v="E-L-2.5"/>
    <s v="Excelsa"/>
    <s v="Light"/>
    <n v="5"/>
    <n v="2.5"/>
    <n v="34.154999999999994"/>
    <n v="170.77499999999998"/>
    <n v="3.7570499999999996"/>
    <n v="18.785249999999998"/>
    <n v="11"/>
  </r>
  <r>
    <s v="NCH-55389-562"/>
    <d v="2019-04-27T00:00:00"/>
    <s v="2019"/>
    <s v="April"/>
    <s v="86579-92122-OC"/>
    <s v="Brenn Dundredge"/>
    <s v="UNKNOWN"/>
    <s v="+1 (405) 369-5173"/>
    <s v="Oklahoma City"/>
    <s v="United States"/>
    <s v="Yes"/>
    <s v="R-L-2.5"/>
    <s v="Robusta"/>
    <s v="Light"/>
    <n v="2"/>
    <n v="2.5"/>
    <n v="27.484999999999996"/>
    <n v="54.969999999999992"/>
    <n v="1.6490999999999998"/>
    <n v="3.2981999999999996"/>
    <n v="6.0000000000000009"/>
  </r>
  <r>
    <s v="NCH-55389-562"/>
    <d v="2019-04-27T00:00:00"/>
    <s v="2019"/>
    <s v="April"/>
    <s v="86579-92122-OC"/>
    <s v="Brenn Dundredge"/>
    <s v="UNKNOWN"/>
    <s v="+1 (405) 369-5173"/>
    <s v="Oklahoma City"/>
    <s v="United States"/>
    <s v="Yes"/>
    <s v="E-L-1"/>
    <s v="Excelsa"/>
    <s v="Light"/>
    <n v="1"/>
    <n v="1"/>
    <n v="14.85"/>
    <n v="14.85"/>
    <n v="1.6335"/>
    <n v="1.6335"/>
    <n v="11"/>
  </r>
  <r>
    <s v="NCH-55389-562"/>
    <d v="2019-04-27T00:00:00"/>
    <s v="2019"/>
    <s v="April"/>
    <s v="86579-92122-OC"/>
    <s v="Brenn Dundredge"/>
    <s v="UNKNOWN"/>
    <s v="+1 (405) 369-5173"/>
    <s v="Oklahoma City"/>
    <s v="United States"/>
    <s v="Yes"/>
    <s v="A-L-0.2"/>
    <s v="Arabica"/>
    <s v="Light"/>
    <n v="2"/>
    <n v="0.2"/>
    <n v="3.8849999999999998"/>
    <n v="7.77"/>
    <n v="0.34964999999999996"/>
    <n v="0.69929999999999992"/>
    <n v="9"/>
  </r>
  <r>
    <s v="GUG-45603-775"/>
    <d v="2022-02-06T00:00:00"/>
    <s v="2022"/>
    <s v="February"/>
    <s v="40959-32642-DN"/>
    <s v="Rhodie Strathern"/>
    <s v="rstrathernqn@devhub.com"/>
    <s v="UNKNOWN"/>
    <s v="Little Rock"/>
    <s v="United States"/>
    <s v="Yes"/>
    <s v="L-L-0.2"/>
    <s v="Liberica"/>
    <s v="Light"/>
    <n v="5"/>
    <n v="0.2"/>
    <n v="4.7549999999999999"/>
    <n v="23.774999999999999"/>
    <n v="0.61814999999999998"/>
    <n v="3.0907499999999999"/>
    <n v="13"/>
  </r>
  <r>
    <s v="KJB-98240-098"/>
    <d v="2022-01-30T00:00:00"/>
    <s v="2022"/>
    <s v="January"/>
    <s v="77746-08153-PM"/>
    <s v="Chad Miguel"/>
    <s v="cmiguelqo@exblog.jp"/>
    <s v="+1 (240) 449-8992"/>
    <s v="Hagerstown"/>
    <s v="United States"/>
    <s v="Yes"/>
    <s v="L-L-1"/>
    <s v="Liberica"/>
    <s v="Light"/>
    <n v="5"/>
    <n v="1"/>
    <n v="15.85"/>
    <n v="79.25"/>
    <n v="2.0605000000000002"/>
    <n v="10.302500000000002"/>
    <n v="13.000000000000004"/>
  </r>
  <r>
    <s v="JMS-48374-462"/>
    <d v="2020-11-23T00:00:00"/>
    <s v="2020"/>
    <s v="November"/>
    <s v="49667-96708-JL"/>
    <s v="Florinda Matusovsky"/>
    <s v="UNKNOWN"/>
    <s v="+1 (518) 618-9919"/>
    <s v="Albany"/>
    <s v="United States"/>
    <s v="Yes"/>
    <s v="A-D-2.5"/>
    <s v="Arabica"/>
    <s v="Dark"/>
    <n v="2"/>
    <n v="2.5"/>
    <n v="22.884999999999998"/>
    <n v="45.769999999999996"/>
    <n v="2.0596499999999995"/>
    <n v="4.1192999999999991"/>
    <n v="8.9999999999999982"/>
  </r>
  <r>
    <s v="YIT-15877-117"/>
    <d v="2022-04-13T00:00:00"/>
    <s v="2022"/>
    <s v="April"/>
    <s v="24155-79322-EQ"/>
    <s v="Morly Rocks"/>
    <s v="mrocksqq@exblog.jp"/>
    <s v="+353 (731) 124-0228"/>
    <s v="Crossmolina"/>
    <s v="Ireland"/>
    <s v="Yes"/>
    <s v="R-D-1"/>
    <s v="Robusta"/>
    <s v="Dark"/>
    <n v="1"/>
    <n v="1"/>
    <n v="8.9499999999999993"/>
    <n v="8.9499999999999993"/>
    <n v="0.53699999999999992"/>
    <n v="0.53699999999999992"/>
    <n v="6"/>
  </r>
  <r>
    <s v="YVK-82679-655"/>
    <d v="2021-01-07T00:00:00"/>
    <s v="2021"/>
    <s v="January"/>
    <s v="95342-88311-SF"/>
    <s v="Yuri Burrells"/>
    <s v="yburrellsqr@vinaora.com"/>
    <s v="+1 (859) 101-4742"/>
    <s v="Lexington"/>
    <s v="United States"/>
    <s v="Yes"/>
    <s v="R-M-0.5"/>
    <s v="Robusta"/>
    <s v="Medium"/>
    <n v="4"/>
    <n v="0.5"/>
    <n v="5.97"/>
    <n v="23.88"/>
    <n v="0.35819999999999996"/>
    <n v="1.4327999999999999"/>
    <n v="6"/>
  </r>
  <r>
    <s v="TYH-81940-054"/>
    <d v="2020-02-04T00:00:00"/>
    <s v="2020"/>
    <s v="February"/>
    <s v="69374-08133-RI"/>
    <s v="Cleopatra Goodrum"/>
    <s v="cgoodrumqs@goodreads.com"/>
    <s v="+1 (619) 944-5888"/>
    <s v="San Diego"/>
    <s v="United States"/>
    <s v="No"/>
    <s v="E-L-0.2"/>
    <s v="Excelsa"/>
    <s v="Light"/>
    <n v="5"/>
    <n v="0.2"/>
    <n v="4.4550000000000001"/>
    <n v="22.274999999999999"/>
    <n v="0.49004999999999999"/>
    <n v="2.45025"/>
    <n v="11.000000000000002"/>
  </r>
  <r>
    <s v="HTY-30660-254"/>
    <d v="2019-09-16T00:00:00"/>
    <s v="2019"/>
    <s v="September"/>
    <s v="83844-95908-RX"/>
    <s v="Joey Jefferys"/>
    <s v="jjefferysqt@blog.com"/>
    <s v="UNKNOWN"/>
    <s v="Los Angeles"/>
    <s v="United States"/>
    <s v="Yes"/>
    <s v="R-M-1"/>
    <s v="Robusta"/>
    <s v="Medium"/>
    <n v="3"/>
    <n v="1"/>
    <n v="9.9499999999999993"/>
    <n v="29.849999999999998"/>
    <n v="0.59699999999999998"/>
    <n v="1.7909999999999999"/>
    <n v="6.0000000000000009"/>
  </r>
  <r>
    <s v="GPW-43956-761"/>
    <d v="2019-01-26T00:00:00"/>
    <s v="2019"/>
    <s v="January"/>
    <s v="09667-09231-YM"/>
    <s v="Bearnard Wardell"/>
    <s v="bwardellqu@adobe.com"/>
    <s v="+1 (347) 311-2289"/>
    <s v="Brooklyn"/>
    <s v="United States"/>
    <s v="Yes"/>
    <s v="E-L-0.5"/>
    <s v="Excelsa"/>
    <s v="Light"/>
    <n v="6"/>
    <n v="0.5"/>
    <n v="8.91"/>
    <n v="53.46"/>
    <n v="0.98009999999999997"/>
    <n v="5.8805999999999994"/>
    <n v="10.999999999999998"/>
  </r>
  <r>
    <s v="DWY-56352-412"/>
    <d v="2021-02-19T00:00:00"/>
    <s v="2021"/>
    <s v="February"/>
    <s v="55427-08059-DF"/>
    <s v="Zeke Walisiak"/>
    <s v="zwalisiakqv@ucsd.edu"/>
    <s v="+353 (848) 172-8155"/>
    <s v="Booterstown"/>
    <s v="Ireland"/>
    <s v="Yes"/>
    <s v="R-D-0.2"/>
    <s v="Robusta"/>
    <s v="Dark"/>
    <n v="1"/>
    <n v="0.2"/>
    <n v="2.6849999999999996"/>
    <n v="2.6849999999999996"/>
    <n v="0.16109999999999997"/>
    <n v="0.16109999999999997"/>
    <n v="6"/>
  </r>
  <r>
    <s v="PUH-55647-976"/>
    <d v="2022-03-22T00:00:00"/>
    <s v="2022"/>
    <s v="March"/>
    <s v="06624-54037-BQ"/>
    <s v="Wiley Leopold"/>
    <s v="wleopoldqw@blogspot.com"/>
    <s v="+1 (352) 173-9191"/>
    <s v="Gainesville"/>
    <s v="United States"/>
    <s v="No"/>
    <s v="R-M-0.2"/>
    <s v="Robusta"/>
    <s v="Medium"/>
    <n v="2"/>
    <n v="0.2"/>
    <n v="2.9849999999999999"/>
    <n v="5.97"/>
    <n v="0.17909999999999998"/>
    <n v="0.35819999999999996"/>
    <n v="6"/>
  </r>
  <r>
    <s v="DTB-71371-705"/>
    <d v="2019-07-03T00:00:00"/>
    <s v="2019"/>
    <s v="July"/>
    <s v="48544-90737-AZ"/>
    <s v="Chiarra Shalders"/>
    <s v="cshaldersqx@cisco.com"/>
    <s v="+1 (305) 787-2810"/>
    <s v="Clearwater"/>
    <s v="United States"/>
    <s v="Yes"/>
    <s v="L-D-1"/>
    <s v="Liberica"/>
    <s v="Dark"/>
    <n v="1"/>
    <n v="1"/>
    <n v="12.95"/>
    <n v="12.95"/>
    <n v="1.6835"/>
    <n v="1.6835"/>
    <n v="13"/>
  </r>
  <r>
    <s v="ZDC-64769-740"/>
    <d v="2019-09-21T00:00:00"/>
    <s v="2019"/>
    <s v="September"/>
    <s v="79463-01597-FQ"/>
    <s v="Sharl Southerill"/>
    <s v="UNKNOWN"/>
    <s v="+1 (865) 959-4075"/>
    <s v="Amarillo"/>
    <s v="United States"/>
    <s v="No"/>
    <s v="E-M-0.5"/>
    <s v="Excelsa"/>
    <s v="Medium"/>
    <n v="1"/>
    <n v="0.5"/>
    <n v="8.25"/>
    <n v="8.25"/>
    <n v="0.90749999999999997"/>
    <n v="0.90749999999999997"/>
    <n v="11"/>
  </r>
  <r>
    <s v="TED-81959-419"/>
    <d v="2019-08-26T00:00:00"/>
    <s v="2019"/>
    <s v="August"/>
    <s v="27702-50024-XC"/>
    <s v="Noni Furber"/>
    <s v="nfurberqz@jugem.jp"/>
    <s v="+1 (817) 813-2784"/>
    <s v="Fort Worth"/>
    <s v="United States"/>
    <s v="No"/>
    <s v="A-L-2.5"/>
    <s v="Arabica"/>
    <s v="Light"/>
    <n v="5"/>
    <n v="2.5"/>
    <n v="29.784999999999997"/>
    <n v="148.92499999999998"/>
    <n v="2.6806499999999995"/>
    <n v="13.403249999999998"/>
    <n v="9"/>
  </r>
  <r>
    <s v="FDO-25756-141"/>
    <d v="2021-08-03T00:00:00"/>
    <s v="2021"/>
    <s v="August"/>
    <s v="57360-46846-NS"/>
    <s v="Dinah Crutcher"/>
    <s v="UNKNOWN"/>
    <s v="+353 (706) 448-6304"/>
    <s v="Lusk"/>
    <s v="Ireland"/>
    <s v="Yes"/>
    <s v="A-L-2.5"/>
    <s v="Arabica"/>
    <s v="Light"/>
    <n v="3"/>
    <n v="2.5"/>
    <n v="29.784999999999997"/>
    <n v="89.35499999999999"/>
    <n v="2.6806499999999995"/>
    <n v="8.0419499999999982"/>
    <n v="8.9999999999999982"/>
  </r>
  <r>
    <s v="HKN-31467-517"/>
    <d v="2021-10-24T00:00:00"/>
    <s v="2021"/>
    <s v="October"/>
    <s v="84045-66771-SL"/>
    <s v="Charlean Keave"/>
    <s v="ckeaver1@ucoz.com"/>
    <s v="+1 (850) 410-9647"/>
    <s v="Pensacola"/>
    <s v="United States"/>
    <s v="No"/>
    <s v="L-M-1"/>
    <s v="Liberica"/>
    <s v="Medium"/>
    <n v="6"/>
    <n v="1"/>
    <n v="14.55"/>
    <n v="87.300000000000011"/>
    <n v="1.8915000000000002"/>
    <n v="11.349"/>
    <n v="12.999999999999998"/>
  </r>
  <r>
    <s v="POF-29666-012"/>
    <d v="2019-04-01T00:00:00"/>
    <s v="2019"/>
    <s v="April"/>
    <s v="46885-00260-TL"/>
    <s v="Sada Roseborough"/>
    <s v="sroseboroughr2@virginia.edu"/>
    <s v="+1 (253) 735-5179"/>
    <s v="Tacoma"/>
    <s v="United States"/>
    <s v="Yes"/>
    <s v="R-D-0.5"/>
    <s v="Robusta"/>
    <s v="Dark"/>
    <n v="1"/>
    <n v="0.5"/>
    <n v="5.3699999999999992"/>
    <n v="5.3699999999999992"/>
    <n v="0.32219999999999993"/>
    <n v="0.32219999999999993"/>
    <n v="6"/>
  </r>
  <r>
    <s v="IRX-59256-644"/>
    <d v="2021-12-08T00:00:00"/>
    <s v="2021"/>
    <s v="December"/>
    <s v="96446-62142-EN"/>
    <s v="Clayton Kingwell"/>
    <s v="ckingwellr3@squarespace.com"/>
    <s v="+353 (182) 469-0985"/>
    <s v="Rathnew"/>
    <s v="Ireland"/>
    <s v="Yes"/>
    <s v="A-D-0.2"/>
    <s v="Arabica"/>
    <s v="Dark"/>
    <n v="3"/>
    <n v="0.2"/>
    <n v="2.9849999999999999"/>
    <n v="8.9550000000000001"/>
    <n v="0.26865"/>
    <n v="0.80594999999999994"/>
    <n v="9"/>
  </r>
  <r>
    <s v="LTN-89139-350"/>
    <d v="2019-06-27T00:00:00"/>
    <s v="2019"/>
    <s v="June"/>
    <s v="07756-71018-GU"/>
    <s v="Kacy Canto"/>
    <s v="kcantor4@gmpg.org"/>
    <s v="+1 (260) 735-9621"/>
    <s v="Fort Wayne"/>
    <s v="United States"/>
    <s v="Yes"/>
    <s v="R-L-2.5"/>
    <s v="Robusta"/>
    <s v="Light"/>
    <n v="5"/>
    <n v="2.5"/>
    <n v="27.484999999999996"/>
    <n v="137.42499999999998"/>
    <n v="1.6490999999999998"/>
    <n v="8.2454999999999998"/>
    <n v="6.0000000000000009"/>
  </r>
  <r>
    <s v="TXF-79780-017"/>
    <d v="2020-07-14T00:00:00"/>
    <s v="2020"/>
    <s v="July"/>
    <s v="92048-47813-QB"/>
    <s v="Mab Blakemore"/>
    <s v="mblakemorer5@nsw.gov.au"/>
    <s v="+1 (806) 227-6812"/>
    <s v="Amarillo"/>
    <s v="United States"/>
    <s v="No"/>
    <s v="R-L-1"/>
    <s v="Robusta"/>
    <s v="Light"/>
    <n v="5"/>
    <n v="1"/>
    <n v="11.95"/>
    <n v="59.75"/>
    <n v="0.71699999999999997"/>
    <n v="3.585"/>
    <n v="6"/>
  </r>
  <r>
    <s v="ALM-80762-974"/>
    <d v="2020-03-23T00:00:00"/>
    <s v="2020"/>
    <s v="March"/>
    <s v="84045-66771-SL"/>
    <s v="Charlean Keave"/>
    <s v="ckeaver1@ucoz.com"/>
    <s v="+1 (850) 410-9647"/>
    <s v="Pensacola"/>
    <s v="United States"/>
    <s v="No"/>
    <s v="A-L-0.5"/>
    <s v="Arabica"/>
    <s v="Light"/>
    <n v="3"/>
    <n v="0.5"/>
    <n v="7.77"/>
    <n v="23.31"/>
    <n v="0.69929999999999992"/>
    <n v="2.0978999999999997"/>
    <n v="9"/>
  </r>
  <r>
    <s v="NXF-15738-707"/>
    <d v="2020-01-26T00:00:00"/>
    <s v="2020"/>
    <s v="January"/>
    <s v="28699-16256-XV"/>
    <s v="Javier Causnett"/>
    <s v="UNKNOWN"/>
    <s v="+1 (301) 396-9701"/>
    <s v="Silver Spring"/>
    <s v="United States"/>
    <s v="No"/>
    <s v="R-D-0.5"/>
    <s v="Robusta"/>
    <s v="Dark"/>
    <n v="2"/>
    <n v="0.5"/>
    <n v="5.3699999999999992"/>
    <n v="10.739999999999998"/>
    <n v="0.32219999999999993"/>
    <n v="0.64439999999999986"/>
    <n v="6"/>
  </r>
  <r>
    <s v="MVV-19034-198"/>
    <d v="2020-05-31T00:00:00"/>
    <s v="2020"/>
    <s v="May"/>
    <s v="98476-63654-CG"/>
    <s v="Demetris Micheli"/>
    <s v="UNKNOWN"/>
    <s v="+1 (608) 138-8374"/>
    <s v="Madison"/>
    <s v="United States"/>
    <s v="Yes"/>
    <s v="E-D-2.5"/>
    <s v="Excelsa"/>
    <s v="Dark"/>
    <n v="6"/>
    <n v="2.5"/>
    <n v="27.945"/>
    <n v="167.67000000000002"/>
    <n v="3.07395"/>
    <n v="18.4437"/>
    <n v="10.999999999999998"/>
  </r>
  <r>
    <s v="KUX-19632-830"/>
    <d v="2021-07-20T00:00:00"/>
    <s v="2021"/>
    <s v="July"/>
    <s v="55409-07759-YG"/>
    <s v="Chloette Bernardot"/>
    <s v="cbernardotr9@wix.com"/>
    <s v="+1 (936) 783-5732"/>
    <s v="Conroe"/>
    <s v="United States"/>
    <s v="Yes"/>
    <s v="E-D-0.2"/>
    <s v="Excelsa"/>
    <s v="Dark"/>
    <n v="6"/>
    <n v="0.2"/>
    <n v="3.645"/>
    <n v="21.87"/>
    <n v="0.40095000000000003"/>
    <n v="2.4057000000000004"/>
    <n v="11.000000000000002"/>
  </r>
  <r>
    <s v="SNZ-44595-152"/>
    <d v="2022-08-12T00:00:00"/>
    <s v="2022"/>
    <s v="August"/>
    <s v="06136-65250-PG"/>
    <s v="Kim Kemery"/>
    <s v="kkemeryra@t.co"/>
    <s v="+1 (817) 407-3513"/>
    <s v="Denton"/>
    <s v="United States"/>
    <s v="Yes"/>
    <s v="R-L-1"/>
    <s v="Robusta"/>
    <s v="Light"/>
    <n v="2"/>
    <n v="1"/>
    <n v="11.95"/>
    <n v="23.9"/>
    <n v="0.71699999999999997"/>
    <n v="1.4339999999999999"/>
    <n v="6"/>
  </r>
  <r>
    <s v="GQA-37241-629"/>
    <d v="2020-01-01T00:00:00"/>
    <s v="2020"/>
    <s v="January"/>
    <s v="08405-33165-BS"/>
    <s v="Fanchette Parlot"/>
    <s v="fparlotrb@forbes.com"/>
    <s v="+1 (614) 706-1246"/>
    <s v="Columbus"/>
    <s v="United States"/>
    <s v="Yes"/>
    <s v="A-M-0.2"/>
    <s v="Arabica"/>
    <s v="Medium"/>
    <n v="2"/>
    <n v="0.2"/>
    <n v="3.375"/>
    <n v="6.75"/>
    <n v="0.30374999999999996"/>
    <n v="0.60749999999999993"/>
    <n v="8.9999999999999982"/>
  </r>
  <r>
    <s v="WVV-79948-067"/>
    <d v="2021-01-18T00:00:00"/>
    <s v="2021"/>
    <s v="January"/>
    <s v="66070-30559-WI"/>
    <s v="Ramon Cheak"/>
    <s v="rcheakrc@tripadvisor.com"/>
    <s v="UNKNOWN"/>
    <s v="Bundoran"/>
    <s v="Ireland"/>
    <s v="Yes"/>
    <s v="E-M-2.5"/>
    <s v="Excelsa"/>
    <s v="Medium"/>
    <n v="1"/>
    <n v="2.5"/>
    <n v="31.624999999999996"/>
    <n v="31.624999999999996"/>
    <n v="3.4787499999999998"/>
    <n v="3.4787499999999998"/>
    <n v="11"/>
  </r>
  <r>
    <s v="LHX-81117-166"/>
    <d v="2021-12-31T00:00:00"/>
    <s v="2021"/>
    <s v="December"/>
    <s v="01282-28364-RZ"/>
    <s v="Koressa O'Geneay"/>
    <s v="kogeneayrd@utexas.edu"/>
    <s v="+1 (303) 637-0326"/>
    <s v="Aurora"/>
    <s v="United States"/>
    <s v="No"/>
    <s v="R-L-1"/>
    <s v="Robusta"/>
    <s v="Light"/>
    <n v="4"/>
    <n v="1"/>
    <n v="11.95"/>
    <n v="47.8"/>
    <n v="0.71699999999999997"/>
    <n v="2.8679999999999999"/>
    <n v="6"/>
  </r>
  <r>
    <s v="GCD-75444-320"/>
    <d v="2020-05-04T00:00:00"/>
    <s v="2020"/>
    <s v="May"/>
    <s v="51277-93873-RP"/>
    <s v="Claudell Ayre"/>
    <s v="cayrere@symantec.com"/>
    <s v="+1 (386) 573-2575"/>
    <s v="Daytona Beach"/>
    <s v="United States"/>
    <s v="No"/>
    <s v="L-M-2.5"/>
    <s v="Liberica"/>
    <s v="Medium"/>
    <n v="1"/>
    <n v="2.5"/>
    <n v="33.464999999999996"/>
    <n v="33.464999999999996"/>
    <n v="4.3504499999999995"/>
    <n v="4.3504499999999995"/>
    <n v="13"/>
  </r>
  <r>
    <s v="SGA-30059-217"/>
    <d v="2021-02-20T00:00:00"/>
    <s v="2021"/>
    <s v="February"/>
    <s v="84405-83364-DG"/>
    <s v="Lorianne Kyneton"/>
    <s v="lkynetonrf@macromedia.com"/>
    <s v="+44 (618) 634-9365"/>
    <s v="Seaton"/>
    <s v="United Kingdom"/>
    <s v="Yes"/>
    <s v="A-D-0.5"/>
    <s v="Arabica"/>
    <s v="Dark"/>
    <n v="5"/>
    <n v="0.5"/>
    <n v="5.97"/>
    <n v="29.849999999999998"/>
    <n v="0.5373"/>
    <n v="2.6865000000000001"/>
    <n v="9.0000000000000018"/>
  </r>
  <r>
    <s v="GNL-98714-885"/>
    <d v="2020-03-07T00:00:00"/>
    <s v="2020"/>
    <s v="March"/>
    <s v="83731-53280-YC"/>
    <s v="Adele McFayden"/>
    <s v="UNKNOWN"/>
    <s v="+44 (123) 755-7484"/>
    <s v="Wirral"/>
    <s v="United Kingdom"/>
    <s v="Yes"/>
    <s v="R-M-1"/>
    <s v="Robusta"/>
    <s v="Medium"/>
    <n v="3"/>
    <n v="1"/>
    <n v="9.9499999999999993"/>
    <n v="29.849999999999998"/>
    <n v="0.59699999999999998"/>
    <n v="1.7909999999999999"/>
    <n v="6.0000000000000009"/>
  </r>
  <r>
    <s v="OQA-93249-841"/>
    <d v="2019-04-05T00:00:00"/>
    <s v="2019"/>
    <s v="April"/>
    <s v="03917-13632-KC"/>
    <s v="Herta Layne"/>
    <s v="UNKNOWN"/>
    <s v="+1 (636) 143-8338"/>
    <s v="Saint Louis"/>
    <s v="United States"/>
    <s v="Yes"/>
    <s v="A-M-2.5"/>
    <s v="Arabica"/>
    <s v="Medium"/>
    <n v="6"/>
    <n v="2.5"/>
    <n v="25.874999999999996"/>
    <n v="155.24999999999997"/>
    <n v="2.3287499999999994"/>
    <n v="13.972499999999997"/>
    <n v="9"/>
  </r>
  <r>
    <s v="DUV-12075-132"/>
    <d v="2022-06-06T00:00:00"/>
    <s v="2022"/>
    <s v="June"/>
    <s v="62494-09113-RP"/>
    <s v="Marguerite Graves"/>
    <s v="UNKNOWN"/>
    <s v="+1 (479) 204-9111"/>
    <s v="Fort Smith"/>
    <s v="United States"/>
    <s v="No"/>
    <s v="E-D-0.2"/>
    <s v="Excelsa"/>
    <s v="Dark"/>
    <n v="5"/>
    <n v="0.2"/>
    <n v="3.645"/>
    <n v="18.225000000000001"/>
    <n v="0.40095000000000003"/>
    <n v="2.00475"/>
    <n v="10.999999999999998"/>
  </r>
  <r>
    <s v="DUV-12075-132"/>
    <d v="2022-06-06T00:00:00"/>
    <s v="2022"/>
    <s v="June"/>
    <s v="62494-09113-RP"/>
    <s v="Marguerite Graves"/>
    <s v="UNKNOWN"/>
    <s v="+1 (479) 204-9111"/>
    <s v="Fort Smith"/>
    <s v="United States"/>
    <s v="No"/>
    <s v="L-D-0.5"/>
    <s v="Liberica"/>
    <s v="Dark"/>
    <n v="2"/>
    <n v="0.5"/>
    <n v="7.77"/>
    <n v="15.54"/>
    <n v="1.0101"/>
    <n v="2.0202"/>
    <n v="13"/>
  </r>
  <r>
    <s v="KPO-24942-184"/>
    <d v="2021-03-21T00:00:00"/>
    <s v="2021"/>
    <s v="March"/>
    <s v="70567-65133-CN"/>
    <s v="Desdemona Eye"/>
    <s v="UNKNOWN"/>
    <s v="+353 (252) 896-2096"/>
    <s v="Bagenalstown"/>
    <s v="Ireland"/>
    <s v="No"/>
    <s v="L-L-2.5"/>
    <s v="Liberica"/>
    <s v="Light"/>
    <n v="3"/>
    <n v="2.5"/>
    <n v="36.454999999999998"/>
    <n v="109.36499999999999"/>
    <n v="4.7391499999999995"/>
    <n v="14.217449999999999"/>
    <n v="13"/>
  </r>
  <r>
    <s v="SRJ-79353-838"/>
    <d v="2021-12-19T00:00:00"/>
    <s v="2021"/>
    <s v="December"/>
    <s v="77869-81373-AY"/>
    <s v="Margarette Sterland"/>
    <s v="UNKNOWN"/>
    <s v="+1 (215) 872-6809"/>
    <s v="Philadelphia"/>
    <s v="United States"/>
    <s v="No"/>
    <s v="A-L-1"/>
    <s v="Arabica"/>
    <s v="Light"/>
    <n v="6"/>
    <n v="1"/>
    <n v="12.95"/>
    <n v="77.699999999999989"/>
    <n v="1.1655"/>
    <n v="6.9930000000000003"/>
    <n v="9.0000000000000018"/>
  </r>
  <r>
    <s v="XBV-40336-071"/>
    <d v="2021-02-17T00:00:00"/>
    <s v="2021"/>
    <s v="February"/>
    <s v="38536-98293-JZ"/>
    <s v="Catharine Scoines"/>
    <s v="UNKNOWN"/>
    <s v="+353 (693) 290-4775"/>
    <s v="Watergrasshill"/>
    <s v="Ireland"/>
    <s v="No"/>
    <s v="A-D-0.2"/>
    <s v="Arabica"/>
    <s v="Dark"/>
    <n v="3"/>
    <n v="0.2"/>
    <n v="2.9849999999999999"/>
    <n v="8.9550000000000001"/>
    <n v="0.26865"/>
    <n v="0.80594999999999994"/>
    <n v="9"/>
  </r>
  <r>
    <s v="RLM-96511-467"/>
    <d v="2020-01-06T00:00:00"/>
    <s v="2020"/>
    <s v="January"/>
    <s v="43014-53743-XK"/>
    <s v="Jennica Tewelson"/>
    <s v="jtewelsonrn@samsung.com"/>
    <s v="+1 (469) 573-8379"/>
    <s v="Dallas"/>
    <s v="United States"/>
    <s v="No"/>
    <s v="R-L-2.5"/>
    <s v="Robusta"/>
    <s v="Light"/>
    <n v="1"/>
    <n v="2.5"/>
    <n v="27.484999999999996"/>
    <n v="27.484999999999996"/>
    <n v="1.6490999999999998"/>
    <n v="1.6490999999999998"/>
    <n v="6.0000000000000009"/>
  </r>
  <r>
    <s v="AEZ-13242-456"/>
    <d v="2022-05-04T00:00:00"/>
    <s v="2022"/>
    <s v="May"/>
    <s v="62494-09113-RP"/>
    <s v="Marguerite Graves"/>
    <s v="UNKNOWN"/>
    <s v="+1 (479) 204-9111"/>
    <s v="Fort Smith"/>
    <s v="United States"/>
    <s v="No"/>
    <s v="R-M-0.5"/>
    <s v="Robusta"/>
    <s v="Medium"/>
    <n v="5"/>
    <n v="0.5"/>
    <n v="5.97"/>
    <n v="29.849999999999998"/>
    <n v="0.35819999999999996"/>
    <n v="1.7909999999999999"/>
    <n v="6.0000000000000009"/>
  </r>
  <r>
    <s v="UME-75640-698"/>
    <d v="2019-10-11T00:00:00"/>
    <s v="2019"/>
    <s v="October"/>
    <s v="62494-09113-RP"/>
    <s v="Marguerite Graves"/>
    <s v="UNKNOWN"/>
    <s v="+1 (479) 204-9111"/>
    <s v="Fort Smith"/>
    <s v="United States"/>
    <s v="No"/>
    <s v="A-M-0.5"/>
    <s v="Arabica"/>
    <s v="Medium"/>
    <n v="4"/>
    <n v="0.5"/>
    <n v="6.75"/>
    <n v="27"/>
    <n v="0.60749999999999993"/>
    <n v="2.4299999999999997"/>
    <n v="8.9999999999999982"/>
  </r>
  <r>
    <s v="GJC-66474-557"/>
    <d v="2021-08-03T00:00:00"/>
    <s v="2021"/>
    <s v="August"/>
    <s v="64965-78386-MY"/>
    <s v="Nicolina Jenny"/>
    <s v="njennyrq@bigcartel.com"/>
    <s v="+1 (562) 679-4750"/>
    <s v="Whittier"/>
    <s v="United States"/>
    <s v="No"/>
    <s v="A-D-1"/>
    <s v="Arabica"/>
    <s v="Dark"/>
    <n v="1"/>
    <n v="1"/>
    <n v="9.9499999999999993"/>
    <n v="9.9499999999999993"/>
    <n v="0.89549999999999985"/>
    <n v="0.89549999999999985"/>
    <n v="9"/>
  </r>
  <r>
    <s v="IRV-20769-219"/>
    <d v="2020-10-15T00:00:00"/>
    <s v="2020"/>
    <s v="October"/>
    <s v="77131-58092-GE"/>
    <s v="Vidovic Antonelli"/>
    <s v="UNKNOWN"/>
    <s v="+44 (810) 927-9266"/>
    <s v="London"/>
    <s v="United Kingdom"/>
    <s v="Yes"/>
    <s v="E-M-0.2"/>
    <s v="Excelsa"/>
    <s v="Medium"/>
    <n v="3"/>
    <n v="0.2"/>
    <n v="4.125"/>
    <n v="12.375"/>
    <n v="0.45374999999999999"/>
    <n v="1.3612500000000001"/>
    <n v="11"/>
  </r>
  <r>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61B80F-DF5B-4C61-9E0A-83272D480C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ies">
  <location ref="A39:B50"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showAll="0"/>
    <pivotField showAll="0"/>
    <pivotField showAll="0"/>
    <pivotField showAll="0"/>
    <pivotField showAll="0"/>
    <pivotField axis="axisRow" showAll="0" measureFilter="1" sortType="ascending">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8"/>
  </rowFields>
  <rowItems count="11">
    <i>
      <x v="43"/>
    </i>
    <i>
      <x v="102"/>
    </i>
    <i>
      <x v="160"/>
    </i>
    <i>
      <x v="250"/>
    </i>
    <i>
      <x v="263"/>
    </i>
    <i>
      <x v="272"/>
    </i>
    <i>
      <x v="279"/>
    </i>
    <i>
      <x v="295"/>
    </i>
    <i>
      <x v="340"/>
    </i>
    <i>
      <x v="359"/>
    </i>
    <i t="grand">
      <x/>
    </i>
  </rowItems>
  <colItems count="1">
    <i/>
  </colItems>
  <dataFields count="1">
    <dataField name="Total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229AD2-2247-4549-A0F6-7EDF75980B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untry">
  <location ref="A24:B28"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showAll="0"/>
    <pivotField showAll="0"/>
    <pivotField numFmtId="166" showAll="0">
      <items count="14">
        <item h="1" x="6"/>
        <item x="11"/>
        <item h="1" x="7"/>
        <item h="1" x="0"/>
        <item h="1" x="8"/>
        <item h="1" x="2"/>
        <item h="1" x="9"/>
        <item h="1" x="1"/>
        <item h="1" x="3"/>
        <item h="1" x="5"/>
        <item h="1" x="10"/>
        <item h="1" x="4"/>
        <item h="1" x="12"/>
        <item t="default"/>
      </items>
    </pivotField>
    <pivotField showAll="0" defaultSubtotal="0"/>
    <pivotField showAll="0" defaultSubtotal="0"/>
    <pivotField showAll="0" defaultSubtotal="0">
      <items count="6">
        <item x="0"/>
        <item x="1"/>
        <item x="2"/>
        <item x="3"/>
        <item x="4"/>
        <item x="5"/>
      </items>
    </pivotField>
  </pivotFields>
  <rowFields count="1">
    <field x="9"/>
  </rowFields>
  <rowItems count="4">
    <i>
      <x/>
    </i>
    <i>
      <x v="1"/>
    </i>
    <i>
      <x v="2"/>
    </i>
    <i t="grand">
      <x/>
    </i>
  </rowItems>
  <colItems count="1">
    <i/>
  </colItems>
  <dataFields count="1">
    <dataField name="Total Sales" fld="17" baseField="0" baseItem="0"/>
  </dataField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9" count="1" selected="0">
            <x v="0"/>
          </reference>
        </references>
      </pivotArea>
    </chartFormat>
    <chartFormat chart="25" format="10">
      <pivotArea type="data" outline="0" fieldPosition="0">
        <references count="2">
          <reference field="4294967294" count="1" selected="0">
            <x v="0"/>
          </reference>
          <reference field="9" count="1" selected="0">
            <x v="1"/>
          </reference>
        </references>
      </pivotArea>
    </chartFormat>
    <chartFormat chart="2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9A0B1-B7BF-459B-97D6-534AE0FA54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ity">
  <location ref="A87:B463"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showAll="0"/>
    <pivotField showAll="0"/>
    <pivotField dataField="1"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axis="axisRow" showAll="0">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pivotField showAll="0"/>
    <pivotField showAll="0"/>
    <pivotField showAll="0">
      <items count="5">
        <item x="2"/>
        <item x="1"/>
        <item x="3"/>
        <item x="0"/>
        <item t="default"/>
      </items>
    </pivotField>
    <pivotField showAll="0"/>
    <pivotField showAll="0"/>
    <pivotField numFmtId="165" showAll="0"/>
    <pivotField numFmtId="166" showAll="0"/>
    <pivotField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8"/>
  </rowFields>
  <rowItems count="3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t="grand">
      <x/>
    </i>
  </rowItems>
  <colItems count="1">
    <i/>
  </colItems>
  <dataFields count="1">
    <dataField name="Number of Customer Name" fld="5" subtotal="count" baseField="0" baseItem="0"/>
  </dataFields>
  <chartFormats count="3">
    <chartFormat chart="0"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7C2E08-545B-4D9A-AD57-0F122213C25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533:B546"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axis="axisRow" showAll="0">
      <items count="13">
        <item x="4"/>
        <item x="10"/>
        <item x="6"/>
        <item x="8"/>
        <item x="5"/>
        <item x="1"/>
        <item x="2"/>
        <item x="3"/>
        <item x="0"/>
        <item x="7"/>
        <item x="11"/>
        <item x="9"/>
        <item t="default"/>
      </items>
    </pivotField>
    <pivotField showAll="0"/>
    <pivotField dataField="1" showAll="0" includeNewItemsInFilter="1" sumSubtotal="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sum"/>
      </items>
    </pivotField>
    <pivotField showAll="0"/>
    <pivotField showAll="0"/>
    <pivotField showAll="0">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pivotField showAll="0">
      <items count="3">
        <item x="1"/>
        <item x="0"/>
        <item t="default"/>
      </items>
    </pivotField>
    <pivotField showAll="0"/>
    <pivotField showAll="0">
      <items count="5">
        <item x="2"/>
        <item x="1"/>
        <item x="3"/>
        <item x="0"/>
        <item t="default"/>
      </items>
    </pivotField>
    <pivotField showAll="0"/>
    <pivotField showAll="0"/>
    <pivotField numFmtId="165" showAll="0"/>
    <pivotField numFmtId="166" showAll="0"/>
    <pivotField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3"/>
  </rowFields>
  <rowItems count="13">
    <i>
      <x/>
    </i>
    <i>
      <x v="1"/>
    </i>
    <i>
      <x v="2"/>
    </i>
    <i>
      <x v="3"/>
    </i>
    <i>
      <x v="4"/>
    </i>
    <i>
      <x v="5"/>
    </i>
    <i>
      <x v="6"/>
    </i>
    <i>
      <x v="7"/>
    </i>
    <i>
      <x v="8"/>
    </i>
    <i>
      <x v="9"/>
    </i>
    <i>
      <x v="10"/>
    </i>
    <i>
      <x v="11"/>
    </i>
    <i t="grand">
      <x/>
    </i>
  </rowItems>
  <colItems count="1">
    <i/>
  </colItems>
  <dataFields count="1">
    <dataField name="Total no. of Customers"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6067AB-3E06-416D-B3CD-2A24F1C180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A495:B508"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axis="axisRow" showAll="0" sortType="ascending">
      <items count="13">
        <item x="4"/>
        <item x="10"/>
        <item x="6"/>
        <item x="8"/>
        <item x="5"/>
        <item x="1"/>
        <item x="2"/>
        <item x="3"/>
        <item x="0"/>
        <item x="7"/>
        <item x="1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3"/>
  </rowFields>
  <rowItems count="13">
    <i>
      <x v="7"/>
    </i>
    <i>
      <x v="11"/>
    </i>
    <i>
      <x v="4"/>
    </i>
    <i>
      <x/>
    </i>
    <i>
      <x v="10"/>
    </i>
    <i>
      <x v="8"/>
    </i>
    <i>
      <x v="9"/>
    </i>
    <i>
      <x v="6"/>
    </i>
    <i>
      <x v="1"/>
    </i>
    <i>
      <x v="3"/>
    </i>
    <i>
      <x v="2"/>
    </i>
    <i>
      <x v="5"/>
    </i>
    <i t="grand">
      <x/>
    </i>
  </rowItems>
  <colItems count="1">
    <i/>
  </colItems>
  <dataFields count="1">
    <dataField name="Total Sales" fld="17"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D07AA1-A6E0-44AF-B467-DEE05C5E1A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A468:B473"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5">
        <item x="0"/>
        <item x="3"/>
        <item x="1"/>
        <item x="2"/>
        <item t="default"/>
      </items>
    </pivotField>
    <pivotField showAll="0"/>
    <pivotField showAll="0"/>
    <pivotField dataField="1" showAll="0"/>
    <pivotField showAll="0"/>
    <pivotField showAll="0"/>
    <pivotField showAll="0"/>
    <pivotField showAll="0"/>
    <pivotField showAll="0"/>
    <pivotField showAll="0"/>
    <pivotField showAll="0">
      <items count="5">
        <item x="2"/>
        <item x="1"/>
        <item x="3"/>
        <item x="0"/>
        <item t="default"/>
      </items>
    </pivotField>
    <pivotField showAll="0"/>
    <pivotField showAll="0"/>
    <pivotField numFmtId="165" showAll="0"/>
    <pivotField numFmtId="166" showAll="0"/>
    <pivotField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2"/>
  </rowFields>
  <rowItems count="5">
    <i>
      <x/>
    </i>
    <i>
      <x v="1"/>
    </i>
    <i>
      <x v="2"/>
    </i>
    <i>
      <x v="3"/>
    </i>
    <i t="grand">
      <x/>
    </i>
  </rowItems>
  <colItems count="1">
    <i/>
  </colItems>
  <dataFields count="1">
    <dataField name="Total no. of Customer "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4ACE2D-6B0B-4348-B96E-ECEB4B56B3E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oast type" colHeaderCaption="Coffee type">
  <location ref="A564:F582" firstHeaderRow="1" firstDataRow="2"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 axis="axisCol"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2">
    <field x="2"/>
    <field x="13"/>
  </rowFields>
  <rowItems count="17">
    <i>
      <x/>
    </i>
    <i r="1">
      <x/>
    </i>
    <i r="1">
      <x v="1"/>
    </i>
    <i r="1">
      <x v="2"/>
    </i>
    <i>
      <x v="1"/>
    </i>
    <i r="1">
      <x/>
    </i>
    <i r="1">
      <x v="1"/>
    </i>
    <i r="1">
      <x v="2"/>
    </i>
    <i>
      <x v="2"/>
    </i>
    <i r="1">
      <x/>
    </i>
    <i r="1">
      <x v="1"/>
    </i>
    <i r="1">
      <x v="2"/>
    </i>
    <i>
      <x v="3"/>
    </i>
    <i r="1">
      <x/>
    </i>
    <i r="1">
      <x v="1"/>
    </i>
    <i r="1">
      <x v="2"/>
    </i>
    <i t="grand">
      <x/>
    </i>
  </rowItems>
  <colFields count="1">
    <field x="12"/>
  </colFields>
  <colItems count="5">
    <i>
      <x/>
    </i>
    <i>
      <x v="1"/>
    </i>
    <i>
      <x v="2"/>
    </i>
    <i>
      <x v="3"/>
    </i>
    <i t="grand">
      <x/>
    </i>
  </colItems>
  <dataFields count="1">
    <dataField name="Total Sales" fld="17" baseField="0" baseItem="0"/>
  </dataFields>
  <formats count="1">
    <format dxfId="0">
      <pivotArea dataOnly="0" labelOnly="1" fieldPosition="0">
        <references count="1">
          <reference field="12" count="1">
            <x v="0"/>
          </reference>
        </references>
      </pivotArea>
    </format>
  </formats>
  <chartFormats count="35">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3">
          <reference field="4294967294" count="1" selected="0">
            <x v="0"/>
          </reference>
          <reference field="2" count="1" selected="0">
            <x v="1"/>
          </reference>
          <reference field="12" count="1" selected="0">
            <x v="0"/>
          </reference>
        </references>
      </pivotArea>
    </chartFormat>
    <chartFormat chart="2" format="5" series="1">
      <pivotArea type="data" outline="0" fieldPosition="0">
        <references count="3">
          <reference field="4294967294" count="1" selected="0">
            <x v="0"/>
          </reference>
          <reference field="2" count="1" selected="0">
            <x v="1"/>
          </reference>
          <reference field="12" count="1" selected="0">
            <x v="1"/>
          </reference>
        </references>
      </pivotArea>
    </chartFormat>
    <chartFormat chart="2" format="6" series="1">
      <pivotArea type="data" outline="0" fieldPosition="0">
        <references count="3">
          <reference field="4294967294" count="1" selected="0">
            <x v="0"/>
          </reference>
          <reference field="2" count="1" selected="0">
            <x v="1"/>
          </reference>
          <reference field="12" count="1" selected="0">
            <x v="2"/>
          </reference>
        </references>
      </pivotArea>
    </chartFormat>
    <chartFormat chart="2" format="7" series="1">
      <pivotArea type="data" outline="0" fieldPosition="0">
        <references count="3">
          <reference field="4294967294" count="1" selected="0">
            <x v="0"/>
          </reference>
          <reference field="2" count="1" selected="0">
            <x v="1"/>
          </reference>
          <reference field="12" count="1" selected="0">
            <x v="3"/>
          </reference>
        </references>
      </pivotArea>
    </chartFormat>
    <chartFormat chart="2" format="8" series="1">
      <pivotArea type="data" outline="0" fieldPosition="0">
        <references count="3">
          <reference field="4294967294" count="1" selected="0">
            <x v="0"/>
          </reference>
          <reference field="2" count="1" selected="0">
            <x v="2"/>
          </reference>
          <reference field="12" count="1" selected="0">
            <x v="0"/>
          </reference>
        </references>
      </pivotArea>
    </chartFormat>
    <chartFormat chart="2" format="9" series="1">
      <pivotArea type="data" outline="0" fieldPosition="0">
        <references count="3">
          <reference field="4294967294" count="1" selected="0">
            <x v="0"/>
          </reference>
          <reference field="2" count="1" selected="0">
            <x v="2"/>
          </reference>
          <reference field="12" count="1" selected="0">
            <x v="1"/>
          </reference>
        </references>
      </pivotArea>
    </chartFormat>
    <chartFormat chart="2" format="10" series="1">
      <pivotArea type="data" outline="0" fieldPosition="0">
        <references count="3">
          <reference field="4294967294" count="1" selected="0">
            <x v="0"/>
          </reference>
          <reference field="2" count="1" selected="0">
            <x v="2"/>
          </reference>
          <reference field="12" count="1" selected="0">
            <x v="2"/>
          </reference>
        </references>
      </pivotArea>
    </chartFormat>
    <chartFormat chart="2" format="11" series="1">
      <pivotArea type="data" outline="0" fieldPosition="0">
        <references count="3">
          <reference field="4294967294" count="1" selected="0">
            <x v="0"/>
          </reference>
          <reference field="2" count="1" selected="0">
            <x v="2"/>
          </reference>
          <reference field="12" count="1" selected="0">
            <x v="3"/>
          </reference>
        </references>
      </pivotArea>
    </chartFormat>
    <chartFormat chart="2" format="12" series="1">
      <pivotArea type="data" outline="0" fieldPosition="0">
        <references count="3">
          <reference field="4294967294" count="1" selected="0">
            <x v="0"/>
          </reference>
          <reference field="2" count="1" selected="0">
            <x v="3"/>
          </reference>
          <reference field="12" count="1" selected="0">
            <x v="0"/>
          </reference>
        </references>
      </pivotArea>
    </chartFormat>
    <chartFormat chart="2" format="13" series="1">
      <pivotArea type="data" outline="0" fieldPosition="0">
        <references count="3">
          <reference field="4294967294" count="1" selected="0">
            <x v="0"/>
          </reference>
          <reference field="2" count="1" selected="0">
            <x v="3"/>
          </reference>
          <reference field="12" count="1" selected="0">
            <x v="1"/>
          </reference>
        </references>
      </pivotArea>
    </chartFormat>
    <chartFormat chart="2" format="14" series="1">
      <pivotArea type="data" outline="0" fieldPosition="0">
        <references count="3">
          <reference field="4294967294" count="1" selected="0">
            <x v="0"/>
          </reference>
          <reference field="2" count="1" selected="0">
            <x v="3"/>
          </reference>
          <reference field="12" count="1" selected="0">
            <x v="2"/>
          </reference>
        </references>
      </pivotArea>
    </chartFormat>
    <chartFormat chart="2" format="15" series="1">
      <pivotArea type="data" outline="0" fieldPosition="0">
        <references count="3">
          <reference field="4294967294" count="1" selected="0">
            <x v="0"/>
          </reference>
          <reference field="2" count="1" selected="0">
            <x v="3"/>
          </reference>
          <reference field="12" count="1" selected="0">
            <x v="3"/>
          </reference>
        </references>
      </pivotArea>
    </chartFormat>
    <chartFormat chart="2" format="16" series="1">
      <pivotArea type="data" outline="0" fieldPosition="0">
        <references count="2">
          <reference field="4294967294" count="1" selected="0">
            <x v="0"/>
          </reference>
          <reference field="12" count="1" selected="0">
            <x v="0"/>
          </reference>
        </references>
      </pivotArea>
    </chartFormat>
    <chartFormat chart="2" format="17" series="1">
      <pivotArea type="data" outline="0" fieldPosition="0">
        <references count="2">
          <reference field="4294967294" count="1" selected="0">
            <x v="0"/>
          </reference>
          <reference field="12" count="1" selected="0">
            <x v="1"/>
          </reference>
        </references>
      </pivotArea>
    </chartFormat>
    <chartFormat chart="2" format="18" series="1">
      <pivotArea type="data" outline="0" fieldPosition="0">
        <references count="2">
          <reference field="4294967294" count="1" selected="0">
            <x v="0"/>
          </reference>
          <reference field="12" count="1" selected="0">
            <x v="2"/>
          </reference>
        </references>
      </pivotArea>
    </chartFormat>
    <chartFormat chart="2" format="19" series="1">
      <pivotArea type="data" outline="0" fieldPosition="0">
        <references count="2">
          <reference field="4294967294" count="1" selected="0">
            <x v="0"/>
          </reference>
          <reference field="12" count="1" selected="0">
            <x v="3"/>
          </reference>
        </references>
      </pivotArea>
    </chartFormat>
    <chartFormat chart="2" format="20" series="1">
      <pivotArea type="data" outline="0" fieldPosition="0">
        <references count="3">
          <reference field="4294967294" count="1" selected="0">
            <x v="0"/>
          </reference>
          <reference field="2" count="1" selected="0">
            <x v="0"/>
          </reference>
          <reference field="12" count="1" selected="0">
            <x v="1"/>
          </reference>
        </references>
      </pivotArea>
    </chartFormat>
    <chartFormat chart="2" format="21" series="1">
      <pivotArea type="data" outline="0" fieldPosition="0">
        <references count="3">
          <reference field="4294967294" count="1" selected="0">
            <x v="0"/>
          </reference>
          <reference field="2" count="1" selected="0">
            <x v="0"/>
          </reference>
          <reference field="12" count="1" selected="0">
            <x v="2"/>
          </reference>
        </references>
      </pivotArea>
    </chartFormat>
    <chartFormat chart="2" format="22" series="1">
      <pivotArea type="data" outline="0" fieldPosition="0">
        <references count="3">
          <reference field="4294967294" count="1" selected="0">
            <x v="0"/>
          </reference>
          <reference field="2" count="1" selected="0">
            <x v="0"/>
          </reference>
          <reference field="12" count="1" selected="0">
            <x v="3"/>
          </reference>
        </references>
      </pivotArea>
    </chartFormat>
    <chartFormat chart="2" format="23" series="1">
      <pivotArea type="data" outline="0" fieldPosition="0">
        <references count="1">
          <reference field="4294967294" count="1" selected="0">
            <x v="0"/>
          </reference>
        </references>
      </pivotArea>
    </chartFormat>
    <chartFormat chart="2" format="24" series="1">
      <pivotArea type="data" outline="0" fieldPosition="0">
        <references count="2">
          <reference field="4294967294" count="1" selected="0">
            <x v="0"/>
          </reference>
          <reference field="13" count="1" selected="0">
            <x v="1"/>
          </reference>
        </references>
      </pivotArea>
    </chartFormat>
    <chartFormat chart="2" format="25" series="1">
      <pivotArea type="data" outline="0" fieldPosition="0">
        <references count="2">
          <reference field="4294967294" count="1" selected="0">
            <x v="0"/>
          </reference>
          <reference field="13" count="1" selected="0">
            <x v="2"/>
          </reference>
        </references>
      </pivotArea>
    </chartFormat>
    <chartFormat chart="2" format="26" series="1">
      <pivotArea type="data" outline="0" fieldPosition="0">
        <references count="3">
          <reference field="4294967294" count="1" selected="0">
            <x v="0"/>
          </reference>
          <reference field="12" count="1" selected="0">
            <x v="3"/>
          </reference>
          <reference field="13" count="1" selected="0">
            <x v="0"/>
          </reference>
        </references>
      </pivotArea>
    </chartFormat>
    <chartFormat chart="2" format="27" series="1">
      <pivotArea type="data" outline="0" fieldPosition="0">
        <references count="3">
          <reference field="4294967294" count="1" selected="0">
            <x v="0"/>
          </reference>
          <reference field="12" count="1" selected="0">
            <x v="0"/>
          </reference>
          <reference field="13" count="1" selected="0">
            <x v="1"/>
          </reference>
        </references>
      </pivotArea>
    </chartFormat>
    <chartFormat chart="2" format="28" series="1">
      <pivotArea type="data" outline="0" fieldPosition="0">
        <references count="3">
          <reference field="4294967294" count="1" selected="0">
            <x v="0"/>
          </reference>
          <reference field="12" count="1" selected="0">
            <x v="1"/>
          </reference>
          <reference field="13" count="1" selected="0">
            <x v="1"/>
          </reference>
        </references>
      </pivotArea>
    </chartFormat>
    <chartFormat chart="2" format="29" series="1">
      <pivotArea type="data" outline="0" fieldPosition="0">
        <references count="3">
          <reference field="4294967294" count="1" selected="0">
            <x v="0"/>
          </reference>
          <reference field="12" count="1" selected="0">
            <x v="2"/>
          </reference>
          <reference field="13" count="1" selected="0">
            <x v="1"/>
          </reference>
        </references>
      </pivotArea>
    </chartFormat>
    <chartFormat chart="2" format="30" series="1">
      <pivotArea type="data" outline="0" fieldPosition="0">
        <references count="3">
          <reference field="4294967294" count="1" selected="0">
            <x v="0"/>
          </reference>
          <reference field="12" count="1" selected="0">
            <x v="3"/>
          </reference>
          <reference field="13" count="1" selected="0">
            <x v="1"/>
          </reference>
        </references>
      </pivotArea>
    </chartFormat>
    <chartFormat chart="2" format="31" series="1">
      <pivotArea type="data" outline="0" fieldPosition="0">
        <references count="3">
          <reference field="4294967294" count="1" selected="0">
            <x v="0"/>
          </reference>
          <reference field="12" count="1" selected="0">
            <x v="0"/>
          </reference>
          <reference field="13" count="1" selected="0">
            <x v="2"/>
          </reference>
        </references>
      </pivotArea>
    </chartFormat>
    <chartFormat chart="2" format="32" series="1">
      <pivotArea type="data" outline="0" fieldPosition="0">
        <references count="3">
          <reference field="4294967294" count="1" selected="0">
            <x v="0"/>
          </reference>
          <reference field="12" count="1" selected="0">
            <x v="1"/>
          </reference>
          <reference field="13" count="1" selected="0">
            <x v="2"/>
          </reference>
        </references>
      </pivotArea>
    </chartFormat>
    <chartFormat chart="2" format="33" series="1">
      <pivotArea type="data" outline="0" fieldPosition="0">
        <references count="3">
          <reference field="4294967294" count="1" selected="0">
            <x v="0"/>
          </reference>
          <reference field="12" count="1" selected="0">
            <x v="2"/>
          </reference>
          <reference field="13" count="1" selected="0">
            <x v="2"/>
          </reference>
        </references>
      </pivotArea>
    </chartFormat>
    <chartFormat chart="2" format="34" series="1">
      <pivotArea type="data" outline="0" fieldPosition="0">
        <references count="3">
          <reference field="4294967294" count="1" selected="0">
            <x v="0"/>
          </reference>
          <reference field="12" count="1" selected="0">
            <x v="3"/>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3F4242-C3EC-4A7F-B600-98AA02B8415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A551:B556"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2"/>
  </rowFields>
  <rowItems count="5">
    <i>
      <x/>
    </i>
    <i>
      <x v="1"/>
    </i>
    <i>
      <x v="2"/>
    </i>
    <i>
      <x v="3"/>
    </i>
    <i t="grand">
      <x/>
    </i>
  </rowItems>
  <colItems count="1">
    <i/>
  </colItems>
  <dataFields count="1">
    <dataField name="Total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8A77C5-4A3D-4D12-9BA2-2534BFD8DF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 Name">
  <location ref="A481:B487"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showAll="0"/>
    <pivotField showAll="0"/>
    <pivotField showAll="0"/>
    <pivotField showAll="0"/>
    <pivotField dataField="1" showAll="0"/>
    <pivotField numFmtId="165" showAll="0"/>
    <pivotField numFmtId="166" showAll="0"/>
    <pivotField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5"/>
  </rowFields>
  <rowItems count="6">
    <i>
      <x v="12"/>
    </i>
    <i>
      <x v="462"/>
    </i>
    <i>
      <x v="583"/>
    </i>
    <i>
      <x v="646"/>
    </i>
    <i>
      <x v="831"/>
    </i>
    <i t="grand">
      <x/>
    </i>
  </rowItems>
  <colItems count="1">
    <i/>
  </colItems>
  <dataFields count="1">
    <dataField name="Number of Quantity"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40B7E-DAFE-4BA8-B39F-93091BE3E6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oast types">
  <location ref="A57:B61"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axis="axisRow" showAll="0" sortType="ascending">
      <items count="4">
        <item x="2"/>
        <item x="1"/>
        <item x="0"/>
        <item t="default"/>
      </items>
    </pivotField>
    <pivotField showAll="0">
      <items count="7">
        <item x="2"/>
        <item x="0"/>
        <item x="3"/>
        <item x="4"/>
        <item x="1"/>
        <item x="5"/>
        <item t="default"/>
      </items>
    </pivotField>
    <pivotField numFmtId="165" showAll="0"/>
    <pivotField numFmtId="166" showAll="0"/>
    <pivotField dataField="1"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13"/>
  </rowFields>
  <rowItems count="4">
    <i>
      <x/>
    </i>
    <i>
      <x v="1"/>
    </i>
    <i>
      <x v="2"/>
    </i>
    <i t="grand">
      <x/>
    </i>
  </rowItems>
  <colItems count="1">
    <i/>
  </colItems>
  <dataFields count="1">
    <dataField name="Total Sales" fld="17"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E4B705-EB1A-46F8-A13C-F0E069B254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colHeaderCaption="coffee type">
  <location ref="A513:F527" firstHeaderRow="1" firstDataRow="2"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axis="axisRow" showAll="0">
      <items count="13">
        <item x="4"/>
        <item x="10"/>
        <item x="6"/>
        <item x="8"/>
        <item x="5"/>
        <item x="1"/>
        <item x="2"/>
        <item x="3"/>
        <item x="0"/>
        <item x="7"/>
        <item x="11"/>
        <item x="9"/>
        <item t="default"/>
      </items>
    </pivotField>
    <pivotField showAll="0"/>
    <pivotField showAll="0"/>
    <pivotField showAll="0"/>
    <pivotField showAll="0"/>
    <pivotField showAll="0"/>
    <pivotField showAll="0"/>
    <pivotField showAll="0"/>
    <pivotField showAll="0"/>
    <pivotField axis="axisCol" showAll="0">
      <items count="5">
        <item x="2"/>
        <item x="1"/>
        <item x="3"/>
        <item x="0"/>
        <item t="default"/>
      </items>
    </pivotField>
    <pivotField showAll="0"/>
    <pivotField showAll="0"/>
    <pivotField numFmtId="165" showAll="0"/>
    <pivotField numFmtId="166" showAll="0"/>
    <pivotField dataField="1"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3"/>
  </rowFields>
  <rowItems count="13">
    <i>
      <x/>
    </i>
    <i>
      <x v="1"/>
    </i>
    <i>
      <x v="2"/>
    </i>
    <i>
      <x v="3"/>
    </i>
    <i>
      <x v="4"/>
    </i>
    <i>
      <x v="5"/>
    </i>
    <i>
      <x v="6"/>
    </i>
    <i>
      <x v="7"/>
    </i>
    <i>
      <x v="8"/>
    </i>
    <i>
      <x v="9"/>
    </i>
    <i>
      <x v="10"/>
    </i>
    <i>
      <x v="11"/>
    </i>
    <i t="grand">
      <x/>
    </i>
  </rowItems>
  <colFields count="1">
    <field x="12"/>
  </colFields>
  <colItems count="5">
    <i>
      <x/>
    </i>
    <i>
      <x v="1"/>
    </i>
    <i>
      <x v="2"/>
    </i>
    <i>
      <x v="3"/>
    </i>
    <i t="grand">
      <x/>
    </i>
  </colItems>
  <dataFields count="1">
    <dataField name="Total Sales" fld="17" baseField="0" baseItem="0"/>
  </dataFields>
  <formats count="1">
    <format dxfId="1">
      <pivotArea dataOnly="0" labelOnly="1" fieldPosition="0">
        <references count="1">
          <reference field="12" count="1">
            <x v="0"/>
          </reference>
        </references>
      </pivotArea>
    </format>
  </formats>
  <chartFormats count="5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3">
          <reference field="4294967294" count="1" selected="0">
            <x v="0"/>
          </reference>
          <reference field="3" count="1" selected="0">
            <x v="3"/>
          </reference>
          <reference field="12" count="1" selected="0">
            <x v="0"/>
          </reference>
        </references>
      </pivotArea>
    </chartFormat>
    <chartFormat chart="0" format="13" series="1">
      <pivotArea type="data" outline="0" fieldPosition="0">
        <references count="3">
          <reference field="4294967294" count="1" selected="0">
            <x v="0"/>
          </reference>
          <reference field="3" count="1" selected="0">
            <x v="3"/>
          </reference>
          <reference field="12" count="1" selected="0">
            <x v="1"/>
          </reference>
        </references>
      </pivotArea>
    </chartFormat>
    <chartFormat chart="0" format="14" series="1">
      <pivotArea type="data" outline="0" fieldPosition="0">
        <references count="3">
          <reference field="4294967294" count="1" selected="0">
            <x v="0"/>
          </reference>
          <reference field="3" count="1" selected="0">
            <x v="3"/>
          </reference>
          <reference field="12" count="1" selected="0">
            <x v="2"/>
          </reference>
        </references>
      </pivotArea>
    </chartFormat>
    <chartFormat chart="0" format="15" series="1">
      <pivotArea type="data" outline="0" fieldPosition="0">
        <references count="3">
          <reference field="4294967294" count="1" selected="0">
            <x v="0"/>
          </reference>
          <reference field="3" count="1" selected="0">
            <x v="3"/>
          </reference>
          <reference field="12" count="1" selected="0">
            <x v="3"/>
          </reference>
        </references>
      </pivotArea>
    </chartFormat>
    <chartFormat chart="0" format="16" series="1">
      <pivotArea type="data" outline="0" fieldPosition="0">
        <references count="3">
          <reference field="4294967294" count="1" selected="0">
            <x v="0"/>
          </reference>
          <reference field="3" count="1" selected="0">
            <x v="4"/>
          </reference>
          <reference field="12" count="1" selected="0">
            <x v="0"/>
          </reference>
        </references>
      </pivotArea>
    </chartFormat>
    <chartFormat chart="0" format="17" series="1">
      <pivotArea type="data" outline="0" fieldPosition="0">
        <references count="3">
          <reference field="4294967294" count="1" selected="0">
            <x v="0"/>
          </reference>
          <reference field="3" count="1" selected="0">
            <x v="4"/>
          </reference>
          <reference field="12" count="1" selected="0">
            <x v="1"/>
          </reference>
        </references>
      </pivotArea>
    </chartFormat>
    <chartFormat chart="0" format="18" series="1">
      <pivotArea type="data" outline="0" fieldPosition="0">
        <references count="3">
          <reference field="4294967294" count="1" selected="0">
            <x v="0"/>
          </reference>
          <reference field="3" count="1" selected="0">
            <x v="4"/>
          </reference>
          <reference field="12" count="1" selected="0">
            <x v="2"/>
          </reference>
        </references>
      </pivotArea>
    </chartFormat>
    <chartFormat chart="0" format="19" series="1">
      <pivotArea type="data" outline="0" fieldPosition="0">
        <references count="3">
          <reference field="4294967294" count="1" selected="0">
            <x v="0"/>
          </reference>
          <reference field="3" count="1" selected="0">
            <x v="4"/>
          </reference>
          <reference field="12" count="1" selected="0">
            <x v="3"/>
          </reference>
        </references>
      </pivotArea>
    </chartFormat>
    <chartFormat chart="0" format="20" series="1">
      <pivotArea type="data" outline="0" fieldPosition="0">
        <references count="3">
          <reference field="4294967294" count="1" selected="0">
            <x v="0"/>
          </reference>
          <reference field="3" count="1" selected="0">
            <x v="5"/>
          </reference>
          <reference field="12" count="1" selected="0">
            <x v="0"/>
          </reference>
        </references>
      </pivotArea>
    </chartFormat>
    <chartFormat chart="0" format="21" series="1">
      <pivotArea type="data" outline="0" fieldPosition="0">
        <references count="3">
          <reference field="4294967294" count="1" selected="0">
            <x v="0"/>
          </reference>
          <reference field="3" count="1" selected="0">
            <x v="5"/>
          </reference>
          <reference field="12" count="1" selected="0">
            <x v="1"/>
          </reference>
        </references>
      </pivotArea>
    </chartFormat>
    <chartFormat chart="0" format="22" series="1">
      <pivotArea type="data" outline="0" fieldPosition="0">
        <references count="3">
          <reference field="4294967294" count="1" selected="0">
            <x v="0"/>
          </reference>
          <reference field="3" count="1" selected="0">
            <x v="5"/>
          </reference>
          <reference field="12" count="1" selected="0">
            <x v="2"/>
          </reference>
        </references>
      </pivotArea>
    </chartFormat>
    <chartFormat chart="0" format="23" series="1">
      <pivotArea type="data" outline="0" fieldPosition="0">
        <references count="3">
          <reference field="4294967294" count="1" selected="0">
            <x v="0"/>
          </reference>
          <reference field="3" count="1" selected="0">
            <x v="5"/>
          </reference>
          <reference field="12" count="1" selected="0">
            <x v="3"/>
          </reference>
        </references>
      </pivotArea>
    </chartFormat>
    <chartFormat chart="0" format="24" series="1">
      <pivotArea type="data" outline="0" fieldPosition="0">
        <references count="3">
          <reference field="4294967294" count="1" selected="0">
            <x v="0"/>
          </reference>
          <reference field="3" count="1" selected="0">
            <x v="6"/>
          </reference>
          <reference field="12" count="1" selected="0">
            <x v="0"/>
          </reference>
        </references>
      </pivotArea>
    </chartFormat>
    <chartFormat chart="0" format="25" series="1">
      <pivotArea type="data" outline="0" fieldPosition="0">
        <references count="3">
          <reference field="4294967294" count="1" selected="0">
            <x v="0"/>
          </reference>
          <reference field="3" count="1" selected="0">
            <x v="6"/>
          </reference>
          <reference field="12" count="1" selected="0">
            <x v="1"/>
          </reference>
        </references>
      </pivotArea>
    </chartFormat>
    <chartFormat chart="0" format="26" series="1">
      <pivotArea type="data" outline="0" fieldPosition="0">
        <references count="3">
          <reference field="4294967294" count="1" selected="0">
            <x v="0"/>
          </reference>
          <reference field="3" count="1" selected="0">
            <x v="6"/>
          </reference>
          <reference field="12" count="1" selected="0">
            <x v="2"/>
          </reference>
        </references>
      </pivotArea>
    </chartFormat>
    <chartFormat chart="0" format="27" series="1">
      <pivotArea type="data" outline="0" fieldPosition="0">
        <references count="3">
          <reference field="4294967294" count="1" selected="0">
            <x v="0"/>
          </reference>
          <reference field="3" count="1" selected="0">
            <x v="6"/>
          </reference>
          <reference field="12" count="1" selected="0">
            <x v="3"/>
          </reference>
        </references>
      </pivotArea>
    </chartFormat>
    <chartFormat chart="0" format="28" series="1">
      <pivotArea type="data" outline="0" fieldPosition="0">
        <references count="3">
          <reference field="4294967294" count="1" selected="0">
            <x v="0"/>
          </reference>
          <reference field="3" count="1" selected="0">
            <x v="7"/>
          </reference>
          <reference field="12" count="1" selected="0">
            <x v="0"/>
          </reference>
        </references>
      </pivotArea>
    </chartFormat>
    <chartFormat chart="0" format="29" series="1">
      <pivotArea type="data" outline="0" fieldPosition="0">
        <references count="3">
          <reference field="4294967294" count="1" selected="0">
            <x v="0"/>
          </reference>
          <reference field="3" count="1" selected="0">
            <x v="7"/>
          </reference>
          <reference field="12" count="1" selected="0">
            <x v="1"/>
          </reference>
        </references>
      </pivotArea>
    </chartFormat>
    <chartFormat chart="0" format="30" series="1">
      <pivotArea type="data" outline="0" fieldPosition="0">
        <references count="3">
          <reference field="4294967294" count="1" selected="0">
            <x v="0"/>
          </reference>
          <reference field="3" count="1" selected="0">
            <x v="7"/>
          </reference>
          <reference field="12" count="1" selected="0">
            <x v="2"/>
          </reference>
        </references>
      </pivotArea>
    </chartFormat>
    <chartFormat chart="0" format="31" series="1">
      <pivotArea type="data" outline="0" fieldPosition="0">
        <references count="3">
          <reference field="4294967294" count="1" selected="0">
            <x v="0"/>
          </reference>
          <reference field="3" count="1" selected="0">
            <x v="7"/>
          </reference>
          <reference field="12" count="1" selected="0">
            <x v="3"/>
          </reference>
        </references>
      </pivotArea>
    </chartFormat>
    <chartFormat chart="0" format="32" series="1">
      <pivotArea type="data" outline="0" fieldPosition="0">
        <references count="3">
          <reference field="4294967294" count="1" selected="0">
            <x v="0"/>
          </reference>
          <reference field="3" count="1" selected="0">
            <x v="8"/>
          </reference>
          <reference field="12" count="1" selected="0">
            <x v="0"/>
          </reference>
        </references>
      </pivotArea>
    </chartFormat>
    <chartFormat chart="0" format="33" series="1">
      <pivotArea type="data" outline="0" fieldPosition="0">
        <references count="3">
          <reference field="4294967294" count="1" selected="0">
            <x v="0"/>
          </reference>
          <reference field="3" count="1" selected="0">
            <x v="8"/>
          </reference>
          <reference field="12" count="1" selected="0">
            <x v="1"/>
          </reference>
        </references>
      </pivotArea>
    </chartFormat>
    <chartFormat chart="0" format="34" series="1">
      <pivotArea type="data" outline="0" fieldPosition="0">
        <references count="3">
          <reference field="4294967294" count="1" selected="0">
            <x v="0"/>
          </reference>
          <reference field="3" count="1" selected="0">
            <x v="8"/>
          </reference>
          <reference field="12" count="1" selected="0">
            <x v="2"/>
          </reference>
        </references>
      </pivotArea>
    </chartFormat>
    <chartFormat chart="0" format="35" series="1">
      <pivotArea type="data" outline="0" fieldPosition="0">
        <references count="3">
          <reference field="4294967294" count="1" selected="0">
            <x v="0"/>
          </reference>
          <reference field="3" count="1" selected="0">
            <x v="8"/>
          </reference>
          <reference field="12" count="1" selected="0">
            <x v="3"/>
          </reference>
        </references>
      </pivotArea>
    </chartFormat>
    <chartFormat chart="0" format="36" series="1">
      <pivotArea type="data" outline="0" fieldPosition="0">
        <references count="3">
          <reference field="4294967294" count="1" selected="0">
            <x v="0"/>
          </reference>
          <reference field="3" count="1" selected="0">
            <x v="9"/>
          </reference>
          <reference field="12" count="1" selected="0">
            <x v="0"/>
          </reference>
        </references>
      </pivotArea>
    </chartFormat>
    <chartFormat chart="0" format="37" series="1">
      <pivotArea type="data" outline="0" fieldPosition="0">
        <references count="3">
          <reference field="4294967294" count="1" selected="0">
            <x v="0"/>
          </reference>
          <reference field="3" count="1" selected="0">
            <x v="9"/>
          </reference>
          <reference field="12" count="1" selected="0">
            <x v="1"/>
          </reference>
        </references>
      </pivotArea>
    </chartFormat>
    <chartFormat chart="0" format="38" series="1">
      <pivotArea type="data" outline="0" fieldPosition="0">
        <references count="3">
          <reference field="4294967294" count="1" selected="0">
            <x v="0"/>
          </reference>
          <reference field="3" count="1" selected="0">
            <x v="9"/>
          </reference>
          <reference field="12" count="1" selected="0">
            <x v="2"/>
          </reference>
        </references>
      </pivotArea>
    </chartFormat>
    <chartFormat chart="0" format="39" series="1">
      <pivotArea type="data" outline="0" fieldPosition="0">
        <references count="3">
          <reference field="4294967294" count="1" selected="0">
            <x v="0"/>
          </reference>
          <reference field="3" count="1" selected="0">
            <x v="9"/>
          </reference>
          <reference field="12" count="1" selected="0">
            <x v="3"/>
          </reference>
        </references>
      </pivotArea>
    </chartFormat>
    <chartFormat chart="0" format="40" series="1">
      <pivotArea type="data" outline="0" fieldPosition="0">
        <references count="3">
          <reference field="4294967294" count="1" selected="0">
            <x v="0"/>
          </reference>
          <reference field="3" count="1" selected="0">
            <x v="10"/>
          </reference>
          <reference field="12" count="1" selected="0">
            <x v="0"/>
          </reference>
        </references>
      </pivotArea>
    </chartFormat>
    <chartFormat chart="0" format="41" series="1">
      <pivotArea type="data" outline="0" fieldPosition="0">
        <references count="3">
          <reference field="4294967294" count="1" selected="0">
            <x v="0"/>
          </reference>
          <reference field="3" count="1" selected="0">
            <x v="10"/>
          </reference>
          <reference field="12" count="1" selected="0">
            <x v="1"/>
          </reference>
        </references>
      </pivotArea>
    </chartFormat>
    <chartFormat chart="0" format="42" series="1">
      <pivotArea type="data" outline="0" fieldPosition="0">
        <references count="3">
          <reference field="4294967294" count="1" selected="0">
            <x v="0"/>
          </reference>
          <reference field="3" count="1" selected="0">
            <x v="10"/>
          </reference>
          <reference field="12" count="1" selected="0">
            <x v="2"/>
          </reference>
        </references>
      </pivotArea>
    </chartFormat>
    <chartFormat chart="0" format="43" series="1">
      <pivotArea type="data" outline="0" fieldPosition="0">
        <references count="3">
          <reference field="4294967294" count="1" selected="0">
            <x v="0"/>
          </reference>
          <reference field="3" count="1" selected="0">
            <x v="10"/>
          </reference>
          <reference field="12" count="1" selected="0">
            <x v="3"/>
          </reference>
        </references>
      </pivotArea>
    </chartFormat>
    <chartFormat chart="0" format="44" series="1">
      <pivotArea type="data" outline="0" fieldPosition="0">
        <references count="3">
          <reference field="4294967294" count="1" selected="0">
            <x v="0"/>
          </reference>
          <reference field="3" count="1" selected="0">
            <x v="11"/>
          </reference>
          <reference field="12" count="1" selected="0">
            <x v="0"/>
          </reference>
        </references>
      </pivotArea>
    </chartFormat>
    <chartFormat chart="0" format="45" series="1">
      <pivotArea type="data" outline="0" fieldPosition="0">
        <references count="3">
          <reference field="4294967294" count="1" selected="0">
            <x v="0"/>
          </reference>
          <reference field="3" count="1" selected="0">
            <x v="11"/>
          </reference>
          <reference field="12" count="1" selected="0">
            <x v="1"/>
          </reference>
        </references>
      </pivotArea>
    </chartFormat>
    <chartFormat chart="0" format="46" series="1">
      <pivotArea type="data" outline="0" fieldPosition="0">
        <references count="3">
          <reference field="4294967294" count="1" selected="0">
            <x v="0"/>
          </reference>
          <reference field="3" count="1" selected="0">
            <x v="11"/>
          </reference>
          <reference field="12" count="1" selected="0">
            <x v="2"/>
          </reference>
        </references>
      </pivotArea>
    </chartFormat>
    <chartFormat chart="0" format="47" series="1">
      <pivotArea type="data" outline="0" fieldPosition="0">
        <references count="3">
          <reference field="4294967294" count="1" selected="0">
            <x v="0"/>
          </reference>
          <reference field="3" count="1" selected="0">
            <x v="11"/>
          </reference>
          <reference field="12" count="1" selected="0">
            <x v="3"/>
          </reference>
        </references>
      </pivotArea>
    </chartFormat>
    <chartFormat chart="0" format="48" series="1">
      <pivotArea type="data" outline="0" fieldPosition="0">
        <references count="2">
          <reference field="4294967294" count="1" selected="0">
            <x v="0"/>
          </reference>
          <reference field="12" count="1" selected="0">
            <x v="3"/>
          </reference>
        </references>
      </pivotArea>
    </chartFormat>
    <chartFormat chart="0" format="49" series="1">
      <pivotArea type="data" outline="0" fieldPosition="0">
        <references count="2">
          <reference field="4294967294" count="1" selected="0">
            <x v="0"/>
          </reference>
          <reference field="12" count="1" selected="0">
            <x v="1"/>
          </reference>
        </references>
      </pivotArea>
    </chartFormat>
    <chartFormat chart="0" format="50" series="1">
      <pivotArea type="data" outline="0" fieldPosition="0">
        <references count="2">
          <reference field="4294967294" count="1" selected="0">
            <x v="0"/>
          </reference>
          <reference field="12" count="1" selected="0">
            <x v="0"/>
          </reference>
        </references>
      </pivotArea>
    </chartFormat>
    <chartFormat chart="0" format="51" series="1">
      <pivotArea type="data" outline="0" fieldPosition="0">
        <references count="2">
          <reference field="4294967294" count="1" selected="0">
            <x v="0"/>
          </reference>
          <reference field="12" count="1" selected="0">
            <x v="2"/>
          </reference>
        </references>
      </pivotArea>
    </chartFormat>
    <chartFormat chart="10" format="56" series="1">
      <pivotArea type="data" outline="0" fieldPosition="0">
        <references count="2">
          <reference field="4294967294" count="1" selected="0">
            <x v="0"/>
          </reference>
          <reference field="12" count="1" selected="0">
            <x v="0"/>
          </reference>
        </references>
      </pivotArea>
    </chartFormat>
    <chartFormat chart="10" format="57" series="1">
      <pivotArea type="data" outline="0" fieldPosition="0">
        <references count="2">
          <reference field="4294967294" count="1" selected="0">
            <x v="0"/>
          </reference>
          <reference field="12" count="1" selected="0">
            <x v="1"/>
          </reference>
        </references>
      </pivotArea>
    </chartFormat>
    <chartFormat chart="10" format="58" series="1">
      <pivotArea type="data" outline="0" fieldPosition="0">
        <references count="2">
          <reference field="4294967294" count="1" selected="0">
            <x v="0"/>
          </reference>
          <reference field="12" count="1" selected="0">
            <x v="2"/>
          </reference>
        </references>
      </pivotArea>
    </chartFormat>
    <chartFormat chart="10" format="59"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BF50B0-A265-4727-B942-7CDCC81D0E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A72:B76" firstHeaderRow="1" firstDataRow="1"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5">
        <item x="0"/>
        <item x="3"/>
        <item x="1"/>
        <item x="2"/>
        <item t="default"/>
      </items>
    </pivotField>
    <pivotField showAll="0"/>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dataField="1"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numFmtId="165" showAll="0"/>
    <pivotField numFmtId="166" showAll="0"/>
    <pivotField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9"/>
  </rowFields>
  <rowItems count="4">
    <i>
      <x/>
    </i>
    <i>
      <x v="1"/>
    </i>
    <i>
      <x v="2"/>
    </i>
    <i t="grand">
      <x/>
    </i>
  </rowItems>
  <colItems count="1">
    <i/>
  </colItems>
  <dataFields count="1">
    <dataField name="Total no of customers" fld="5"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72EF6D-0ED4-4738-A02A-F1381EB52D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ffee type" colHeaderCaption="Year">
  <location ref="A5:F11" firstHeaderRow="1" firstDataRow="2" firstDataCol="1"/>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Col" showAll="0">
      <items count="5">
        <item x="0"/>
        <item x="3"/>
        <item x="1"/>
        <item x="2"/>
        <item t="default"/>
      </items>
    </pivotField>
    <pivotField showAll="0">
      <items count="13">
        <item x="4"/>
        <item x="10"/>
        <item x="6"/>
        <item x="8"/>
        <item x="5"/>
        <item x="1"/>
        <item x="2"/>
        <item x="3"/>
        <item x="0"/>
        <item x="7"/>
        <item x="11"/>
        <item x="9"/>
        <item t="default"/>
      </items>
    </pivotField>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numFmtId="165" showAll="0"/>
    <pivotField numFmtId="166" showAll="0"/>
    <pivotField dataField="1" showAll="0"/>
    <pivotField showAll="0"/>
    <pivotField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Fields count="1">
    <field x="2"/>
  </colFields>
  <colItems count="5">
    <i>
      <x/>
    </i>
    <i>
      <x v="1"/>
    </i>
    <i>
      <x v="2"/>
    </i>
    <i>
      <x v="3"/>
    </i>
    <i t="grand">
      <x/>
    </i>
  </colItems>
  <dataFields count="1">
    <dataField name="Total Sales" fld="17"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9" format="5" series="1">
      <pivotArea type="data" outline="0" fieldPosition="0">
        <references count="2">
          <reference field="4294967294" count="1" selected="0">
            <x v="0"/>
          </reference>
          <reference field="2" count="1" selected="0">
            <x v="3"/>
          </reference>
        </references>
      </pivotArea>
    </chartFormat>
    <chartFormat chart="9" format="6" series="1">
      <pivotArea type="data" outline="0" fieldPosition="0">
        <references count="2">
          <reference field="4294967294" count="1" selected="0">
            <x v="0"/>
          </reference>
          <reference field="2" count="1" selected="0">
            <x v="0"/>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359CCA-FABE-44C1-B137-93EA69AE9DF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1:X12" firstHeaderRow="1" firstDataRow="1" firstDataCol="0"/>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Nam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2B7669-6247-4BB1-8EB0-DD42D2EF2A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7:X8" firstHeaderRow="1" firstDataRow="1" firstDataCol="0"/>
  <pivotFields count="24">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6" showAll="0"/>
    <pivotField showAll="0"/>
    <pivotField showAll="0"/>
    <pivotField dataField="1" showAll="0"/>
    <pivotField numFmtId="166"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Total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81AAE72-3F6C-4D5F-B75D-63D5B2019FB4}" sourceName="Year">
  <pivotTables>
    <pivotTable tabId="6" name="PivotTable9"/>
    <pivotTable tabId="6" name="PivotTable1"/>
    <pivotTable tabId="6" name="PivotTable10"/>
    <pivotTable tabId="6" name="PivotTable11"/>
    <pivotTable tabId="6" name="PivotTable12"/>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s>
  <data>
    <tabular pivotCacheId="723122183">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C3B875B9-2A11-4594-B1D6-043EF9709470}" sourceName="Coffee type">
  <pivotTables>
    <pivotTable tabId="6" name="PivotTable4"/>
    <pivotTable tabId="6" name="PivotTable1"/>
    <pivotTable tabId="6" name="PivotTable10"/>
    <pivotTable tabId="6" name="PivotTable11"/>
    <pivotTable tabId="6" name="PivotTable12"/>
    <pivotTable tabId="6" name="PivotTable13"/>
    <pivotTable tabId="6" name="PivotTable2"/>
    <pivotTable tabId="6" name="PivotTable3"/>
    <pivotTable tabId="6" name="PivotTable6"/>
    <pivotTable tabId="6" name="PivotTable7"/>
    <pivotTable tabId="6" name="PivotTable9"/>
  </pivotTables>
  <data>
    <tabular pivotCacheId="72312218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5EEABF3-D522-4ACD-967D-9B9A909226EA}" cache="Slicer_Year" caption="Year" rowHeight="241300"/>
  <slicer name="Coffee type" xr10:uid="{FB9CDBDC-1032-4F07-ADF2-BCE4CFD3856B}" cache="Slicer_Coffee_type" caption="Coffee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C0E5E51-D6DA-4CDE-B248-F4898B418551}" cache="Slicer_Year" caption="Year" style="SlicerStyleDark3" rowHeight="241300"/>
  <slicer name="Coffee type 1" xr10:uid="{BACECEEC-742B-402A-9050-880FB5003BAE}" cache="Slicer_Coffee_type" caption="Coffee type"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34CA-F178-450A-961C-E61336867C7E}">
  <dimension ref="A2:F582"/>
  <sheetViews>
    <sheetView workbookViewId="0">
      <selection activeCell="B5" sqref="B5"/>
    </sheetView>
  </sheetViews>
  <sheetFormatPr defaultRowHeight="15" x14ac:dyDescent="0.25"/>
  <cols>
    <col min="1" max="1" width="17.7109375" bestFit="1" customWidth="1"/>
    <col min="2" max="2" width="19" bestFit="1" customWidth="1"/>
    <col min="3" max="3" width="9" bestFit="1" customWidth="1"/>
    <col min="4" max="4" width="10" bestFit="1" customWidth="1"/>
    <col min="5" max="5" width="9" bestFit="1" customWidth="1"/>
    <col min="6" max="6" width="11.28515625" bestFit="1" customWidth="1"/>
    <col min="7" max="7" width="10.7109375" bestFit="1" customWidth="1"/>
    <col min="8" max="8" width="7.42578125" bestFit="1" customWidth="1"/>
    <col min="9" max="9" width="7.85546875" bestFit="1" customWidth="1"/>
    <col min="10" max="10" width="8.140625" bestFit="1" customWidth="1"/>
    <col min="11" max="11" width="13.85546875" bestFit="1" customWidth="1"/>
    <col min="12" max="12" width="8.42578125" bestFit="1" customWidth="1"/>
    <col min="13" max="14" width="8" bestFit="1" customWidth="1"/>
    <col min="15" max="15" width="9" bestFit="1" customWidth="1"/>
    <col min="16" max="16" width="11.42578125" bestFit="1" customWidth="1"/>
    <col min="17" max="18" width="8" bestFit="1" customWidth="1"/>
    <col min="19" max="19" width="9" bestFit="1" customWidth="1"/>
    <col min="20" max="20" width="8.140625" bestFit="1" customWidth="1"/>
    <col min="21" max="21" width="10.140625" bestFit="1" customWidth="1"/>
    <col min="22" max="22" width="8" bestFit="1" customWidth="1"/>
    <col min="23" max="23" width="7.42578125" bestFit="1" customWidth="1"/>
    <col min="24" max="24" width="8" bestFit="1" customWidth="1"/>
    <col min="25" max="25" width="8.140625" bestFit="1" customWidth="1"/>
    <col min="26" max="26" width="9.7109375" bestFit="1" customWidth="1"/>
    <col min="27" max="27" width="8" bestFit="1" customWidth="1"/>
    <col min="28" max="28" width="9" bestFit="1" customWidth="1"/>
    <col min="29" max="29" width="8" bestFit="1" customWidth="1"/>
    <col min="30" max="30" width="8.140625" bestFit="1" customWidth="1"/>
    <col min="31" max="31" width="10" bestFit="1" customWidth="1"/>
    <col min="32" max="33" width="9" bestFit="1" customWidth="1"/>
    <col min="34" max="34" width="8" bestFit="1" customWidth="1"/>
    <col min="35" max="35" width="8.140625" bestFit="1" customWidth="1"/>
    <col min="36" max="36" width="9.28515625" bestFit="1" customWidth="1"/>
    <col min="37" max="37" width="9" bestFit="1" customWidth="1"/>
    <col min="38" max="38" width="7.42578125" bestFit="1" customWidth="1"/>
    <col min="39" max="39" width="7.85546875" bestFit="1" customWidth="1"/>
    <col min="40" max="40" width="8.140625" bestFit="1" customWidth="1"/>
    <col min="41" max="41" width="12" bestFit="1" customWidth="1"/>
    <col min="42" max="42" width="12.7109375" bestFit="1" customWidth="1"/>
    <col min="43" max="43" width="8" bestFit="1" customWidth="1"/>
    <col min="44" max="44" width="7.85546875" bestFit="1" customWidth="1"/>
    <col min="45" max="45" width="8.140625" bestFit="1" customWidth="1"/>
    <col min="46" max="46" width="15.85546875" bestFit="1" customWidth="1"/>
    <col min="47" max="47" width="10" bestFit="1" customWidth="1"/>
    <col min="48" max="48" width="7.42578125" bestFit="1" customWidth="1"/>
    <col min="49" max="49" width="8" bestFit="1" customWidth="1"/>
    <col min="50" max="50" width="8.140625" bestFit="1" customWidth="1"/>
    <col min="51" max="51" width="13.140625" bestFit="1" customWidth="1"/>
    <col min="52" max="52" width="12.28515625" bestFit="1" customWidth="1"/>
    <col min="53" max="53" width="7.42578125" bestFit="1" customWidth="1"/>
    <col min="54" max="54" width="9" bestFit="1" customWidth="1"/>
    <col min="55" max="55" width="8.140625" bestFit="1" customWidth="1"/>
    <col min="56" max="56" width="15.42578125" bestFit="1" customWidth="1"/>
    <col min="57" max="57" width="12" bestFit="1" customWidth="1"/>
    <col min="58" max="58" width="9" bestFit="1" customWidth="1"/>
    <col min="59" max="59" width="7.85546875" bestFit="1" customWidth="1"/>
    <col min="60" max="60" width="8.140625" bestFit="1" customWidth="1"/>
    <col min="61" max="61" width="15.140625" bestFit="1" customWidth="1"/>
    <col min="62" max="62" width="11.28515625" bestFit="1" customWidth="1"/>
    <col min="63" max="63" width="6" bestFit="1" customWidth="1"/>
    <col min="64" max="65" width="7" bestFit="1" customWidth="1"/>
    <col min="66" max="67" width="5" bestFit="1" customWidth="1"/>
    <col min="68" max="68" width="6" bestFit="1" customWidth="1"/>
    <col min="69" max="70" width="7" bestFit="1" customWidth="1"/>
    <col min="71" max="71" width="6" bestFit="1" customWidth="1"/>
    <col min="72" max="72" width="8" bestFit="1" customWidth="1"/>
    <col min="73" max="73" width="7" bestFit="1" customWidth="1"/>
    <col min="74" max="74" width="8" bestFit="1" customWidth="1"/>
    <col min="75" max="77" width="7" bestFit="1" customWidth="1"/>
    <col min="78" max="79" width="8" bestFit="1" customWidth="1"/>
    <col min="80" max="81" width="7" bestFit="1" customWidth="1"/>
    <col min="82" max="82" width="9.85546875" bestFit="1" customWidth="1"/>
    <col min="83" max="83" width="7.140625" bestFit="1" customWidth="1"/>
    <col min="84" max="86" width="6" bestFit="1" customWidth="1"/>
    <col min="87" max="90" width="5" bestFit="1" customWidth="1"/>
    <col min="91" max="92" width="7" bestFit="1" customWidth="1"/>
    <col min="93" max="93" width="6" bestFit="1" customWidth="1"/>
    <col min="94" max="95" width="7" bestFit="1" customWidth="1"/>
    <col min="96" max="100" width="6" bestFit="1" customWidth="1"/>
    <col min="101" max="101" width="7" bestFit="1" customWidth="1"/>
    <col min="102" max="102" width="6" bestFit="1" customWidth="1"/>
    <col min="103" max="103" width="7" bestFit="1" customWidth="1"/>
    <col min="104" max="104" width="6" bestFit="1" customWidth="1"/>
    <col min="105" max="105" width="7" bestFit="1" customWidth="1"/>
    <col min="106" max="106" width="6" bestFit="1" customWidth="1"/>
    <col min="107" max="107" width="7" bestFit="1" customWidth="1"/>
    <col min="108" max="109" width="5" bestFit="1" customWidth="1"/>
    <col min="110" max="110" width="6" bestFit="1" customWidth="1"/>
    <col min="111" max="111" width="7" bestFit="1" customWidth="1"/>
    <col min="112" max="113" width="6" bestFit="1" customWidth="1"/>
    <col min="114" max="114" width="5" bestFit="1" customWidth="1"/>
    <col min="115" max="115" width="7" bestFit="1" customWidth="1"/>
    <col min="116" max="116" width="6" bestFit="1" customWidth="1"/>
    <col min="117" max="117" width="5" bestFit="1" customWidth="1"/>
    <col min="118" max="118" width="7" bestFit="1" customWidth="1"/>
    <col min="119" max="120" width="6" bestFit="1" customWidth="1"/>
    <col min="121" max="121" width="7" bestFit="1" customWidth="1"/>
    <col min="122" max="127" width="6" bestFit="1" customWidth="1"/>
    <col min="128" max="129" width="5" bestFit="1" customWidth="1"/>
    <col min="130" max="132" width="6" bestFit="1" customWidth="1"/>
    <col min="133" max="133" width="5" bestFit="1" customWidth="1"/>
    <col min="134" max="135" width="6" bestFit="1" customWidth="1"/>
    <col min="136" max="136" width="5" bestFit="1" customWidth="1"/>
    <col min="137" max="138" width="6" bestFit="1" customWidth="1"/>
    <col min="139" max="139" width="5" bestFit="1" customWidth="1"/>
    <col min="140" max="141" width="6" bestFit="1" customWidth="1"/>
    <col min="142" max="142" width="5" bestFit="1" customWidth="1"/>
    <col min="143" max="143" width="6" bestFit="1" customWidth="1"/>
    <col min="144" max="144" width="7" bestFit="1" customWidth="1"/>
    <col min="145" max="145" width="5" bestFit="1" customWidth="1"/>
    <col min="146" max="146" width="7" bestFit="1" customWidth="1"/>
    <col min="147" max="147" width="5" bestFit="1" customWidth="1"/>
    <col min="148" max="149" width="8" bestFit="1" customWidth="1"/>
    <col min="150" max="152" width="7" bestFit="1" customWidth="1"/>
    <col min="153" max="153" width="8" bestFit="1" customWidth="1"/>
    <col min="154" max="154" width="7" bestFit="1" customWidth="1"/>
    <col min="155" max="155" width="8" bestFit="1" customWidth="1"/>
    <col min="156" max="156" width="7" bestFit="1" customWidth="1"/>
    <col min="157" max="157" width="8" bestFit="1" customWidth="1"/>
    <col min="158" max="158" width="7" bestFit="1" customWidth="1"/>
    <col min="159" max="159" width="8" bestFit="1" customWidth="1"/>
    <col min="160" max="161" width="7" bestFit="1" customWidth="1"/>
    <col min="162" max="162" width="10.140625" bestFit="1" customWidth="1"/>
    <col min="163" max="163" width="10.42578125" bestFit="1" customWidth="1"/>
    <col min="164" max="165" width="6" bestFit="1" customWidth="1"/>
    <col min="166" max="169" width="5" bestFit="1" customWidth="1"/>
    <col min="170" max="170" width="6" bestFit="1" customWidth="1"/>
    <col min="171" max="171" width="5" bestFit="1" customWidth="1"/>
    <col min="172" max="173" width="6" bestFit="1" customWidth="1"/>
    <col min="174" max="175" width="7" bestFit="1" customWidth="1"/>
    <col min="176" max="176" width="5" bestFit="1" customWidth="1"/>
    <col min="177" max="178" width="6" bestFit="1" customWidth="1"/>
    <col min="179" max="179" width="7" bestFit="1" customWidth="1"/>
    <col min="180" max="180" width="5" bestFit="1" customWidth="1"/>
    <col min="181" max="181" width="7" bestFit="1" customWidth="1"/>
    <col min="182" max="183" width="6" bestFit="1" customWidth="1"/>
    <col min="184" max="184" width="5" bestFit="1" customWidth="1"/>
    <col min="185" max="185" width="6" bestFit="1" customWidth="1"/>
    <col min="186" max="187" width="7" bestFit="1" customWidth="1"/>
    <col min="188" max="188" width="5" bestFit="1" customWidth="1"/>
    <col min="189" max="189" width="7" bestFit="1" customWidth="1"/>
    <col min="190" max="191" width="6" bestFit="1" customWidth="1"/>
    <col min="192" max="192" width="7" bestFit="1" customWidth="1"/>
    <col min="193" max="193" width="6" bestFit="1" customWidth="1"/>
    <col min="194" max="194" width="3" bestFit="1" customWidth="1"/>
    <col min="195" max="196" width="5" bestFit="1" customWidth="1"/>
    <col min="197" max="197" width="6" bestFit="1" customWidth="1"/>
    <col min="198" max="198" width="7" bestFit="1" customWidth="1"/>
    <col min="199" max="199" width="3" bestFit="1" customWidth="1"/>
    <col min="200" max="200" width="7" bestFit="1" customWidth="1"/>
    <col min="201" max="203" width="6" bestFit="1" customWidth="1"/>
    <col min="204" max="205" width="5" bestFit="1" customWidth="1"/>
    <col min="206" max="207" width="6" bestFit="1" customWidth="1"/>
    <col min="208" max="208" width="3" bestFit="1" customWidth="1"/>
    <col min="209" max="209" width="6" bestFit="1" customWidth="1"/>
    <col min="210" max="210" width="5" bestFit="1" customWidth="1"/>
    <col min="211" max="213" width="6" bestFit="1" customWidth="1"/>
    <col min="214" max="214" width="3" bestFit="1" customWidth="1"/>
    <col min="215" max="215" width="6" bestFit="1" customWidth="1"/>
    <col min="216" max="217" width="5" bestFit="1" customWidth="1"/>
    <col min="218" max="219" width="6" bestFit="1" customWidth="1"/>
    <col min="220" max="220" width="5" bestFit="1" customWidth="1"/>
    <col min="221" max="221" width="7" bestFit="1" customWidth="1"/>
    <col min="222" max="223" width="6" bestFit="1" customWidth="1"/>
    <col min="224" max="224" width="7" bestFit="1" customWidth="1"/>
    <col min="225" max="226" width="5" bestFit="1" customWidth="1"/>
    <col min="227" max="227" width="6" bestFit="1" customWidth="1"/>
    <col min="228" max="228" width="7" bestFit="1" customWidth="1"/>
    <col min="229" max="229" width="8" bestFit="1" customWidth="1"/>
    <col min="230" max="230" width="6" bestFit="1" customWidth="1"/>
    <col min="231" max="231" width="8" bestFit="1" customWidth="1"/>
    <col min="232" max="232" width="6" bestFit="1" customWidth="1"/>
    <col min="233" max="233" width="8" bestFit="1" customWidth="1"/>
    <col min="234" max="236" width="7" bestFit="1" customWidth="1"/>
    <col min="237" max="237" width="8" bestFit="1" customWidth="1"/>
    <col min="238" max="239" width="7" bestFit="1" customWidth="1"/>
    <col min="240" max="240" width="13.5703125" bestFit="1" customWidth="1"/>
    <col min="241" max="241" width="11.28515625" bestFit="1" customWidth="1"/>
    <col min="242" max="243" width="10.28515625" bestFit="1" customWidth="1"/>
    <col min="244" max="244" width="7.140625" bestFit="1" customWidth="1"/>
    <col min="245" max="245" width="9.28515625" bestFit="1" customWidth="1"/>
    <col min="246" max="246" width="6.5703125" bestFit="1" customWidth="1"/>
    <col min="247" max="247" width="7.85546875" bestFit="1" customWidth="1"/>
    <col min="248" max="248" width="14.7109375" bestFit="1" customWidth="1"/>
    <col min="249" max="249" width="11.140625" bestFit="1" customWidth="1"/>
    <col min="250" max="250" width="14.5703125" bestFit="1" customWidth="1"/>
    <col min="251" max="251" width="12.42578125" bestFit="1" customWidth="1"/>
    <col min="252" max="252" width="13.5703125" bestFit="1" customWidth="1"/>
    <col min="253" max="253" width="7.85546875" bestFit="1" customWidth="1"/>
    <col min="254" max="254" width="10.5703125" bestFit="1" customWidth="1"/>
    <col min="255" max="255" width="20.7109375" bestFit="1" customWidth="1"/>
    <col min="256" max="256" width="14.42578125" bestFit="1" customWidth="1"/>
    <col min="257" max="257" width="8.140625" bestFit="1" customWidth="1"/>
    <col min="258" max="258" width="7.7109375" bestFit="1" customWidth="1"/>
    <col min="259" max="259" width="11.140625" bestFit="1" customWidth="1"/>
    <col min="260" max="260" width="7.28515625" bestFit="1" customWidth="1"/>
    <col min="261" max="261" width="8.42578125" bestFit="1" customWidth="1"/>
    <col min="262" max="262" width="8.28515625" bestFit="1" customWidth="1"/>
    <col min="263" max="263" width="7.42578125" bestFit="1" customWidth="1"/>
    <col min="264" max="264" width="6.85546875" bestFit="1" customWidth="1"/>
    <col min="265" max="265" width="14" bestFit="1" customWidth="1"/>
    <col min="266" max="266" width="8.42578125" bestFit="1" customWidth="1"/>
    <col min="267" max="267" width="7.28515625" bestFit="1" customWidth="1"/>
    <col min="268" max="268" width="7.42578125" bestFit="1" customWidth="1"/>
    <col min="269" max="269" width="8.140625" bestFit="1" customWidth="1"/>
    <col min="270" max="270" width="9.42578125" bestFit="1" customWidth="1"/>
    <col min="271" max="271" width="8.85546875" bestFit="1" customWidth="1"/>
    <col min="272" max="272" width="9.85546875" bestFit="1" customWidth="1"/>
    <col min="273" max="273" width="9.42578125" bestFit="1" customWidth="1"/>
    <col min="274" max="274" width="12.140625" bestFit="1" customWidth="1"/>
    <col min="275" max="275" width="8.28515625" bestFit="1" customWidth="1"/>
    <col min="276" max="276" width="10.140625" bestFit="1" customWidth="1"/>
    <col min="277" max="277" width="15.28515625" bestFit="1" customWidth="1"/>
    <col min="278" max="278" width="14.7109375" bestFit="1" customWidth="1"/>
    <col min="279" max="279" width="16" bestFit="1" customWidth="1"/>
    <col min="280" max="280" width="12.7109375" bestFit="1" customWidth="1"/>
    <col min="281" max="281" width="8.5703125" bestFit="1" customWidth="1"/>
    <col min="282" max="282" width="9.7109375" bestFit="1" customWidth="1"/>
    <col min="283" max="283" width="7.85546875" bestFit="1" customWidth="1"/>
    <col min="284" max="284" width="6.140625" bestFit="1" customWidth="1"/>
    <col min="285" max="285" width="12" bestFit="1" customWidth="1"/>
    <col min="286" max="286" width="6.85546875" bestFit="1" customWidth="1"/>
    <col min="287" max="287" width="7.5703125" bestFit="1" customWidth="1"/>
    <col min="288" max="288" width="8.85546875" bestFit="1" customWidth="1"/>
    <col min="289" max="289" width="9" bestFit="1" customWidth="1"/>
    <col min="290" max="290" width="5.5703125" bestFit="1" customWidth="1"/>
    <col min="291" max="291" width="7.140625" bestFit="1" customWidth="1"/>
    <col min="292" max="292" width="9.85546875" bestFit="1" customWidth="1"/>
    <col min="293" max="293" width="8.7109375" bestFit="1" customWidth="1"/>
    <col min="294" max="294" width="9.85546875" bestFit="1" customWidth="1"/>
    <col min="295" max="295" width="8.85546875" bestFit="1" customWidth="1"/>
    <col min="296" max="296" width="11.28515625" bestFit="1" customWidth="1"/>
    <col min="297" max="297" width="11.42578125" bestFit="1" customWidth="1"/>
    <col min="298" max="298" width="8.28515625" bestFit="1" customWidth="1"/>
    <col min="299" max="299" width="15" bestFit="1" customWidth="1"/>
    <col min="300" max="300" width="11" bestFit="1" customWidth="1"/>
    <col min="301" max="301" width="10.42578125" bestFit="1" customWidth="1"/>
    <col min="302" max="302" width="9.7109375" bestFit="1" customWidth="1"/>
    <col min="303" max="303" width="7.140625" bestFit="1" customWidth="1"/>
    <col min="304" max="304" width="6.7109375" bestFit="1" customWidth="1"/>
    <col min="305" max="305" width="12.5703125" bestFit="1" customWidth="1"/>
    <col min="306" max="306" width="10.85546875" bestFit="1" customWidth="1"/>
    <col min="307" max="307" width="11.7109375" bestFit="1" customWidth="1"/>
    <col min="308" max="308" width="14.5703125" bestFit="1" customWidth="1"/>
    <col min="309" max="309" width="9.7109375" bestFit="1" customWidth="1"/>
    <col min="310" max="310" width="12.7109375" bestFit="1" customWidth="1"/>
    <col min="311" max="311" width="8.42578125" bestFit="1" customWidth="1"/>
    <col min="312" max="312" width="10.140625" bestFit="1" customWidth="1"/>
    <col min="313" max="313" width="10" bestFit="1" customWidth="1"/>
    <col min="314" max="314" width="9.7109375" bestFit="1" customWidth="1"/>
    <col min="315" max="315" width="9.42578125" bestFit="1" customWidth="1"/>
    <col min="316" max="316" width="12.140625" bestFit="1" customWidth="1"/>
    <col min="317" max="317" width="8.7109375" bestFit="1" customWidth="1"/>
    <col min="318" max="318" width="7.140625" bestFit="1" customWidth="1"/>
    <col min="319" max="319" width="7.28515625" bestFit="1" customWidth="1"/>
    <col min="320" max="320" width="9.42578125" bestFit="1" customWidth="1"/>
    <col min="321" max="321" width="8" bestFit="1" customWidth="1"/>
    <col min="322" max="322" width="16.7109375" bestFit="1" customWidth="1"/>
    <col min="323" max="323" width="9.140625" bestFit="1" customWidth="1"/>
    <col min="324" max="324" width="10.85546875" bestFit="1" customWidth="1"/>
    <col min="325" max="325" width="12" bestFit="1" customWidth="1"/>
    <col min="326" max="326" width="6.7109375" bestFit="1" customWidth="1"/>
    <col min="327" max="327" width="11.7109375" bestFit="1" customWidth="1"/>
    <col min="328" max="328" width="10.7109375" bestFit="1" customWidth="1"/>
    <col min="329" max="329" width="9.140625" bestFit="1" customWidth="1"/>
    <col min="330" max="330" width="12.42578125" bestFit="1" customWidth="1"/>
    <col min="331" max="331" width="7.85546875" bestFit="1" customWidth="1"/>
    <col min="332" max="332" width="8.7109375" bestFit="1" customWidth="1"/>
    <col min="333" max="333" width="9.85546875" bestFit="1" customWidth="1"/>
    <col min="334" max="334" width="10.140625" bestFit="1" customWidth="1"/>
    <col min="335" max="335" width="6.85546875" bestFit="1" customWidth="1"/>
    <col min="336" max="337" width="8.7109375" bestFit="1" customWidth="1"/>
    <col min="338" max="338" width="7.7109375" bestFit="1" customWidth="1"/>
    <col min="339" max="339" width="8" bestFit="1" customWidth="1"/>
    <col min="340" max="340" width="6.85546875" bestFit="1" customWidth="1"/>
    <col min="341" max="341" width="7.28515625" bestFit="1" customWidth="1"/>
    <col min="342" max="342" width="7.140625" bestFit="1" customWidth="1"/>
    <col min="343" max="343" width="7.42578125" bestFit="1" customWidth="1"/>
    <col min="344" max="344" width="6.5703125" bestFit="1" customWidth="1"/>
    <col min="345" max="345" width="8" bestFit="1" customWidth="1"/>
    <col min="346" max="346" width="11.140625" bestFit="1" customWidth="1"/>
    <col min="347" max="347" width="7.140625" bestFit="1" customWidth="1"/>
    <col min="348" max="348" width="10" bestFit="1" customWidth="1"/>
    <col min="349" max="349" width="9.7109375" bestFit="1" customWidth="1"/>
    <col min="350" max="350" width="5.5703125" bestFit="1" customWidth="1"/>
    <col min="351" max="351" width="10.5703125" bestFit="1" customWidth="1"/>
    <col min="352" max="352" width="8.28515625" bestFit="1" customWidth="1"/>
    <col min="353" max="353" width="5.42578125" bestFit="1" customWidth="1"/>
    <col min="354" max="354" width="6.5703125" bestFit="1" customWidth="1"/>
    <col min="355" max="355" width="12.42578125" bestFit="1" customWidth="1"/>
    <col min="356" max="356" width="10.42578125" bestFit="1" customWidth="1"/>
    <col min="357" max="357" width="7.28515625" bestFit="1" customWidth="1"/>
    <col min="358" max="358" width="7.85546875" bestFit="1" customWidth="1"/>
    <col min="359" max="359" width="6" bestFit="1" customWidth="1"/>
    <col min="360" max="360" width="7.7109375" bestFit="1" customWidth="1"/>
    <col min="361" max="361" width="11.7109375" bestFit="1" customWidth="1"/>
    <col min="362" max="362" width="14" bestFit="1" customWidth="1"/>
    <col min="363" max="363" width="13.7109375" bestFit="1" customWidth="1"/>
    <col min="364" max="364" width="16.42578125" bestFit="1" customWidth="1"/>
    <col min="365" max="365" width="10.42578125" bestFit="1" customWidth="1"/>
    <col min="366" max="366" width="8.5703125" bestFit="1" customWidth="1"/>
    <col min="367" max="367" width="9.28515625" bestFit="1" customWidth="1"/>
    <col min="368" max="368" width="7.85546875" bestFit="1" customWidth="1"/>
    <col min="369" max="369" width="12.28515625" bestFit="1" customWidth="1"/>
    <col min="370" max="370" width="11.5703125" bestFit="1" customWidth="1"/>
    <col min="371" max="371" width="13.42578125" bestFit="1" customWidth="1"/>
    <col min="372" max="372" width="6.5703125" bestFit="1" customWidth="1"/>
    <col min="373" max="373" width="9" bestFit="1" customWidth="1"/>
    <col min="374" max="374" width="8.140625" bestFit="1" customWidth="1"/>
    <col min="375" max="375" width="14.42578125" bestFit="1" customWidth="1"/>
    <col min="376" max="376" width="10.85546875" bestFit="1" customWidth="1"/>
    <col min="377" max="377" width="11.28515625" bestFit="1" customWidth="1"/>
    <col min="378" max="389" width="11.5703125" bestFit="1" customWidth="1"/>
    <col min="390" max="408" width="12" bestFit="1" customWidth="1"/>
    <col min="409" max="430" width="12.28515625" bestFit="1" customWidth="1"/>
    <col min="431" max="443" width="11.85546875" bestFit="1" customWidth="1"/>
    <col min="444" max="460" width="12.5703125" bestFit="1" customWidth="1"/>
    <col min="461" max="474" width="11.7109375" bestFit="1" customWidth="1"/>
    <col min="475" max="488" width="11.140625" bestFit="1" customWidth="1"/>
    <col min="489" max="505" width="12.140625" bestFit="1" customWidth="1"/>
    <col min="506" max="522" width="12" bestFit="1" customWidth="1"/>
    <col min="523" max="538" width="11.7109375" bestFit="1" customWidth="1"/>
    <col min="539" max="558" width="12.28515625" bestFit="1" customWidth="1"/>
    <col min="559" max="574" width="12" bestFit="1" customWidth="1"/>
    <col min="575" max="591" width="11.5703125" bestFit="1" customWidth="1"/>
    <col min="592" max="602" width="12" bestFit="1" customWidth="1"/>
    <col min="603" max="619" width="12.28515625" bestFit="1" customWidth="1"/>
    <col min="620" max="633" width="11.85546875" bestFit="1" customWidth="1"/>
    <col min="634" max="651" width="12.5703125" bestFit="1" customWidth="1"/>
    <col min="652" max="667" width="11.7109375" bestFit="1" customWidth="1"/>
    <col min="668" max="683" width="11.140625" bestFit="1" customWidth="1"/>
    <col min="684" max="690" width="12.140625" bestFit="1" customWidth="1"/>
    <col min="691" max="691" width="11.28515625" bestFit="1" customWidth="1"/>
  </cols>
  <sheetData>
    <row r="2" spans="1:6" ht="18.75" x14ac:dyDescent="0.3">
      <c r="A2" s="36" t="s">
        <v>6207</v>
      </c>
    </row>
    <row r="3" spans="1:6" ht="18.75" x14ac:dyDescent="0.3">
      <c r="A3" s="36"/>
    </row>
    <row r="5" spans="1:6" x14ac:dyDescent="0.25">
      <c r="A5" s="35" t="s">
        <v>6209</v>
      </c>
      <c r="B5" s="35" t="s">
        <v>6195</v>
      </c>
    </row>
    <row r="6" spans="1:6" x14ac:dyDescent="0.25">
      <c r="A6" s="35" t="s">
        <v>6199</v>
      </c>
      <c r="B6" t="s">
        <v>6218</v>
      </c>
      <c r="C6" t="s">
        <v>6219</v>
      </c>
      <c r="D6" t="s">
        <v>6220</v>
      </c>
      <c r="E6" t="s">
        <v>6206</v>
      </c>
      <c r="F6" t="s">
        <v>6205</v>
      </c>
    </row>
    <row r="7" spans="1:6" x14ac:dyDescent="0.25">
      <c r="A7" s="30" t="s">
        <v>6189</v>
      </c>
      <c r="B7" s="34">
        <v>2926.63</v>
      </c>
      <c r="C7" s="34">
        <v>3356.415</v>
      </c>
      <c r="D7" s="34">
        <v>4045.6299999999992</v>
      </c>
      <c r="E7" s="34">
        <v>1439.82</v>
      </c>
      <c r="F7" s="34">
        <v>11768.494999999999</v>
      </c>
    </row>
    <row r="8" spans="1:6" x14ac:dyDescent="0.25">
      <c r="A8" s="30" t="s">
        <v>6192</v>
      </c>
      <c r="B8" s="34">
        <v>3481.46</v>
      </c>
      <c r="C8" s="34">
        <v>3663.4100000000008</v>
      </c>
      <c r="D8" s="34">
        <v>3469.6399999999994</v>
      </c>
      <c r="E8" s="34">
        <v>1691.9299999999996</v>
      </c>
      <c r="F8" s="34">
        <v>12306.44</v>
      </c>
    </row>
    <row r="9" spans="1:6" x14ac:dyDescent="0.25">
      <c r="A9" s="30" t="s">
        <v>6191</v>
      </c>
      <c r="B9" s="34">
        <v>3378.0049999999987</v>
      </c>
      <c r="C9" s="34">
        <v>2604.4550000000004</v>
      </c>
      <c r="D9" s="34">
        <v>3836.6950000000011</v>
      </c>
      <c r="E9" s="34">
        <v>2234.92</v>
      </c>
      <c r="F9" s="34">
        <v>12054.075000000001</v>
      </c>
    </row>
    <row r="10" spans="1:6" x14ac:dyDescent="0.25">
      <c r="A10" s="30" t="s">
        <v>6190</v>
      </c>
      <c r="B10" s="34">
        <v>2401.0700000000006</v>
      </c>
      <c r="C10" s="34">
        <v>2493.2649999999994</v>
      </c>
      <c r="D10" s="34">
        <v>2414.1449999999995</v>
      </c>
      <c r="E10" s="34">
        <v>1696.7650000000001</v>
      </c>
      <c r="F10" s="34">
        <v>9005.244999999999</v>
      </c>
    </row>
    <row r="11" spans="1:6" x14ac:dyDescent="0.25">
      <c r="A11" s="30" t="s">
        <v>6205</v>
      </c>
      <c r="B11" s="34">
        <v>12187.165000000001</v>
      </c>
      <c r="C11" s="34">
        <v>12117.545</v>
      </c>
      <c r="D11" s="34">
        <v>13766.11</v>
      </c>
      <c r="E11" s="34">
        <v>7063.4350000000004</v>
      </c>
      <c r="F11" s="34">
        <v>45134.25499999999</v>
      </c>
    </row>
    <row r="22" spans="1:2" ht="18.75" x14ac:dyDescent="0.3">
      <c r="A22" s="36" t="s">
        <v>6208</v>
      </c>
    </row>
    <row r="24" spans="1:2" x14ac:dyDescent="0.25">
      <c r="A24" s="35" t="s">
        <v>1925</v>
      </c>
      <c r="B24" t="s">
        <v>6209</v>
      </c>
    </row>
    <row r="25" spans="1:2" x14ac:dyDescent="0.25">
      <c r="A25" s="30" t="s">
        <v>1949</v>
      </c>
      <c r="B25" s="34">
        <v>6696.8649999999989</v>
      </c>
    </row>
    <row r="26" spans="1:2" x14ac:dyDescent="0.25">
      <c r="A26" s="30" t="s">
        <v>2116</v>
      </c>
      <c r="B26" s="34">
        <v>2798.5050000000001</v>
      </c>
    </row>
    <row r="27" spans="1:2" x14ac:dyDescent="0.25">
      <c r="A27" s="30" t="s">
        <v>1941</v>
      </c>
      <c r="B27" s="34">
        <v>35638.88499999998</v>
      </c>
    </row>
    <row r="28" spans="1:2" x14ac:dyDescent="0.25">
      <c r="A28" s="30" t="s">
        <v>6205</v>
      </c>
      <c r="B28" s="34">
        <v>45134.254999999976</v>
      </c>
    </row>
    <row r="37" spans="1:2" ht="18.75" x14ac:dyDescent="0.3">
      <c r="A37" s="36" t="s">
        <v>6210</v>
      </c>
    </row>
    <row r="39" spans="1:2" x14ac:dyDescent="0.25">
      <c r="A39" s="35" t="s">
        <v>6211</v>
      </c>
      <c r="B39" t="s">
        <v>6209</v>
      </c>
    </row>
    <row r="40" spans="1:2" x14ac:dyDescent="0.25">
      <c r="A40" s="30" t="s">
        <v>2172</v>
      </c>
      <c r="B40" s="34">
        <v>509.11</v>
      </c>
    </row>
    <row r="41" spans="1:2" x14ac:dyDescent="0.25">
      <c r="A41" s="30" t="s">
        <v>2325</v>
      </c>
      <c r="B41" s="34">
        <v>505.92499999999995</v>
      </c>
    </row>
    <row r="42" spans="1:2" x14ac:dyDescent="0.25">
      <c r="A42" s="30" t="s">
        <v>2027</v>
      </c>
      <c r="B42" s="34">
        <v>819.77</v>
      </c>
    </row>
    <row r="43" spans="1:2" x14ac:dyDescent="0.25">
      <c r="A43" s="30" t="s">
        <v>2037</v>
      </c>
      <c r="B43" s="34">
        <v>772.7349999999999</v>
      </c>
    </row>
    <row r="44" spans="1:2" x14ac:dyDescent="0.25">
      <c r="A44" s="30" t="s">
        <v>2362</v>
      </c>
      <c r="B44" s="34">
        <v>475.1699999999999</v>
      </c>
    </row>
    <row r="45" spans="1:2" x14ac:dyDescent="0.25">
      <c r="A45" s="30" t="s">
        <v>2017</v>
      </c>
      <c r="B45" s="34">
        <v>511.23499999999996</v>
      </c>
    </row>
    <row r="46" spans="1:2" x14ac:dyDescent="0.25">
      <c r="A46" s="30" t="s">
        <v>2022</v>
      </c>
      <c r="B46" s="34">
        <v>580.26</v>
      </c>
    </row>
    <row r="47" spans="1:2" x14ac:dyDescent="0.25">
      <c r="A47" s="30" t="s">
        <v>2999</v>
      </c>
      <c r="B47" s="34">
        <v>627.74999999999989</v>
      </c>
    </row>
    <row r="48" spans="1:2" x14ac:dyDescent="0.25">
      <c r="A48" s="30" t="s">
        <v>2211</v>
      </c>
      <c r="B48" s="34">
        <v>774.18499999999995</v>
      </c>
    </row>
    <row r="49" spans="1:2" x14ac:dyDescent="0.25">
      <c r="A49" s="30" t="s">
        <v>2186</v>
      </c>
      <c r="B49" s="34">
        <v>1066.92</v>
      </c>
    </row>
    <row r="50" spans="1:2" x14ac:dyDescent="0.25">
      <c r="A50" s="30" t="s">
        <v>6205</v>
      </c>
      <c r="B50" s="34">
        <v>6643.0599999999995</v>
      </c>
    </row>
    <row r="55" spans="1:2" ht="18.75" x14ac:dyDescent="0.3">
      <c r="A55" s="36" t="s">
        <v>6212</v>
      </c>
    </row>
    <row r="57" spans="1:2" x14ac:dyDescent="0.25">
      <c r="A57" s="35" t="s">
        <v>6213</v>
      </c>
      <c r="B57" t="s">
        <v>6209</v>
      </c>
    </row>
    <row r="58" spans="1:2" x14ac:dyDescent="0.25">
      <c r="A58" s="30" t="s">
        <v>6194</v>
      </c>
      <c r="B58" s="34">
        <v>13179.315000000013</v>
      </c>
    </row>
    <row r="59" spans="1:2" x14ac:dyDescent="0.25">
      <c r="A59" s="30" t="s">
        <v>6193</v>
      </c>
      <c r="B59" s="34">
        <v>17354.464999999993</v>
      </c>
    </row>
    <row r="60" spans="1:2" x14ac:dyDescent="0.25">
      <c r="A60" s="30" t="s">
        <v>6201</v>
      </c>
      <c r="B60" s="34">
        <v>14600.474999999995</v>
      </c>
    </row>
    <row r="61" spans="1:2" x14ac:dyDescent="0.25">
      <c r="A61" s="30" t="s">
        <v>6205</v>
      </c>
      <c r="B61" s="34">
        <v>45134.255000000005</v>
      </c>
    </row>
    <row r="70" spans="1:2" ht="18.75" x14ac:dyDescent="0.3">
      <c r="A70" s="36" t="s">
        <v>6214</v>
      </c>
    </row>
    <row r="72" spans="1:2" x14ac:dyDescent="0.25">
      <c r="A72" s="35" t="s">
        <v>1925</v>
      </c>
      <c r="B72" t="s">
        <v>6216</v>
      </c>
    </row>
    <row r="73" spans="1:2" x14ac:dyDescent="0.25">
      <c r="A73" s="30" t="s">
        <v>1949</v>
      </c>
      <c r="B73" s="34">
        <v>153</v>
      </c>
    </row>
    <row r="74" spans="1:2" x14ac:dyDescent="0.25">
      <c r="A74" s="30" t="s">
        <v>2116</v>
      </c>
      <c r="B74" s="34">
        <v>73</v>
      </c>
    </row>
    <row r="75" spans="1:2" x14ac:dyDescent="0.25">
      <c r="A75" s="30" t="s">
        <v>1941</v>
      </c>
      <c r="B75" s="34">
        <v>774</v>
      </c>
    </row>
    <row r="76" spans="1:2" x14ac:dyDescent="0.25">
      <c r="A76" s="30" t="s">
        <v>6205</v>
      </c>
      <c r="B76" s="34">
        <v>1000</v>
      </c>
    </row>
    <row r="85" spans="1:2" ht="18.75" x14ac:dyDescent="0.3">
      <c r="A85" s="36" t="s">
        <v>6215</v>
      </c>
    </row>
    <row r="87" spans="1:2" x14ac:dyDescent="0.25">
      <c r="A87" s="35" t="s">
        <v>1933</v>
      </c>
      <c r="B87" t="s">
        <v>6222</v>
      </c>
    </row>
    <row r="88" spans="1:2" x14ac:dyDescent="0.25">
      <c r="A88" s="30" t="s">
        <v>2345</v>
      </c>
      <c r="B88" s="34">
        <v>2</v>
      </c>
    </row>
    <row r="89" spans="1:2" x14ac:dyDescent="0.25">
      <c r="A89" s="30" t="s">
        <v>3383</v>
      </c>
      <c r="B89" s="34">
        <v>2</v>
      </c>
    </row>
    <row r="90" spans="1:2" x14ac:dyDescent="0.25">
      <c r="A90" s="30" t="s">
        <v>2881</v>
      </c>
      <c r="B90" s="34">
        <v>5</v>
      </c>
    </row>
    <row r="91" spans="1:2" x14ac:dyDescent="0.25">
      <c r="A91" s="30" t="s">
        <v>5481</v>
      </c>
      <c r="B91" s="34">
        <v>1</v>
      </c>
    </row>
    <row r="92" spans="1:2" x14ac:dyDescent="0.25">
      <c r="A92" s="30" t="s">
        <v>2699</v>
      </c>
      <c r="B92" s="34">
        <v>5</v>
      </c>
    </row>
    <row r="93" spans="1:2" x14ac:dyDescent="0.25">
      <c r="A93" s="30" t="s">
        <v>3790</v>
      </c>
      <c r="B93" s="34">
        <v>1</v>
      </c>
    </row>
    <row r="94" spans="1:2" x14ac:dyDescent="0.25">
      <c r="A94" s="30" t="s">
        <v>4886</v>
      </c>
      <c r="B94" s="34">
        <v>3</v>
      </c>
    </row>
    <row r="95" spans="1:2" x14ac:dyDescent="0.25">
      <c r="A95" s="30" t="s">
        <v>4412</v>
      </c>
      <c r="B95" s="34">
        <v>3</v>
      </c>
    </row>
    <row r="96" spans="1:2" x14ac:dyDescent="0.25">
      <c r="A96" s="30" t="s">
        <v>3589</v>
      </c>
      <c r="B96" s="34">
        <v>2</v>
      </c>
    </row>
    <row r="97" spans="1:2" x14ac:dyDescent="0.25">
      <c r="A97" s="30" t="s">
        <v>2501</v>
      </c>
      <c r="B97" s="34">
        <v>4</v>
      </c>
    </row>
    <row r="98" spans="1:2" x14ac:dyDescent="0.25">
      <c r="A98" s="30" t="s">
        <v>5337</v>
      </c>
      <c r="B98" s="34">
        <v>1</v>
      </c>
    </row>
    <row r="99" spans="1:2" x14ac:dyDescent="0.25">
      <c r="A99" s="30" t="s">
        <v>2668</v>
      </c>
      <c r="B99" s="34">
        <v>2</v>
      </c>
    </row>
    <row r="100" spans="1:2" x14ac:dyDescent="0.25">
      <c r="A100" s="30" t="s">
        <v>3989</v>
      </c>
      <c r="B100" s="34">
        <v>1</v>
      </c>
    </row>
    <row r="101" spans="1:2" x14ac:dyDescent="0.25">
      <c r="A101" s="30" t="s">
        <v>3687</v>
      </c>
      <c r="B101" s="34">
        <v>3</v>
      </c>
    </row>
    <row r="102" spans="1:2" x14ac:dyDescent="0.25">
      <c r="A102" s="30" t="s">
        <v>2673</v>
      </c>
      <c r="B102" s="34">
        <v>1</v>
      </c>
    </row>
    <row r="103" spans="1:2" x14ac:dyDescent="0.25">
      <c r="A103" s="30" t="s">
        <v>4462</v>
      </c>
      <c r="B103" s="34">
        <v>1</v>
      </c>
    </row>
    <row r="104" spans="1:2" x14ac:dyDescent="0.25">
      <c r="A104" s="30" t="s">
        <v>3049</v>
      </c>
      <c r="B104" s="34">
        <v>4</v>
      </c>
    </row>
    <row r="105" spans="1:2" x14ac:dyDescent="0.25">
      <c r="A105" s="30" t="s">
        <v>2093</v>
      </c>
      <c r="B105" s="34">
        <v>5</v>
      </c>
    </row>
    <row r="106" spans="1:2" x14ac:dyDescent="0.25">
      <c r="A106" s="30" t="s">
        <v>2387</v>
      </c>
      <c r="B106" s="34">
        <v>6</v>
      </c>
    </row>
    <row r="107" spans="1:2" x14ac:dyDescent="0.25">
      <c r="A107" s="30" t="s">
        <v>3967</v>
      </c>
      <c r="B107" s="34">
        <v>2</v>
      </c>
    </row>
    <row r="108" spans="1:2" x14ac:dyDescent="0.25">
      <c r="A108" s="30" t="s">
        <v>2105</v>
      </c>
      <c r="B108" s="34">
        <v>1</v>
      </c>
    </row>
    <row r="109" spans="1:2" x14ac:dyDescent="0.25">
      <c r="A109" s="30" t="s">
        <v>5007</v>
      </c>
      <c r="B109" s="34">
        <v>1</v>
      </c>
    </row>
    <row r="110" spans="1:2" x14ac:dyDescent="0.25">
      <c r="A110" s="30" t="s">
        <v>2933</v>
      </c>
      <c r="B110" s="34">
        <v>3</v>
      </c>
    </row>
    <row r="111" spans="1:2" x14ac:dyDescent="0.25">
      <c r="A111" s="30" t="s">
        <v>5173</v>
      </c>
      <c r="B111" s="34">
        <v>1</v>
      </c>
    </row>
    <row r="112" spans="1:2" x14ac:dyDescent="0.25">
      <c r="A112" s="30" t="s">
        <v>3026</v>
      </c>
      <c r="B112" s="34">
        <v>1</v>
      </c>
    </row>
    <row r="113" spans="1:2" x14ac:dyDescent="0.25">
      <c r="A113" s="30" t="s">
        <v>4791</v>
      </c>
      <c r="B113" s="34">
        <v>1</v>
      </c>
    </row>
    <row r="114" spans="1:2" x14ac:dyDescent="0.25">
      <c r="A114" s="30" t="s">
        <v>4728</v>
      </c>
      <c r="B114" s="34">
        <v>1</v>
      </c>
    </row>
    <row r="115" spans="1:2" x14ac:dyDescent="0.25">
      <c r="A115" s="30" t="s">
        <v>2600</v>
      </c>
      <c r="B115" s="34">
        <v>5</v>
      </c>
    </row>
    <row r="116" spans="1:2" x14ac:dyDescent="0.25">
      <c r="A116" s="30" t="s">
        <v>3962</v>
      </c>
      <c r="B116" s="34">
        <v>1</v>
      </c>
    </row>
    <row r="117" spans="1:2" x14ac:dyDescent="0.25">
      <c r="A117" s="30" t="s">
        <v>4672</v>
      </c>
      <c r="B117" s="34">
        <v>1</v>
      </c>
    </row>
    <row r="118" spans="1:2" x14ac:dyDescent="0.25">
      <c r="A118" s="30" t="s">
        <v>3945</v>
      </c>
      <c r="B118" s="34">
        <v>1</v>
      </c>
    </row>
    <row r="119" spans="1:2" x14ac:dyDescent="0.25">
      <c r="A119" s="30" t="s">
        <v>4198</v>
      </c>
      <c r="B119" s="34">
        <v>1</v>
      </c>
    </row>
    <row r="120" spans="1:2" x14ac:dyDescent="0.25">
      <c r="A120" s="30" t="s">
        <v>5792</v>
      </c>
      <c r="B120" s="34">
        <v>1</v>
      </c>
    </row>
    <row r="121" spans="1:2" x14ac:dyDescent="0.25">
      <c r="A121" s="30" t="s">
        <v>3763</v>
      </c>
      <c r="B121" s="34">
        <v>2</v>
      </c>
    </row>
    <row r="122" spans="1:2" x14ac:dyDescent="0.25">
      <c r="A122" s="30" t="s">
        <v>3316</v>
      </c>
      <c r="B122" s="34">
        <v>6</v>
      </c>
    </row>
    <row r="123" spans="1:2" x14ac:dyDescent="0.25">
      <c r="A123" s="30" t="s">
        <v>4392</v>
      </c>
      <c r="B123" s="34">
        <v>1</v>
      </c>
    </row>
    <row r="124" spans="1:2" x14ac:dyDescent="0.25">
      <c r="A124" s="30" t="s">
        <v>3070</v>
      </c>
      <c r="B124" s="34">
        <v>2</v>
      </c>
    </row>
    <row r="125" spans="1:2" x14ac:dyDescent="0.25">
      <c r="A125" s="30" t="s">
        <v>5784</v>
      </c>
      <c r="B125" s="34">
        <v>1</v>
      </c>
    </row>
    <row r="126" spans="1:2" x14ac:dyDescent="0.25">
      <c r="A126" s="30" t="s">
        <v>4973</v>
      </c>
      <c r="B126" s="34">
        <v>1</v>
      </c>
    </row>
    <row r="127" spans="1:2" x14ac:dyDescent="0.25">
      <c r="A127" s="30" t="s">
        <v>2366</v>
      </c>
      <c r="B127" s="34">
        <v>8</v>
      </c>
    </row>
    <row r="128" spans="1:2" x14ac:dyDescent="0.25">
      <c r="A128" s="30" t="s">
        <v>3365</v>
      </c>
      <c r="B128" s="34">
        <v>6</v>
      </c>
    </row>
    <row r="129" spans="1:2" x14ac:dyDescent="0.25">
      <c r="A129" s="30" t="s">
        <v>3907</v>
      </c>
      <c r="B129" s="34">
        <v>1</v>
      </c>
    </row>
    <row r="130" spans="1:2" x14ac:dyDescent="0.25">
      <c r="A130" s="30" t="s">
        <v>5215</v>
      </c>
      <c r="B130" s="34">
        <v>2</v>
      </c>
    </row>
    <row r="131" spans="1:2" x14ac:dyDescent="0.25">
      <c r="A131" s="30" t="s">
        <v>2172</v>
      </c>
      <c r="B131" s="34">
        <v>13</v>
      </c>
    </row>
    <row r="132" spans="1:2" x14ac:dyDescent="0.25">
      <c r="A132" s="30" t="s">
        <v>2638</v>
      </c>
      <c r="B132" s="34">
        <v>1</v>
      </c>
    </row>
    <row r="133" spans="1:2" x14ac:dyDescent="0.25">
      <c r="A133" s="30" t="s">
        <v>3529</v>
      </c>
      <c r="B133" s="34">
        <v>1</v>
      </c>
    </row>
    <row r="134" spans="1:2" x14ac:dyDescent="0.25">
      <c r="A134" s="30" t="s">
        <v>6058</v>
      </c>
      <c r="B134" s="34">
        <v>1</v>
      </c>
    </row>
    <row r="135" spans="1:2" x14ac:dyDescent="0.25">
      <c r="A135" s="30" t="s">
        <v>2158</v>
      </c>
      <c r="B135" s="34">
        <v>5</v>
      </c>
    </row>
    <row r="136" spans="1:2" x14ac:dyDescent="0.25">
      <c r="A136" s="30" t="s">
        <v>3233</v>
      </c>
      <c r="B136" s="34">
        <v>1</v>
      </c>
    </row>
    <row r="137" spans="1:2" x14ac:dyDescent="0.25">
      <c r="A137" s="30" t="s">
        <v>4335</v>
      </c>
      <c r="B137" s="34">
        <v>1</v>
      </c>
    </row>
    <row r="138" spans="1:2" x14ac:dyDescent="0.25">
      <c r="A138" s="30" t="s">
        <v>3442</v>
      </c>
      <c r="B138" s="34">
        <v>1</v>
      </c>
    </row>
    <row r="139" spans="1:2" x14ac:dyDescent="0.25">
      <c r="A139" s="30" t="s">
        <v>4882</v>
      </c>
      <c r="B139" s="34">
        <v>1</v>
      </c>
    </row>
    <row r="140" spans="1:2" x14ac:dyDescent="0.25">
      <c r="A140" s="30" t="s">
        <v>3995</v>
      </c>
      <c r="B140" s="34">
        <v>1</v>
      </c>
    </row>
    <row r="141" spans="1:2" x14ac:dyDescent="0.25">
      <c r="A141" s="30" t="s">
        <v>2168</v>
      </c>
      <c r="B141" s="34">
        <v>1</v>
      </c>
    </row>
    <row r="142" spans="1:2" x14ac:dyDescent="0.25">
      <c r="A142" s="30" t="s">
        <v>2776</v>
      </c>
      <c r="B142" s="34">
        <v>5</v>
      </c>
    </row>
    <row r="143" spans="1:2" x14ac:dyDescent="0.25">
      <c r="A143" s="30" t="s">
        <v>2350</v>
      </c>
      <c r="B143" s="34">
        <v>4</v>
      </c>
    </row>
    <row r="144" spans="1:2" x14ac:dyDescent="0.25">
      <c r="A144" s="30" t="s">
        <v>6127</v>
      </c>
      <c r="B144" s="34">
        <v>1</v>
      </c>
    </row>
    <row r="145" spans="1:2" x14ac:dyDescent="0.25">
      <c r="A145" s="30" t="s">
        <v>2271</v>
      </c>
      <c r="B145" s="34">
        <v>1</v>
      </c>
    </row>
    <row r="146" spans="1:2" x14ac:dyDescent="0.25">
      <c r="A146" s="30" t="s">
        <v>2031</v>
      </c>
      <c r="B146" s="34">
        <v>2</v>
      </c>
    </row>
    <row r="147" spans="1:2" x14ac:dyDescent="0.25">
      <c r="A147" s="30" t="s">
        <v>4272</v>
      </c>
      <c r="B147" s="34">
        <v>1</v>
      </c>
    </row>
    <row r="148" spans="1:2" x14ac:dyDescent="0.25">
      <c r="A148" s="30" t="s">
        <v>3254</v>
      </c>
      <c r="B148" s="34">
        <v>1</v>
      </c>
    </row>
    <row r="149" spans="1:2" x14ac:dyDescent="0.25">
      <c r="A149" s="30" t="s">
        <v>4779</v>
      </c>
      <c r="B149" s="34">
        <v>1</v>
      </c>
    </row>
    <row r="150" spans="1:2" x14ac:dyDescent="0.25">
      <c r="A150" s="30" t="s">
        <v>2625</v>
      </c>
      <c r="B150" s="34">
        <v>3</v>
      </c>
    </row>
    <row r="151" spans="1:2" x14ac:dyDescent="0.25">
      <c r="A151" s="30" t="s">
        <v>2725</v>
      </c>
      <c r="B151" s="34">
        <v>1</v>
      </c>
    </row>
    <row r="152" spans="1:2" x14ac:dyDescent="0.25">
      <c r="A152" s="30" t="s">
        <v>3211</v>
      </c>
      <c r="B152" s="34">
        <v>1</v>
      </c>
    </row>
    <row r="153" spans="1:2" x14ac:dyDescent="0.25">
      <c r="A153" s="30" t="s">
        <v>2704</v>
      </c>
      <c r="B153" s="34">
        <v>3</v>
      </c>
    </row>
    <row r="154" spans="1:2" x14ac:dyDescent="0.25">
      <c r="A154" s="30" t="s">
        <v>3617</v>
      </c>
      <c r="B154" s="34">
        <v>1</v>
      </c>
    </row>
    <row r="155" spans="1:2" x14ac:dyDescent="0.25">
      <c r="A155" s="30" t="s">
        <v>5981</v>
      </c>
      <c r="B155" s="34">
        <v>1</v>
      </c>
    </row>
    <row r="156" spans="1:2" x14ac:dyDescent="0.25">
      <c r="A156" s="30" t="s">
        <v>4690</v>
      </c>
      <c r="B156" s="34">
        <v>4</v>
      </c>
    </row>
    <row r="157" spans="1:2" x14ac:dyDescent="0.25">
      <c r="A157" s="30" t="s">
        <v>5769</v>
      </c>
      <c r="B157" s="34">
        <v>1</v>
      </c>
    </row>
    <row r="158" spans="1:2" x14ac:dyDescent="0.25">
      <c r="A158" s="30" t="s">
        <v>4803</v>
      </c>
      <c r="B158" s="34">
        <v>1</v>
      </c>
    </row>
    <row r="159" spans="1:2" x14ac:dyDescent="0.25">
      <c r="A159" s="30" t="s">
        <v>3107</v>
      </c>
      <c r="B159" s="34">
        <v>1</v>
      </c>
    </row>
    <row r="160" spans="1:2" x14ac:dyDescent="0.25">
      <c r="A160" s="30" t="s">
        <v>2396</v>
      </c>
      <c r="B160" s="34">
        <v>1</v>
      </c>
    </row>
    <row r="161" spans="1:2" x14ac:dyDescent="0.25">
      <c r="A161" s="30" t="s">
        <v>2122</v>
      </c>
      <c r="B161" s="34">
        <v>8</v>
      </c>
    </row>
    <row r="162" spans="1:2" x14ac:dyDescent="0.25">
      <c r="A162" s="30" t="s">
        <v>2300</v>
      </c>
      <c r="B162" s="34">
        <v>8</v>
      </c>
    </row>
    <row r="163" spans="1:2" x14ac:dyDescent="0.25">
      <c r="A163" s="30" t="s">
        <v>2786</v>
      </c>
      <c r="B163" s="34">
        <v>3</v>
      </c>
    </row>
    <row r="164" spans="1:2" x14ac:dyDescent="0.25">
      <c r="A164" s="30" t="s">
        <v>3563</v>
      </c>
      <c r="B164" s="34">
        <v>2</v>
      </c>
    </row>
    <row r="165" spans="1:2" x14ac:dyDescent="0.25">
      <c r="A165" s="30" t="s">
        <v>2678</v>
      </c>
      <c r="B165" s="34">
        <v>2</v>
      </c>
    </row>
    <row r="166" spans="1:2" x14ac:dyDescent="0.25">
      <c r="A166" s="30" t="s">
        <v>2476</v>
      </c>
      <c r="B166" s="34">
        <v>2</v>
      </c>
    </row>
    <row r="167" spans="1:2" x14ac:dyDescent="0.25">
      <c r="A167" s="30" t="s">
        <v>3046</v>
      </c>
      <c r="B167" s="34">
        <v>1</v>
      </c>
    </row>
    <row r="168" spans="1:2" x14ac:dyDescent="0.25">
      <c r="A168" s="30" t="s">
        <v>2252</v>
      </c>
      <c r="B168" s="34">
        <v>2</v>
      </c>
    </row>
    <row r="169" spans="1:2" x14ac:dyDescent="0.25">
      <c r="A169" s="30" t="s">
        <v>3755</v>
      </c>
      <c r="B169" s="34">
        <v>2</v>
      </c>
    </row>
    <row r="170" spans="1:2" x14ac:dyDescent="0.25">
      <c r="A170" s="30" t="s">
        <v>3461</v>
      </c>
      <c r="B170" s="34">
        <v>1</v>
      </c>
    </row>
    <row r="171" spans="1:2" x14ac:dyDescent="0.25">
      <c r="A171" s="30" t="s">
        <v>1966</v>
      </c>
      <c r="B171" s="34">
        <v>2</v>
      </c>
    </row>
    <row r="172" spans="1:2" x14ac:dyDescent="0.25">
      <c r="A172" s="30" t="s">
        <v>3037</v>
      </c>
      <c r="B172" s="34">
        <v>5</v>
      </c>
    </row>
    <row r="173" spans="1:2" x14ac:dyDescent="0.25">
      <c r="A173" s="30" t="s">
        <v>2713</v>
      </c>
      <c r="B173" s="34">
        <v>4</v>
      </c>
    </row>
    <row r="174" spans="1:2" x14ac:dyDescent="0.25">
      <c r="A174" s="30" t="s">
        <v>4193</v>
      </c>
      <c r="B174" s="34">
        <v>2</v>
      </c>
    </row>
    <row r="175" spans="1:2" x14ac:dyDescent="0.25">
      <c r="A175" s="30" t="s">
        <v>5162</v>
      </c>
      <c r="B175" s="34">
        <v>2</v>
      </c>
    </row>
    <row r="176" spans="1:2" x14ac:dyDescent="0.25">
      <c r="A176" s="30" t="s">
        <v>2082</v>
      </c>
      <c r="B176" s="34">
        <v>2</v>
      </c>
    </row>
    <row r="177" spans="1:2" x14ac:dyDescent="0.25">
      <c r="A177" s="30" t="s">
        <v>4819</v>
      </c>
      <c r="B177" s="34">
        <v>1</v>
      </c>
    </row>
    <row r="178" spans="1:2" x14ac:dyDescent="0.25">
      <c r="A178" s="30" t="s">
        <v>2340</v>
      </c>
      <c r="B178" s="34">
        <v>5</v>
      </c>
    </row>
    <row r="179" spans="1:2" x14ac:dyDescent="0.25">
      <c r="A179" s="30" t="s">
        <v>3217</v>
      </c>
      <c r="B179" s="34">
        <v>3</v>
      </c>
    </row>
    <row r="180" spans="1:2" x14ac:dyDescent="0.25">
      <c r="A180" s="30" t="s">
        <v>2287</v>
      </c>
      <c r="B180" s="34">
        <v>6</v>
      </c>
    </row>
    <row r="181" spans="1:2" x14ac:dyDescent="0.25">
      <c r="A181" s="30" t="s">
        <v>2411</v>
      </c>
      <c r="B181" s="34">
        <v>3</v>
      </c>
    </row>
    <row r="182" spans="1:2" x14ac:dyDescent="0.25">
      <c r="A182" s="30" t="s">
        <v>6115</v>
      </c>
      <c r="B182" s="34">
        <v>1</v>
      </c>
    </row>
    <row r="183" spans="1:2" x14ac:dyDescent="0.25">
      <c r="A183" s="30" t="s">
        <v>4105</v>
      </c>
      <c r="B183" s="34">
        <v>2</v>
      </c>
    </row>
    <row r="184" spans="1:2" x14ac:dyDescent="0.25">
      <c r="A184" s="30" t="s">
        <v>2383</v>
      </c>
      <c r="B184" s="34">
        <v>3</v>
      </c>
    </row>
    <row r="185" spans="1:2" x14ac:dyDescent="0.25">
      <c r="A185" s="30" t="s">
        <v>3303</v>
      </c>
      <c r="B185" s="34">
        <v>1</v>
      </c>
    </row>
    <row r="186" spans="1:2" x14ac:dyDescent="0.25">
      <c r="A186" s="30" t="s">
        <v>2730</v>
      </c>
      <c r="B186" s="34">
        <v>1</v>
      </c>
    </row>
    <row r="187" spans="1:2" x14ac:dyDescent="0.25">
      <c r="A187" s="30" t="s">
        <v>6038</v>
      </c>
      <c r="B187" s="34">
        <v>1</v>
      </c>
    </row>
    <row r="188" spans="1:2" x14ac:dyDescent="0.25">
      <c r="A188" s="30" t="s">
        <v>1948</v>
      </c>
      <c r="B188" s="34">
        <v>2</v>
      </c>
    </row>
    <row r="189" spans="1:2" x14ac:dyDescent="0.25">
      <c r="A189" s="30" t="s">
        <v>4416</v>
      </c>
      <c r="B189" s="34">
        <v>3</v>
      </c>
    </row>
    <row r="190" spans="1:2" x14ac:dyDescent="0.25">
      <c r="A190" s="30" t="s">
        <v>2325</v>
      </c>
      <c r="B190" s="34">
        <v>11</v>
      </c>
    </row>
    <row r="191" spans="1:2" x14ac:dyDescent="0.25">
      <c r="A191" s="30" t="s">
        <v>3283</v>
      </c>
      <c r="B191" s="34">
        <v>3</v>
      </c>
    </row>
    <row r="192" spans="1:2" x14ac:dyDescent="0.25">
      <c r="A192" s="30" t="s">
        <v>1976</v>
      </c>
      <c r="B192" s="34">
        <v>6</v>
      </c>
    </row>
    <row r="193" spans="1:2" x14ac:dyDescent="0.25">
      <c r="A193" s="30" t="s">
        <v>6136</v>
      </c>
      <c r="B193" s="34">
        <v>1</v>
      </c>
    </row>
    <row r="194" spans="1:2" x14ac:dyDescent="0.25">
      <c r="A194" s="30" t="s">
        <v>4535</v>
      </c>
      <c r="B194" s="34">
        <v>1</v>
      </c>
    </row>
    <row r="195" spans="1:2" x14ac:dyDescent="0.25">
      <c r="A195" s="30" t="s">
        <v>3179</v>
      </c>
      <c r="B195" s="34">
        <v>3</v>
      </c>
    </row>
    <row r="196" spans="1:2" x14ac:dyDescent="0.25">
      <c r="A196" s="30" t="s">
        <v>2132</v>
      </c>
      <c r="B196" s="34">
        <v>4</v>
      </c>
    </row>
    <row r="197" spans="1:2" x14ac:dyDescent="0.25">
      <c r="A197" s="30" t="s">
        <v>2647</v>
      </c>
      <c r="B197" s="34">
        <v>4</v>
      </c>
    </row>
    <row r="198" spans="1:2" x14ac:dyDescent="0.25">
      <c r="A198" s="30" t="s">
        <v>2821</v>
      </c>
      <c r="B198" s="34">
        <v>3</v>
      </c>
    </row>
    <row r="199" spans="1:2" x14ac:dyDescent="0.25">
      <c r="A199" s="30" t="s">
        <v>2535</v>
      </c>
      <c r="B199" s="34">
        <v>2</v>
      </c>
    </row>
    <row r="200" spans="1:2" x14ac:dyDescent="0.25">
      <c r="A200" s="30" t="s">
        <v>3407</v>
      </c>
      <c r="B200" s="34">
        <v>1</v>
      </c>
    </row>
    <row r="201" spans="1:2" x14ac:dyDescent="0.25">
      <c r="A201" s="30" t="s">
        <v>2330</v>
      </c>
      <c r="B201" s="34">
        <v>1</v>
      </c>
    </row>
    <row r="202" spans="1:2" x14ac:dyDescent="0.25">
      <c r="A202" s="30" t="s">
        <v>3053</v>
      </c>
      <c r="B202" s="34">
        <v>1</v>
      </c>
    </row>
    <row r="203" spans="1:2" x14ac:dyDescent="0.25">
      <c r="A203" s="30" t="s">
        <v>5011</v>
      </c>
      <c r="B203" s="34">
        <v>2</v>
      </c>
    </row>
    <row r="204" spans="1:2" x14ac:dyDescent="0.25">
      <c r="A204" s="30" t="s">
        <v>3496</v>
      </c>
      <c r="B204" s="34">
        <v>1</v>
      </c>
    </row>
    <row r="205" spans="1:2" x14ac:dyDescent="0.25">
      <c r="A205" s="30" t="s">
        <v>4481</v>
      </c>
      <c r="B205" s="34">
        <v>4</v>
      </c>
    </row>
    <row r="206" spans="1:2" x14ac:dyDescent="0.25">
      <c r="A206" s="30" t="s">
        <v>3032</v>
      </c>
      <c r="B206" s="34">
        <v>1</v>
      </c>
    </row>
    <row r="207" spans="1:2" x14ac:dyDescent="0.25">
      <c r="A207" s="30" t="s">
        <v>2739</v>
      </c>
      <c r="B207" s="34">
        <v>1</v>
      </c>
    </row>
    <row r="208" spans="1:2" x14ac:dyDescent="0.25">
      <c r="A208" s="30" t="s">
        <v>2872</v>
      </c>
      <c r="B208" s="34">
        <v>1</v>
      </c>
    </row>
    <row r="209" spans="1:2" x14ac:dyDescent="0.25">
      <c r="A209" s="30" t="s">
        <v>3330</v>
      </c>
      <c r="B209" s="34">
        <v>2</v>
      </c>
    </row>
    <row r="210" spans="1:2" x14ac:dyDescent="0.25">
      <c r="A210" s="30" t="s">
        <v>2424</v>
      </c>
      <c r="B210" s="34">
        <v>1</v>
      </c>
    </row>
    <row r="211" spans="1:2" x14ac:dyDescent="0.25">
      <c r="A211" s="30" t="s">
        <v>2993</v>
      </c>
      <c r="B211" s="34">
        <v>1</v>
      </c>
    </row>
    <row r="212" spans="1:2" x14ac:dyDescent="0.25">
      <c r="A212" s="30" t="s">
        <v>2448</v>
      </c>
      <c r="B212" s="34">
        <v>11</v>
      </c>
    </row>
    <row r="213" spans="1:2" x14ac:dyDescent="0.25">
      <c r="A213" s="30" t="s">
        <v>2063</v>
      </c>
      <c r="B213" s="34">
        <v>2</v>
      </c>
    </row>
    <row r="214" spans="1:2" x14ac:dyDescent="0.25">
      <c r="A214" s="30" t="s">
        <v>3143</v>
      </c>
      <c r="B214" s="34">
        <v>4</v>
      </c>
    </row>
    <row r="215" spans="1:2" x14ac:dyDescent="0.25">
      <c r="A215" s="30" t="s">
        <v>2555</v>
      </c>
      <c r="B215" s="34">
        <v>3</v>
      </c>
    </row>
    <row r="216" spans="1:2" x14ac:dyDescent="0.25">
      <c r="A216" s="30" t="s">
        <v>5850</v>
      </c>
      <c r="B216" s="34">
        <v>1</v>
      </c>
    </row>
    <row r="217" spans="1:2" x14ac:dyDescent="0.25">
      <c r="A217" s="30" t="s">
        <v>2550</v>
      </c>
      <c r="B217" s="34">
        <v>5</v>
      </c>
    </row>
    <row r="218" spans="1:2" x14ac:dyDescent="0.25">
      <c r="A218" s="30" t="s">
        <v>4005</v>
      </c>
      <c r="B218" s="34">
        <v>1</v>
      </c>
    </row>
    <row r="219" spans="1:2" x14ac:dyDescent="0.25">
      <c r="A219" s="30" t="s">
        <v>2906</v>
      </c>
      <c r="B219" s="34">
        <v>1</v>
      </c>
    </row>
    <row r="220" spans="1:2" x14ac:dyDescent="0.25">
      <c r="A220" s="30" t="s">
        <v>4861</v>
      </c>
      <c r="B220" s="34">
        <v>1</v>
      </c>
    </row>
    <row r="221" spans="1:2" x14ac:dyDescent="0.25">
      <c r="A221" s="30" t="s">
        <v>4069</v>
      </c>
      <c r="B221" s="34">
        <v>4</v>
      </c>
    </row>
    <row r="222" spans="1:2" x14ac:dyDescent="0.25">
      <c r="A222" s="30" t="s">
        <v>4748</v>
      </c>
      <c r="B222" s="34">
        <v>1</v>
      </c>
    </row>
    <row r="223" spans="1:2" x14ac:dyDescent="0.25">
      <c r="A223" s="30" t="s">
        <v>2191</v>
      </c>
      <c r="B223" s="34">
        <v>8</v>
      </c>
    </row>
    <row r="224" spans="1:2" x14ac:dyDescent="0.25">
      <c r="A224" s="30" t="s">
        <v>3541</v>
      </c>
      <c r="B224" s="34">
        <v>1</v>
      </c>
    </row>
    <row r="225" spans="1:2" x14ac:dyDescent="0.25">
      <c r="A225" s="30" t="s">
        <v>5028</v>
      </c>
      <c r="B225" s="34">
        <v>6</v>
      </c>
    </row>
    <row r="226" spans="1:2" x14ac:dyDescent="0.25">
      <c r="A226" s="30" t="s">
        <v>2238</v>
      </c>
      <c r="B226" s="34">
        <v>5</v>
      </c>
    </row>
    <row r="227" spans="1:2" x14ac:dyDescent="0.25">
      <c r="A227" s="30" t="s">
        <v>2266</v>
      </c>
      <c r="B227" s="34">
        <v>8</v>
      </c>
    </row>
    <row r="228" spans="1:2" x14ac:dyDescent="0.25">
      <c r="A228" s="30" t="s">
        <v>5430</v>
      </c>
      <c r="B228" s="34">
        <v>2</v>
      </c>
    </row>
    <row r="229" spans="1:2" x14ac:dyDescent="0.25">
      <c r="A229" s="30" t="s">
        <v>2355</v>
      </c>
      <c r="B229" s="34">
        <v>9</v>
      </c>
    </row>
    <row r="230" spans="1:2" x14ac:dyDescent="0.25">
      <c r="A230" s="30" t="s">
        <v>6063</v>
      </c>
      <c r="B230" s="34">
        <v>1</v>
      </c>
    </row>
    <row r="231" spans="1:2" x14ac:dyDescent="0.25">
      <c r="A231" s="30" t="s">
        <v>5119</v>
      </c>
      <c r="B231" s="34">
        <v>1</v>
      </c>
    </row>
    <row r="232" spans="1:2" x14ac:dyDescent="0.25">
      <c r="A232" s="30" t="s">
        <v>2791</v>
      </c>
      <c r="B232" s="34">
        <v>4</v>
      </c>
    </row>
    <row r="233" spans="1:2" x14ac:dyDescent="0.25">
      <c r="A233" s="30" t="s">
        <v>5183</v>
      </c>
      <c r="B233" s="34">
        <v>1</v>
      </c>
    </row>
    <row r="234" spans="1:2" x14ac:dyDescent="0.25">
      <c r="A234" s="30" t="s">
        <v>4852</v>
      </c>
      <c r="B234" s="34">
        <v>1</v>
      </c>
    </row>
    <row r="235" spans="1:2" x14ac:dyDescent="0.25">
      <c r="A235" s="30" t="s">
        <v>2110</v>
      </c>
      <c r="B235" s="34">
        <v>2</v>
      </c>
    </row>
    <row r="236" spans="1:2" x14ac:dyDescent="0.25">
      <c r="A236" s="30" t="s">
        <v>2048</v>
      </c>
      <c r="B236" s="34">
        <v>4</v>
      </c>
    </row>
    <row r="237" spans="1:2" x14ac:dyDescent="0.25">
      <c r="A237" s="30" t="s">
        <v>2694</v>
      </c>
      <c r="B237" s="34">
        <v>4</v>
      </c>
    </row>
    <row r="238" spans="1:2" x14ac:dyDescent="0.25">
      <c r="A238" s="30" t="s">
        <v>5655</v>
      </c>
      <c r="B238" s="34">
        <v>1</v>
      </c>
    </row>
    <row r="239" spans="1:2" x14ac:dyDescent="0.25">
      <c r="A239" s="30" t="s">
        <v>3703</v>
      </c>
      <c r="B239" s="34">
        <v>1</v>
      </c>
    </row>
    <row r="240" spans="1:2" x14ac:dyDescent="0.25">
      <c r="A240" s="30" t="s">
        <v>4422</v>
      </c>
      <c r="B240" s="34">
        <v>2</v>
      </c>
    </row>
    <row r="241" spans="1:2" x14ac:dyDescent="0.25">
      <c r="A241" s="30" t="s">
        <v>4890</v>
      </c>
      <c r="B241" s="34">
        <v>1</v>
      </c>
    </row>
    <row r="242" spans="1:2" x14ac:dyDescent="0.25">
      <c r="A242" s="30" t="s">
        <v>3662</v>
      </c>
      <c r="B242" s="34">
        <v>2</v>
      </c>
    </row>
    <row r="243" spans="1:2" x14ac:dyDescent="0.25">
      <c r="A243" s="30" t="s">
        <v>2149</v>
      </c>
      <c r="B243" s="34">
        <v>1</v>
      </c>
    </row>
    <row r="244" spans="1:2" x14ac:dyDescent="0.25">
      <c r="A244" s="30" t="s">
        <v>2972</v>
      </c>
      <c r="B244" s="34">
        <v>1</v>
      </c>
    </row>
    <row r="245" spans="1:2" x14ac:dyDescent="0.25">
      <c r="A245" s="30" t="s">
        <v>4184</v>
      </c>
      <c r="B245" s="34">
        <v>1</v>
      </c>
    </row>
    <row r="246" spans="1:2" x14ac:dyDescent="0.25">
      <c r="A246" s="30" t="s">
        <v>5586</v>
      </c>
      <c r="B246" s="34">
        <v>2</v>
      </c>
    </row>
    <row r="247" spans="1:2" x14ac:dyDescent="0.25">
      <c r="A247" s="30" t="s">
        <v>2592</v>
      </c>
      <c r="B247" s="34">
        <v>5</v>
      </c>
    </row>
    <row r="248" spans="1:2" x14ac:dyDescent="0.25">
      <c r="A248" s="30" t="s">
        <v>2027</v>
      </c>
      <c r="B248" s="34">
        <v>15</v>
      </c>
    </row>
    <row r="249" spans="1:2" x14ac:dyDescent="0.25">
      <c r="A249" s="30" t="s">
        <v>2481</v>
      </c>
      <c r="B249" s="34">
        <v>3</v>
      </c>
    </row>
    <row r="250" spans="1:2" x14ac:dyDescent="0.25">
      <c r="A250" s="30" t="s">
        <v>4543</v>
      </c>
      <c r="B250" s="34">
        <v>1</v>
      </c>
    </row>
    <row r="251" spans="1:2" x14ac:dyDescent="0.25">
      <c r="A251" s="30" t="s">
        <v>2567</v>
      </c>
      <c r="B251" s="34">
        <v>2</v>
      </c>
    </row>
    <row r="252" spans="1:2" x14ac:dyDescent="0.25">
      <c r="A252" s="30" t="s">
        <v>4457</v>
      </c>
      <c r="B252" s="34">
        <v>1</v>
      </c>
    </row>
    <row r="253" spans="1:2" x14ac:dyDescent="0.25">
      <c r="A253" s="30" t="s">
        <v>5223</v>
      </c>
      <c r="B253" s="34">
        <v>1</v>
      </c>
    </row>
    <row r="254" spans="1:2" x14ac:dyDescent="0.25">
      <c r="A254" s="30" t="s">
        <v>3483</v>
      </c>
      <c r="B254" s="34">
        <v>3</v>
      </c>
    </row>
    <row r="255" spans="1:2" x14ac:dyDescent="0.25">
      <c r="A255" s="30" t="s">
        <v>2967</v>
      </c>
      <c r="B255" s="34">
        <v>1</v>
      </c>
    </row>
    <row r="256" spans="1:2" x14ac:dyDescent="0.25">
      <c r="A256" s="30" t="s">
        <v>3623</v>
      </c>
      <c r="B256" s="34">
        <v>1</v>
      </c>
    </row>
    <row r="257" spans="1:2" x14ac:dyDescent="0.25">
      <c r="A257" s="30" t="s">
        <v>3858</v>
      </c>
      <c r="B257" s="34">
        <v>1</v>
      </c>
    </row>
    <row r="258" spans="1:2" x14ac:dyDescent="0.25">
      <c r="A258" s="30" t="s">
        <v>3488</v>
      </c>
      <c r="B258" s="34">
        <v>2</v>
      </c>
    </row>
    <row r="259" spans="1:2" x14ac:dyDescent="0.25">
      <c r="A259" s="30" t="s">
        <v>2099</v>
      </c>
      <c r="B259" s="34">
        <v>2</v>
      </c>
    </row>
    <row r="260" spans="1:2" x14ac:dyDescent="0.25">
      <c r="A260" s="30" t="s">
        <v>2762</v>
      </c>
      <c r="B260" s="34">
        <v>1</v>
      </c>
    </row>
    <row r="261" spans="1:2" x14ac:dyDescent="0.25">
      <c r="A261" s="30" t="s">
        <v>3325</v>
      </c>
      <c r="B261" s="34">
        <v>1</v>
      </c>
    </row>
    <row r="262" spans="1:2" x14ac:dyDescent="0.25">
      <c r="A262" s="30" t="s">
        <v>2375</v>
      </c>
      <c r="B262" s="34">
        <v>3</v>
      </c>
    </row>
    <row r="263" spans="1:2" x14ac:dyDescent="0.25">
      <c r="A263" s="30" t="s">
        <v>3863</v>
      </c>
      <c r="B263" s="34">
        <v>1</v>
      </c>
    </row>
    <row r="264" spans="1:2" x14ac:dyDescent="0.25">
      <c r="A264" s="30" t="s">
        <v>3080</v>
      </c>
      <c r="B264" s="34">
        <v>2</v>
      </c>
    </row>
    <row r="265" spans="1:2" x14ac:dyDescent="0.25">
      <c r="A265" s="30" t="s">
        <v>1980</v>
      </c>
      <c r="B265" s="34">
        <v>1</v>
      </c>
    </row>
    <row r="266" spans="1:2" x14ac:dyDescent="0.25">
      <c r="A266" s="30" t="s">
        <v>2491</v>
      </c>
      <c r="B266" s="34">
        <v>1</v>
      </c>
    </row>
    <row r="267" spans="1:2" x14ac:dyDescent="0.25">
      <c r="A267" s="30" t="s">
        <v>2276</v>
      </c>
      <c r="B267" s="34">
        <v>1</v>
      </c>
    </row>
    <row r="268" spans="1:2" x14ac:dyDescent="0.25">
      <c r="A268" s="30" t="s">
        <v>2199</v>
      </c>
      <c r="B268" s="34">
        <v>5</v>
      </c>
    </row>
    <row r="269" spans="1:2" x14ac:dyDescent="0.25">
      <c r="A269" s="30" t="s">
        <v>3262</v>
      </c>
      <c r="B269" s="34">
        <v>1</v>
      </c>
    </row>
    <row r="270" spans="1:2" x14ac:dyDescent="0.25">
      <c r="A270" s="30" t="s">
        <v>4114</v>
      </c>
      <c r="B270" s="34">
        <v>1</v>
      </c>
    </row>
    <row r="271" spans="1:2" x14ac:dyDescent="0.25">
      <c r="A271" s="30" t="s">
        <v>2952</v>
      </c>
      <c r="B271" s="34">
        <v>1</v>
      </c>
    </row>
    <row r="272" spans="1:2" x14ac:dyDescent="0.25">
      <c r="A272" s="30" t="s">
        <v>3155</v>
      </c>
      <c r="B272" s="34">
        <v>1</v>
      </c>
    </row>
    <row r="273" spans="1:2" x14ac:dyDescent="0.25">
      <c r="A273" s="30" t="s">
        <v>5676</v>
      </c>
      <c r="B273" s="34">
        <v>1</v>
      </c>
    </row>
    <row r="274" spans="1:2" x14ac:dyDescent="0.25">
      <c r="A274" s="30" t="s">
        <v>4056</v>
      </c>
      <c r="B274" s="34">
        <v>1</v>
      </c>
    </row>
    <row r="275" spans="1:2" x14ac:dyDescent="0.25">
      <c r="A275" s="30" t="s">
        <v>3412</v>
      </c>
      <c r="B275" s="34">
        <v>5</v>
      </c>
    </row>
    <row r="276" spans="1:2" x14ac:dyDescent="0.25">
      <c r="A276" s="30" t="s">
        <v>3781</v>
      </c>
      <c r="B276" s="34">
        <v>2</v>
      </c>
    </row>
    <row r="277" spans="1:2" x14ac:dyDescent="0.25">
      <c r="A277" s="30" t="s">
        <v>4237</v>
      </c>
      <c r="B277" s="34">
        <v>2</v>
      </c>
    </row>
    <row r="278" spans="1:2" x14ac:dyDescent="0.25">
      <c r="A278" s="30" t="s">
        <v>2800</v>
      </c>
      <c r="B278" s="34">
        <v>4</v>
      </c>
    </row>
    <row r="279" spans="1:2" x14ac:dyDescent="0.25">
      <c r="A279" s="30" t="s">
        <v>5425</v>
      </c>
      <c r="B279" s="34">
        <v>2</v>
      </c>
    </row>
    <row r="280" spans="1:2" x14ac:dyDescent="0.25">
      <c r="A280" s="30" t="s">
        <v>3370</v>
      </c>
      <c r="B280" s="34">
        <v>4</v>
      </c>
    </row>
    <row r="281" spans="1:2" x14ac:dyDescent="0.25">
      <c r="A281" s="30" t="s">
        <v>3682</v>
      </c>
      <c r="B281" s="34">
        <v>5</v>
      </c>
    </row>
    <row r="282" spans="1:2" x14ac:dyDescent="0.25">
      <c r="A282" s="30" t="s">
        <v>2957</v>
      </c>
      <c r="B282" s="34">
        <v>3</v>
      </c>
    </row>
    <row r="283" spans="1:2" x14ac:dyDescent="0.25">
      <c r="A283" s="30" t="s">
        <v>2430</v>
      </c>
      <c r="B283" s="34">
        <v>1</v>
      </c>
    </row>
    <row r="284" spans="1:2" x14ac:dyDescent="0.25">
      <c r="A284" s="30" t="s">
        <v>3320</v>
      </c>
      <c r="B284" s="34">
        <v>5</v>
      </c>
    </row>
    <row r="285" spans="1:2" x14ac:dyDescent="0.25">
      <c r="A285" s="30" t="s">
        <v>3336</v>
      </c>
      <c r="B285" s="34">
        <v>2</v>
      </c>
    </row>
    <row r="286" spans="1:2" x14ac:dyDescent="0.25">
      <c r="A286" s="30" t="s">
        <v>2309</v>
      </c>
      <c r="B286" s="34">
        <v>2</v>
      </c>
    </row>
    <row r="287" spans="1:2" x14ac:dyDescent="0.25">
      <c r="A287" s="30" t="s">
        <v>2127</v>
      </c>
      <c r="B287" s="34">
        <v>6</v>
      </c>
    </row>
    <row r="288" spans="1:2" x14ac:dyDescent="0.25">
      <c r="A288" s="30" t="s">
        <v>5271</v>
      </c>
      <c r="B288" s="34">
        <v>1</v>
      </c>
    </row>
    <row r="289" spans="1:2" x14ac:dyDescent="0.25">
      <c r="A289" s="30" t="s">
        <v>2281</v>
      </c>
      <c r="B289" s="34">
        <v>2</v>
      </c>
    </row>
    <row r="290" spans="1:2" x14ac:dyDescent="0.25">
      <c r="A290" s="30" t="s">
        <v>4485</v>
      </c>
      <c r="B290" s="34">
        <v>5</v>
      </c>
    </row>
    <row r="291" spans="1:2" x14ac:dyDescent="0.25">
      <c r="A291" s="30" t="s">
        <v>5085</v>
      </c>
      <c r="B291" s="34">
        <v>1</v>
      </c>
    </row>
    <row r="292" spans="1:2" x14ac:dyDescent="0.25">
      <c r="A292" s="30" t="s">
        <v>3935</v>
      </c>
      <c r="B292" s="34">
        <v>1</v>
      </c>
    </row>
    <row r="293" spans="1:2" x14ac:dyDescent="0.25">
      <c r="A293" s="30" t="s">
        <v>3839</v>
      </c>
      <c r="B293" s="34">
        <v>2</v>
      </c>
    </row>
    <row r="294" spans="1:2" x14ac:dyDescent="0.25">
      <c r="A294" s="30" t="s">
        <v>1986</v>
      </c>
      <c r="B294" s="34">
        <v>11</v>
      </c>
    </row>
    <row r="295" spans="1:2" x14ac:dyDescent="0.25">
      <c r="A295" s="30" t="s">
        <v>4491</v>
      </c>
      <c r="B295" s="34">
        <v>2</v>
      </c>
    </row>
    <row r="296" spans="1:2" x14ac:dyDescent="0.25">
      <c r="A296" s="30" t="s">
        <v>3247</v>
      </c>
      <c r="B296" s="34">
        <v>1</v>
      </c>
    </row>
    <row r="297" spans="1:2" x14ac:dyDescent="0.25">
      <c r="A297" s="30" t="s">
        <v>2901</v>
      </c>
      <c r="B297" s="34">
        <v>2</v>
      </c>
    </row>
    <row r="298" spans="1:2" x14ac:dyDescent="0.25">
      <c r="A298" s="30" t="s">
        <v>4265</v>
      </c>
      <c r="B298" s="34">
        <v>1</v>
      </c>
    </row>
    <row r="299" spans="1:2" x14ac:dyDescent="0.25">
      <c r="A299" s="30" t="s">
        <v>5090</v>
      </c>
      <c r="B299" s="34">
        <v>2</v>
      </c>
    </row>
    <row r="300" spans="1:2" x14ac:dyDescent="0.25">
      <c r="A300" s="30" t="s">
        <v>3266</v>
      </c>
      <c r="B300" s="34">
        <v>1</v>
      </c>
    </row>
    <row r="301" spans="1:2" x14ac:dyDescent="0.25">
      <c r="A301" s="30" t="s">
        <v>2753</v>
      </c>
      <c r="B301" s="34">
        <v>2</v>
      </c>
    </row>
    <row r="302" spans="1:2" x14ac:dyDescent="0.25">
      <c r="A302" s="30" t="s">
        <v>3823</v>
      </c>
      <c r="B302" s="34">
        <v>2</v>
      </c>
    </row>
    <row r="303" spans="1:2" x14ac:dyDescent="0.25">
      <c r="A303" s="30" t="s">
        <v>5313</v>
      </c>
      <c r="B303" s="34">
        <v>1</v>
      </c>
    </row>
    <row r="304" spans="1:2" x14ac:dyDescent="0.25">
      <c r="A304" s="30" t="s">
        <v>4556</v>
      </c>
      <c r="B304" s="34">
        <v>1</v>
      </c>
    </row>
    <row r="305" spans="1:2" x14ac:dyDescent="0.25">
      <c r="A305" s="30" t="s">
        <v>4355</v>
      </c>
      <c r="B305" s="34">
        <v>1</v>
      </c>
    </row>
    <row r="306" spans="1:2" x14ac:dyDescent="0.25">
      <c r="A306" s="30" t="s">
        <v>4242</v>
      </c>
      <c r="B306" s="34">
        <v>1</v>
      </c>
    </row>
    <row r="307" spans="1:2" x14ac:dyDescent="0.25">
      <c r="A307" s="30" t="s">
        <v>2845</v>
      </c>
      <c r="B307" s="34">
        <v>2</v>
      </c>
    </row>
    <row r="308" spans="1:2" x14ac:dyDescent="0.25">
      <c r="A308" s="30" t="s">
        <v>4667</v>
      </c>
      <c r="B308" s="34">
        <v>1</v>
      </c>
    </row>
    <row r="309" spans="1:2" x14ac:dyDescent="0.25">
      <c r="A309" s="30" t="s">
        <v>2835</v>
      </c>
      <c r="B309" s="34">
        <v>2</v>
      </c>
    </row>
    <row r="310" spans="1:2" x14ac:dyDescent="0.25">
      <c r="A310" s="30" t="s">
        <v>5396</v>
      </c>
      <c r="B310" s="34">
        <v>1</v>
      </c>
    </row>
    <row r="311" spans="1:2" x14ac:dyDescent="0.25">
      <c r="A311" s="30" t="s">
        <v>3581</v>
      </c>
      <c r="B311" s="34">
        <v>6</v>
      </c>
    </row>
    <row r="312" spans="1:2" x14ac:dyDescent="0.25">
      <c r="A312" s="30" t="s">
        <v>3294</v>
      </c>
      <c r="B312" s="34">
        <v>1</v>
      </c>
    </row>
    <row r="313" spans="1:2" x14ac:dyDescent="0.25">
      <c r="A313" s="30" t="s">
        <v>4637</v>
      </c>
      <c r="B313" s="34">
        <v>1</v>
      </c>
    </row>
    <row r="314" spans="1:2" x14ac:dyDescent="0.25">
      <c r="A314" s="30" t="s">
        <v>2320</v>
      </c>
      <c r="B314" s="34">
        <v>3</v>
      </c>
    </row>
    <row r="315" spans="1:2" x14ac:dyDescent="0.25">
      <c r="A315" s="30" t="s">
        <v>2008</v>
      </c>
      <c r="B315" s="34">
        <v>2</v>
      </c>
    </row>
    <row r="316" spans="1:2" x14ac:dyDescent="0.25">
      <c r="A316" s="30" t="s">
        <v>4149</v>
      </c>
      <c r="B316" s="34">
        <v>1</v>
      </c>
    </row>
    <row r="317" spans="1:2" x14ac:dyDescent="0.25">
      <c r="A317" s="30" t="s">
        <v>3121</v>
      </c>
      <c r="B317" s="34">
        <v>7</v>
      </c>
    </row>
    <row r="318" spans="1:2" x14ac:dyDescent="0.25">
      <c r="A318" s="30" t="s">
        <v>2137</v>
      </c>
      <c r="B318" s="34">
        <v>7</v>
      </c>
    </row>
    <row r="319" spans="1:2" x14ac:dyDescent="0.25">
      <c r="A319" s="30" t="s">
        <v>5578</v>
      </c>
      <c r="B319" s="34">
        <v>2</v>
      </c>
    </row>
    <row r="320" spans="1:2" x14ac:dyDescent="0.25">
      <c r="A320" s="30" t="s">
        <v>5659</v>
      </c>
      <c r="B320" s="34">
        <v>1</v>
      </c>
    </row>
    <row r="321" spans="1:2" x14ac:dyDescent="0.25">
      <c r="A321" s="30" t="s">
        <v>3918</v>
      </c>
      <c r="B321" s="34">
        <v>2</v>
      </c>
    </row>
    <row r="322" spans="1:2" x14ac:dyDescent="0.25">
      <c r="A322" s="30" t="s">
        <v>5230</v>
      </c>
      <c r="B322" s="34">
        <v>1</v>
      </c>
    </row>
    <row r="323" spans="1:2" x14ac:dyDescent="0.25">
      <c r="A323" s="30" t="s">
        <v>2744</v>
      </c>
      <c r="B323" s="34">
        <v>5</v>
      </c>
    </row>
    <row r="324" spans="1:2" x14ac:dyDescent="0.25">
      <c r="A324" s="30" t="s">
        <v>5406</v>
      </c>
      <c r="B324" s="34">
        <v>1</v>
      </c>
    </row>
    <row r="325" spans="1:2" x14ac:dyDescent="0.25">
      <c r="A325" s="30" t="s">
        <v>2314</v>
      </c>
      <c r="B325" s="34">
        <v>2</v>
      </c>
    </row>
    <row r="326" spans="1:2" x14ac:dyDescent="0.25">
      <c r="A326" s="30" t="s">
        <v>5734</v>
      </c>
      <c r="B326" s="34">
        <v>1</v>
      </c>
    </row>
    <row r="327" spans="1:2" x14ac:dyDescent="0.25">
      <c r="A327" s="30" t="s">
        <v>4831</v>
      </c>
      <c r="B327" s="34">
        <v>1</v>
      </c>
    </row>
    <row r="328" spans="1:2" x14ac:dyDescent="0.25">
      <c r="A328" s="30" t="s">
        <v>5940</v>
      </c>
      <c r="B328" s="34">
        <v>1</v>
      </c>
    </row>
    <row r="329" spans="1:2" x14ac:dyDescent="0.25">
      <c r="A329" s="30" t="s">
        <v>4324</v>
      </c>
      <c r="B329" s="34">
        <v>1</v>
      </c>
    </row>
    <row r="330" spans="1:2" x14ac:dyDescent="0.25">
      <c r="A330" s="30" t="s">
        <v>2247</v>
      </c>
      <c r="B330" s="34">
        <v>3</v>
      </c>
    </row>
    <row r="331" spans="1:2" x14ac:dyDescent="0.25">
      <c r="A331" s="30" t="s">
        <v>2506</v>
      </c>
      <c r="B331" s="34">
        <v>4</v>
      </c>
    </row>
    <row r="332" spans="1:2" x14ac:dyDescent="0.25">
      <c r="A332" s="30" t="s">
        <v>5039</v>
      </c>
      <c r="B332" s="34">
        <v>1</v>
      </c>
    </row>
    <row r="333" spans="1:2" x14ac:dyDescent="0.25">
      <c r="A333" s="30" t="s">
        <v>2830</v>
      </c>
      <c r="B333" s="34">
        <v>1</v>
      </c>
    </row>
    <row r="334" spans="1:2" x14ac:dyDescent="0.25">
      <c r="A334" s="30" t="s">
        <v>3769</v>
      </c>
      <c r="B334" s="34">
        <v>1</v>
      </c>
    </row>
    <row r="335" spans="1:2" x14ac:dyDescent="0.25">
      <c r="A335" s="30" t="s">
        <v>3677</v>
      </c>
      <c r="B335" s="34">
        <v>2</v>
      </c>
    </row>
    <row r="336" spans="1:2" x14ac:dyDescent="0.25">
      <c r="A336" s="30" t="s">
        <v>5366</v>
      </c>
      <c r="B336" s="34">
        <v>1</v>
      </c>
    </row>
    <row r="337" spans="1:2" x14ac:dyDescent="0.25">
      <c r="A337" s="30" t="s">
        <v>2144</v>
      </c>
      <c r="B337" s="34">
        <v>4</v>
      </c>
    </row>
    <row r="338" spans="1:2" x14ac:dyDescent="0.25">
      <c r="A338" s="30" t="s">
        <v>2037</v>
      </c>
      <c r="B338" s="34">
        <v>17</v>
      </c>
    </row>
    <row r="339" spans="1:2" x14ac:dyDescent="0.25">
      <c r="A339" s="30" t="s">
        <v>2256</v>
      </c>
      <c r="B339" s="34">
        <v>4</v>
      </c>
    </row>
    <row r="340" spans="1:2" x14ac:dyDescent="0.25">
      <c r="A340" s="30" t="s">
        <v>3075</v>
      </c>
      <c r="B340" s="34">
        <v>1</v>
      </c>
    </row>
    <row r="341" spans="1:2" x14ac:dyDescent="0.25">
      <c r="A341" s="30" t="s">
        <v>2292</v>
      </c>
      <c r="B341" s="34">
        <v>2</v>
      </c>
    </row>
    <row r="342" spans="1:2" x14ac:dyDescent="0.25">
      <c r="A342" s="30" t="s">
        <v>2530</v>
      </c>
      <c r="B342" s="34">
        <v>2</v>
      </c>
    </row>
    <row r="343" spans="1:2" x14ac:dyDescent="0.25">
      <c r="A343" s="30" t="s">
        <v>3164</v>
      </c>
      <c r="B343" s="34">
        <v>3</v>
      </c>
    </row>
    <row r="344" spans="1:2" x14ac:dyDescent="0.25">
      <c r="A344" s="30" t="s">
        <v>2181</v>
      </c>
      <c r="B344" s="34">
        <v>1</v>
      </c>
    </row>
    <row r="345" spans="1:2" x14ac:dyDescent="0.25">
      <c r="A345" s="30" t="s">
        <v>2392</v>
      </c>
      <c r="B345" s="34">
        <v>1</v>
      </c>
    </row>
    <row r="346" spans="1:2" x14ac:dyDescent="0.25">
      <c r="A346" s="30" t="s">
        <v>3238</v>
      </c>
      <c r="B346" s="34">
        <v>3</v>
      </c>
    </row>
    <row r="347" spans="1:2" x14ac:dyDescent="0.25">
      <c r="A347" s="30" t="s">
        <v>2663</v>
      </c>
      <c r="B347" s="34">
        <v>1</v>
      </c>
    </row>
    <row r="348" spans="1:2" x14ac:dyDescent="0.25">
      <c r="A348" s="30" t="s">
        <v>2335</v>
      </c>
      <c r="B348" s="34">
        <v>1</v>
      </c>
    </row>
    <row r="349" spans="1:2" x14ac:dyDescent="0.25">
      <c r="A349" s="30" t="s">
        <v>3613</v>
      </c>
      <c r="B349" s="34">
        <v>4</v>
      </c>
    </row>
    <row r="350" spans="1:2" x14ac:dyDescent="0.25">
      <c r="A350" s="30" t="s">
        <v>2154</v>
      </c>
      <c r="B350" s="34">
        <v>2</v>
      </c>
    </row>
    <row r="351" spans="1:2" x14ac:dyDescent="0.25">
      <c r="A351" s="30" t="s">
        <v>2362</v>
      </c>
      <c r="B351" s="34">
        <v>15</v>
      </c>
    </row>
    <row r="352" spans="1:2" x14ac:dyDescent="0.25">
      <c r="A352" s="30" t="s">
        <v>5347</v>
      </c>
      <c r="B352" s="34">
        <v>2</v>
      </c>
    </row>
    <row r="353" spans="1:2" x14ac:dyDescent="0.25">
      <c r="A353" s="30" t="s">
        <v>5527</v>
      </c>
      <c r="B353" s="34">
        <v>1</v>
      </c>
    </row>
    <row r="354" spans="1:2" x14ac:dyDescent="0.25">
      <c r="A354" s="30" t="s">
        <v>2616</v>
      </c>
      <c r="B354" s="34">
        <v>2</v>
      </c>
    </row>
    <row r="355" spans="1:2" x14ac:dyDescent="0.25">
      <c r="A355" s="30" t="s">
        <v>4401</v>
      </c>
      <c r="B355" s="34">
        <v>2</v>
      </c>
    </row>
    <row r="356" spans="1:2" x14ac:dyDescent="0.25">
      <c r="A356" s="30" t="s">
        <v>2947</v>
      </c>
      <c r="B356" s="34">
        <v>6</v>
      </c>
    </row>
    <row r="357" spans="1:2" x14ac:dyDescent="0.25">
      <c r="A357" s="30" t="s">
        <v>1940</v>
      </c>
      <c r="B357" s="34">
        <v>2</v>
      </c>
    </row>
    <row r="358" spans="1:2" x14ac:dyDescent="0.25">
      <c r="A358" s="30" t="s">
        <v>2225</v>
      </c>
      <c r="B358" s="34">
        <v>7</v>
      </c>
    </row>
    <row r="359" spans="1:2" x14ac:dyDescent="0.25">
      <c r="A359" s="30" t="s">
        <v>2071</v>
      </c>
      <c r="B359" s="34">
        <v>1</v>
      </c>
    </row>
    <row r="360" spans="1:2" x14ac:dyDescent="0.25">
      <c r="A360" s="30" t="s">
        <v>2017</v>
      </c>
      <c r="B360" s="34">
        <v>9</v>
      </c>
    </row>
    <row r="361" spans="1:2" x14ac:dyDescent="0.25">
      <c r="A361" s="30" t="s">
        <v>3099</v>
      </c>
      <c r="B361" s="34">
        <v>5</v>
      </c>
    </row>
    <row r="362" spans="1:2" x14ac:dyDescent="0.25">
      <c r="A362" s="30" t="s">
        <v>4595</v>
      </c>
      <c r="B362" s="34">
        <v>4</v>
      </c>
    </row>
    <row r="363" spans="1:2" x14ac:dyDescent="0.25">
      <c r="A363" s="30" t="s">
        <v>2861</v>
      </c>
      <c r="B363" s="34">
        <v>2</v>
      </c>
    </row>
    <row r="364" spans="1:2" x14ac:dyDescent="0.25">
      <c r="A364" s="30" t="s">
        <v>5502</v>
      </c>
      <c r="B364" s="34">
        <v>1</v>
      </c>
    </row>
    <row r="365" spans="1:2" x14ac:dyDescent="0.25">
      <c r="A365" s="30" t="s">
        <v>2460</v>
      </c>
      <c r="B365" s="34">
        <v>1</v>
      </c>
    </row>
    <row r="366" spans="1:2" x14ac:dyDescent="0.25">
      <c r="A366" s="30" t="s">
        <v>2770</v>
      </c>
      <c r="B366" s="34">
        <v>1</v>
      </c>
    </row>
    <row r="367" spans="1:2" x14ac:dyDescent="0.25">
      <c r="A367" s="30" t="s">
        <v>2022</v>
      </c>
      <c r="B367" s="34">
        <v>7</v>
      </c>
    </row>
    <row r="368" spans="1:2" x14ac:dyDescent="0.25">
      <c r="A368" s="30" t="s">
        <v>2607</v>
      </c>
      <c r="B368" s="34">
        <v>2</v>
      </c>
    </row>
    <row r="369" spans="1:2" x14ac:dyDescent="0.25">
      <c r="A369" s="30" t="s">
        <v>3727</v>
      </c>
      <c r="B369" s="34">
        <v>2</v>
      </c>
    </row>
    <row r="370" spans="1:2" x14ac:dyDescent="0.25">
      <c r="A370" s="30" t="s">
        <v>2206</v>
      </c>
      <c r="B370" s="34">
        <v>1</v>
      </c>
    </row>
    <row r="371" spans="1:2" x14ac:dyDescent="0.25">
      <c r="A371" s="30" t="s">
        <v>2053</v>
      </c>
      <c r="B371" s="34">
        <v>3</v>
      </c>
    </row>
    <row r="372" spans="1:2" x14ac:dyDescent="0.25">
      <c r="A372" s="30" t="s">
        <v>2709</v>
      </c>
      <c r="B372" s="34">
        <v>2</v>
      </c>
    </row>
    <row r="373" spans="1:2" x14ac:dyDescent="0.25">
      <c r="A373" s="30" t="s">
        <v>3188</v>
      </c>
      <c r="B373" s="34">
        <v>1</v>
      </c>
    </row>
    <row r="374" spans="1:2" x14ac:dyDescent="0.25">
      <c r="A374" s="30" t="s">
        <v>6090</v>
      </c>
      <c r="B374" s="34">
        <v>1</v>
      </c>
    </row>
    <row r="375" spans="1:2" x14ac:dyDescent="0.25">
      <c r="A375" s="30" t="s">
        <v>2088</v>
      </c>
      <c r="B375" s="34">
        <v>1</v>
      </c>
    </row>
    <row r="376" spans="1:2" x14ac:dyDescent="0.25">
      <c r="A376" s="30" t="s">
        <v>2370</v>
      </c>
      <c r="B376" s="34">
        <v>3</v>
      </c>
    </row>
    <row r="377" spans="1:2" x14ac:dyDescent="0.25">
      <c r="A377" s="30" t="s">
        <v>3558</v>
      </c>
      <c r="B377" s="34">
        <v>1</v>
      </c>
    </row>
    <row r="378" spans="1:2" x14ac:dyDescent="0.25">
      <c r="A378" s="30" t="s">
        <v>2004</v>
      </c>
      <c r="B378" s="34">
        <v>7</v>
      </c>
    </row>
    <row r="379" spans="1:2" x14ac:dyDescent="0.25">
      <c r="A379" s="30" t="s">
        <v>2643</v>
      </c>
      <c r="B379" s="34">
        <v>3</v>
      </c>
    </row>
    <row r="380" spans="1:2" x14ac:dyDescent="0.25">
      <c r="A380" s="30" t="s">
        <v>2163</v>
      </c>
      <c r="B380" s="34">
        <v>6</v>
      </c>
    </row>
    <row r="381" spans="1:2" x14ac:dyDescent="0.25">
      <c r="A381" s="30" t="s">
        <v>5713</v>
      </c>
      <c r="B381" s="34">
        <v>2</v>
      </c>
    </row>
    <row r="382" spans="1:2" x14ac:dyDescent="0.25">
      <c r="A382" s="30" t="s">
        <v>3553</v>
      </c>
      <c r="B382" s="34">
        <v>1</v>
      </c>
    </row>
    <row r="383" spans="1:2" x14ac:dyDescent="0.25">
      <c r="A383" s="30" t="s">
        <v>2999</v>
      </c>
      <c r="B383" s="34">
        <v>9</v>
      </c>
    </row>
    <row r="384" spans="1:2" x14ac:dyDescent="0.25">
      <c r="A384" s="30" t="s">
        <v>4019</v>
      </c>
      <c r="B384" s="34">
        <v>1</v>
      </c>
    </row>
    <row r="385" spans="1:2" x14ac:dyDescent="0.25">
      <c r="A385" s="30" t="s">
        <v>4024</v>
      </c>
      <c r="B385" s="34">
        <v>1</v>
      </c>
    </row>
    <row r="386" spans="1:2" x14ac:dyDescent="0.25">
      <c r="A386" s="30" t="s">
        <v>4218</v>
      </c>
      <c r="B386" s="34">
        <v>1</v>
      </c>
    </row>
    <row r="387" spans="1:2" x14ac:dyDescent="0.25">
      <c r="A387" s="30" t="s">
        <v>2013</v>
      </c>
      <c r="B387" s="34">
        <v>10</v>
      </c>
    </row>
    <row r="388" spans="1:2" x14ac:dyDescent="0.25">
      <c r="A388" s="30" t="s">
        <v>2233</v>
      </c>
      <c r="B388" s="34">
        <v>4</v>
      </c>
    </row>
    <row r="389" spans="1:2" x14ac:dyDescent="0.25">
      <c r="A389" s="30" t="s">
        <v>5548</v>
      </c>
      <c r="B389" s="34">
        <v>1</v>
      </c>
    </row>
    <row r="390" spans="1:2" x14ac:dyDescent="0.25">
      <c r="A390" s="30" t="s">
        <v>5949</v>
      </c>
      <c r="B390" s="34">
        <v>2</v>
      </c>
    </row>
    <row r="391" spans="1:2" x14ac:dyDescent="0.25">
      <c r="A391" s="30" t="s">
        <v>2938</v>
      </c>
      <c r="B391" s="34">
        <v>4</v>
      </c>
    </row>
    <row r="392" spans="1:2" x14ac:dyDescent="0.25">
      <c r="A392" s="30" t="s">
        <v>4760</v>
      </c>
      <c r="B392" s="34">
        <v>2</v>
      </c>
    </row>
    <row r="393" spans="1:2" x14ac:dyDescent="0.25">
      <c r="A393" s="30" t="s">
        <v>1956</v>
      </c>
      <c r="B393" s="34">
        <v>1</v>
      </c>
    </row>
    <row r="394" spans="1:2" x14ac:dyDescent="0.25">
      <c r="A394" s="30" t="s">
        <v>2177</v>
      </c>
      <c r="B394" s="34">
        <v>2</v>
      </c>
    </row>
    <row r="395" spans="1:2" x14ac:dyDescent="0.25">
      <c r="A395" s="30" t="s">
        <v>3785</v>
      </c>
      <c r="B395" s="34">
        <v>4</v>
      </c>
    </row>
    <row r="396" spans="1:2" x14ac:dyDescent="0.25">
      <c r="A396" s="30" t="s">
        <v>3090</v>
      </c>
      <c r="B396" s="34">
        <v>9</v>
      </c>
    </row>
    <row r="397" spans="1:2" x14ac:dyDescent="0.25">
      <c r="A397" s="30" t="s">
        <v>1995</v>
      </c>
      <c r="B397" s="34">
        <v>6</v>
      </c>
    </row>
    <row r="398" spans="1:2" x14ac:dyDescent="0.25">
      <c r="A398" s="30" t="s">
        <v>4028</v>
      </c>
      <c r="B398" s="34">
        <v>1</v>
      </c>
    </row>
    <row r="399" spans="1:2" x14ac:dyDescent="0.25">
      <c r="A399" s="30" t="s">
        <v>3402</v>
      </c>
      <c r="B399" s="34">
        <v>3</v>
      </c>
    </row>
    <row r="400" spans="1:2" x14ac:dyDescent="0.25">
      <c r="A400" s="30" t="s">
        <v>2572</v>
      </c>
      <c r="B400" s="34">
        <v>4</v>
      </c>
    </row>
    <row r="401" spans="1:2" x14ac:dyDescent="0.25">
      <c r="A401" s="30" t="s">
        <v>5476</v>
      </c>
      <c r="B401" s="34">
        <v>1</v>
      </c>
    </row>
    <row r="402" spans="1:2" x14ac:dyDescent="0.25">
      <c r="A402" s="30" t="s">
        <v>4233</v>
      </c>
      <c r="B402" s="34">
        <v>1</v>
      </c>
    </row>
    <row r="403" spans="1:2" x14ac:dyDescent="0.25">
      <c r="A403" s="30" t="s">
        <v>1971</v>
      </c>
      <c r="B403" s="34">
        <v>1</v>
      </c>
    </row>
    <row r="404" spans="1:2" x14ac:dyDescent="0.25">
      <c r="A404" s="30" t="s">
        <v>4084</v>
      </c>
      <c r="B404" s="34">
        <v>2</v>
      </c>
    </row>
    <row r="405" spans="1:2" x14ac:dyDescent="0.25">
      <c r="A405" s="30" t="s">
        <v>3492</v>
      </c>
      <c r="B405" s="34">
        <v>8</v>
      </c>
    </row>
    <row r="406" spans="1:2" x14ac:dyDescent="0.25">
      <c r="A406" s="30" t="s">
        <v>4651</v>
      </c>
      <c r="B406" s="34">
        <v>1</v>
      </c>
    </row>
    <row r="407" spans="1:2" x14ac:dyDescent="0.25">
      <c r="A407" s="30" t="s">
        <v>3193</v>
      </c>
      <c r="B407" s="34">
        <v>2</v>
      </c>
    </row>
    <row r="408" spans="1:2" x14ac:dyDescent="0.25">
      <c r="A408" s="30" t="s">
        <v>2988</v>
      </c>
      <c r="B408" s="34">
        <v>5</v>
      </c>
    </row>
    <row r="409" spans="1:2" x14ac:dyDescent="0.25">
      <c r="A409" s="30" t="s">
        <v>3134</v>
      </c>
      <c r="B409" s="34">
        <v>4</v>
      </c>
    </row>
    <row r="410" spans="1:2" x14ac:dyDescent="0.25">
      <c r="A410" s="30" t="s">
        <v>3524</v>
      </c>
      <c r="B410" s="34">
        <v>8</v>
      </c>
    </row>
    <row r="411" spans="1:2" x14ac:dyDescent="0.25">
      <c r="A411" s="30" t="s">
        <v>6107</v>
      </c>
      <c r="B411" s="34">
        <v>1</v>
      </c>
    </row>
    <row r="412" spans="1:2" x14ac:dyDescent="0.25">
      <c r="A412" s="30" t="s">
        <v>2748</v>
      </c>
      <c r="B412" s="34">
        <v>3</v>
      </c>
    </row>
    <row r="413" spans="1:2" x14ac:dyDescent="0.25">
      <c r="A413" s="30" t="s">
        <v>2886</v>
      </c>
      <c r="B413" s="34">
        <v>3</v>
      </c>
    </row>
    <row r="414" spans="1:2" x14ac:dyDescent="0.25">
      <c r="A414" s="30" t="s">
        <v>1962</v>
      </c>
      <c r="B414" s="34">
        <v>5</v>
      </c>
    </row>
    <row r="415" spans="1:2" x14ac:dyDescent="0.25">
      <c r="A415" s="30" t="s">
        <v>2525</v>
      </c>
      <c r="B415" s="34">
        <v>2</v>
      </c>
    </row>
    <row r="416" spans="1:2" x14ac:dyDescent="0.25">
      <c r="A416" s="30" t="s">
        <v>2890</v>
      </c>
      <c r="B416" s="34">
        <v>2</v>
      </c>
    </row>
    <row r="417" spans="1:2" x14ac:dyDescent="0.25">
      <c r="A417" s="30" t="s">
        <v>4074</v>
      </c>
      <c r="B417" s="34">
        <v>1</v>
      </c>
    </row>
    <row r="418" spans="1:2" x14ac:dyDescent="0.25">
      <c r="A418" s="30" t="s">
        <v>2419</v>
      </c>
      <c r="B418" s="34">
        <v>2</v>
      </c>
    </row>
    <row r="419" spans="1:2" x14ac:dyDescent="0.25">
      <c r="A419" s="30" t="s">
        <v>5168</v>
      </c>
      <c r="B419" s="34">
        <v>1</v>
      </c>
    </row>
    <row r="420" spans="1:2" x14ac:dyDescent="0.25">
      <c r="A420" s="30" t="s">
        <v>4811</v>
      </c>
      <c r="B420" s="34">
        <v>2</v>
      </c>
    </row>
    <row r="421" spans="1:2" x14ac:dyDescent="0.25">
      <c r="A421" s="30" t="s">
        <v>3644</v>
      </c>
      <c r="B421" s="34">
        <v>1</v>
      </c>
    </row>
    <row r="422" spans="1:2" x14ac:dyDescent="0.25">
      <c r="A422" s="30" t="s">
        <v>3111</v>
      </c>
      <c r="B422" s="34">
        <v>1</v>
      </c>
    </row>
    <row r="423" spans="1:2" x14ac:dyDescent="0.25">
      <c r="A423" s="30" t="s">
        <v>4866</v>
      </c>
      <c r="B423" s="34">
        <v>1</v>
      </c>
    </row>
    <row r="424" spans="1:2" x14ac:dyDescent="0.25">
      <c r="A424" s="30" t="s">
        <v>3148</v>
      </c>
      <c r="B424" s="34">
        <v>3</v>
      </c>
    </row>
    <row r="425" spans="1:2" x14ac:dyDescent="0.25">
      <c r="A425" s="30" t="s">
        <v>4938</v>
      </c>
      <c r="B425" s="34">
        <v>1</v>
      </c>
    </row>
    <row r="426" spans="1:2" x14ac:dyDescent="0.25">
      <c r="A426" s="30" t="s">
        <v>2220</v>
      </c>
      <c r="B426" s="34">
        <v>6</v>
      </c>
    </row>
    <row r="427" spans="1:2" x14ac:dyDescent="0.25">
      <c r="A427" s="30" t="s">
        <v>4769</v>
      </c>
      <c r="B427" s="34">
        <v>2</v>
      </c>
    </row>
    <row r="428" spans="1:2" x14ac:dyDescent="0.25">
      <c r="A428" s="30" t="s">
        <v>2211</v>
      </c>
      <c r="B428" s="34">
        <v>9</v>
      </c>
    </row>
    <row r="429" spans="1:2" x14ac:dyDescent="0.25">
      <c r="A429" s="30" t="s">
        <v>3510</v>
      </c>
      <c r="B429" s="34">
        <v>4</v>
      </c>
    </row>
    <row r="430" spans="1:2" x14ac:dyDescent="0.25">
      <c r="A430" s="30" t="s">
        <v>2076</v>
      </c>
      <c r="B430" s="34">
        <v>2</v>
      </c>
    </row>
    <row r="431" spans="1:2" x14ac:dyDescent="0.25">
      <c r="A431" s="30" t="s">
        <v>2215</v>
      </c>
      <c r="B431" s="34">
        <v>1</v>
      </c>
    </row>
    <row r="432" spans="1:2" x14ac:dyDescent="0.25">
      <c r="A432" s="30" t="s">
        <v>4099</v>
      </c>
      <c r="B432" s="34">
        <v>1</v>
      </c>
    </row>
    <row r="433" spans="1:2" x14ac:dyDescent="0.25">
      <c r="A433" s="30" t="s">
        <v>2140</v>
      </c>
      <c r="B433" s="34">
        <v>5</v>
      </c>
    </row>
    <row r="434" spans="1:2" x14ac:dyDescent="0.25">
      <c r="A434" s="30" t="s">
        <v>3182</v>
      </c>
      <c r="B434" s="34">
        <v>1</v>
      </c>
    </row>
    <row r="435" spans="1:2" x14ac:dyDescent="0.25">
      <c r="A435" s="30" t="s">
        <v>3640</v>
      </c>
      <c r="B435" s="34">
        <v>1</v>
      </c>
    </row>
    <row r="436" spans="1:2" x14ac:dyDescent="0.25">
      <c r="A436" s="30" t="s">
        <v>2816</v>
      </c>
      <c r="B436" s="34">
        <v>3</v>
      </c>
    </row>
    <row r="437" spans="1:2" x14ac:dyDescent="0.25">
      <c r="A437" s="30" t="s">
        <v>2439</v>
      </c>
      <c r="B437" s="34">
        <v>2</v>
      </c>
    </row>
    <row r="438" spans="1:2" x14ac:dyDescent="0.25">
      <c r="A438" s="30" t="s">
        <v>5356</v>
      </c>
      <c r="B438" s="34">
        <v>1</v>
      </c>
    </row>
    <row r="439" spans="1:2" x14ac:dyDescent="0.25">
      <c r="A439" s="30" t="s">
        <v>3515</v>
      </c>
      <c r="B439" s="34">
        <v>3</v>
      </c>
    </row>
    <row r="440" spans="1:2" x14ac:dyDescent="0.25">
      <c r="A440" s="30" t="s">
        <v>2115</v>
      </c>
      <c r="B440" s="34">
        <v>6</v>
      </c>
    </row>
    <row r="441" spans="1:2" x14ac:dyDescent="0.25">
      <c r="A441" s="30" t="s">
        <v>3773</v>
      </c>
      <c r="B441" s="34">
        <v>1</v>
      </c>
    </row>
    <row r="442" spans="1:2" x14ac:dyDescent="0.25">
      <c r="A442" s="30" t="s">
        <v>2058</v>
      </c>
      <c r="B442" s="34">
        <v>2</v>
      </c>
    </row>
    <row r="443" spans="1:2" x14ac:dyDescent="0.25">
      <c r="A443" s="30" t="s">
        <v>2261</v>
      </c>
      <c r="B443" s="34">
        <v>1</v>
      </c>
    </row>
    <row r="444" spans="1:2" x14ac:dyDescent="0.25">
      <c r="A444" s="30" t="s">
        <v>4204</v>
      </c>
      <c r="B444" s="34">
        <v>5</v>
      </c>
    </row>
    <row r="445" spans="1:2" x14ac:dyDescent="0.25">
      <c r="A445" s="30" t="s">
        <v>4285</v>
      </c>
      <c r="B445" s="34">
        <v>1</v>
      </c>
    </row>
    <row r="446" spans="1:2" x14ac:dyDescent="0.25">
      <c r="A446" s="30" t="s">
        <v>2840</v>
      </c>
      <c r="B446" s="34">
        <v>2</v>
      </c>
    </row>
    <row r="447" spans="1:2" x14ac:dyDescent="0.25">
      <c r="A447" s="30" t="s">
        <v>2186</v>
      </c>
      <c r="B447" s="34">
        <v>26</v>
      </c>
    </row>
    <row r="448" spans="1:2" x14ac:dyDescent="0.25">
      <c r="A448" s="30" t="s">
        <v>3912</v>
      </c>
      <c r="B448" s="34">
        <v>2</v>
      </c>
    </row>
    <row r="449" spans="1:2" x14ac:dyDescent="0.25">
      <c r="A449" s="30" t="s">
        <v>3348</v>
      </c>
      <c r="B449" s="34">
        <v>1</v>
      </c>
    </row>
    <row r="450" spans="1:2" x14ac:dyDescent="0.25">
      <c r="A450" s="30" t="s">
        <v>3388</v>
      </c>
      <c r="B450" s="34">
        <v>1</v>
      </c>
    </row>
    <row r="451" spans="1:2" x14ac:dyDescent="0.25">
      <c r="A451" s="30" t="s">
        <v>3749</v>
      </c>
      <c r="B451" s="34">
        <v>3</v>
      </c>
    </row>
    <row r="452" spans="1:2" x14ac:dyDescent="0.25">
      <c r="A452" s="30" t="s">
        <v>2758</v>
      </c>
      <c r="B452" s="34">
        <v>5</v>
      </c>
    </row>
    <row r="453" spans="1:2" x14ac:dyDescent="0.25">
      <c r="A453" s="30" t="s">
        <v>2912</v>
      </c>
      <c r="B453" s="34">
        <v>2</v>
      </c>
    </row>
    <row r="454" spans="1:2" x14ac:dyDescent="0.25">
      <c r="A454" s="30" t="s">
        <v>4899</v>
      </c>
      <c r="B454" s="34">
        <v>1</v>
      </c>
    </row>
    <row r="455" spans="1:2" x14ac:dyDescent="0.25">
      <c r="A455" s="30" t="s">
        <v>3004</v>
      </c>
      <c r="B455" s="34">
        <v>3</v>
      </c>
    </row>
    <row r="456" spans="1:2" x14ac:dyDescent="0.25">
      <c r="A456" s="30" t="s">
        <v>5107</v>
      </c>
      <c r="B456" s="34">
        <v>3</v>
      </c>
    </row>
    <row r="457" spans="1:2" x14ac:dyDescent="0.25">
      <c r="A457" s="30" t="s">
        <v>4302</v>
      </c>
      <c r="B457" s="34">
        <v>1</v>
      </c>
    </row>
    <row r="458" spans="1:2" x14ac:dyDescent="0.25">
      <c r="A458" s="30" t="s">
        <v>6144</v>
      </c>
      <c r="B458" s="34">
        <v>1</v>
      </c>
    </row>
    <row r="459" spans="1:2" x14ac:dyDescent="0.25">
      <c r="A459" s="30" t="s">
        <v>2242</v>
      </c>
      <c r="B459" s="34">
        <v>2</v>
      </c>
    </row>
    <row r="460" spans="1:2" x14ac:dyDescent="0.25">
      <c r="A460" s="30" t="s">
        <v>4962</v>
      </c>
      <c r="B460" s="34">
        <v>1</v>
      </c>
    </row>
    <row r="461" spans="1:2" x14ac:dyDescent="0.25">
      <c r="A461" s="30" t="s">
        <v>5023</v>
      </c>
      <c r="B461" s="34">
        <v>1</v>
      </c>
    </row>
    <row r="462" spans="1:2" x14ac:dyDescent="0.25">
      <c r="A462" s="30" t="s">
        <v>2229</v>
      </c>
      <c r="B462" s="34">
        <v>1</v>
      </c>
    </row>
    <row r="463" spans="1:2" x14ac:dyDescent="0.25">
      <c r="A463" s="30" t="s">
        <v>6205</v>
      </c>
      <c r="B463" s="34">
        <v>1000</v>
      </c>
    </row>
    <row r="466" spans="1:2" ht="18.75" x14ac:dyDescent="0.3">
      <c r="A466" s="37" t="s">
        <v>6217</v>
      </c>
    </row>
    <row r="468" spans="1:2" x14ac:dyDescent="0.25">
      <c r="A468" s="35" t="s">
        <v>6195</v>
      </c>
      <c r="B468" t="s">
        <v>6221</v>
      </c>
    </row>
    <row r="469" spans="1:2" x14ac:dyDescent="0.25">
      <c r="A469" s="30" t="s">
        <v>6218</v>
      </c>
      <c r="B469" s="34">
        <v>259</v>
      </c>
    </row>
    <row r="470" spans="1:2" x14ac:dyDescent="0.25">
      <c r="A470" s="30" t="s">
        <v>6219</v>
      </c>
      <c r="B470" s="34">
        <v>263</v>
      </c>
    </row>
    <row r="471" spans="1:2" x14ac:dyDescent="0.25">
      <c r="A471" s="30" t="s">
        <v>6220</v>
      </c>
      <c r="B471" s="34">
        <v>312</v>
      </c>
    </row>
    <row r="472" spans="1:2" x14ac:dyDescent="0.25">
      <c r="A472" s="30" t="s">
        <v>6206</v>
      </c>
      <c r="B472" s="34">
        <v>166</v>
      </c>
    </row>
    <row r="473" spans="1:2" x14ac:dyDescent="0.25">
      <c r="A473" s="30" t="s">
        <v>6205</v>
      </c>
      <c r="B473" s="34">
        <v>1000</v>
      </c>
    </row>
    <row r="479" spans="1:2" ht="18.75" x14ac:dyDescent="0.3">
      <c r="A479" s="36" t="s">
        <v>6223</v>
      </c>
    </row>
    <row r="481" spans="1:2" x14ac:dyDescent="0.25">
      <c r="A481" s="35" t="s">
        <v>1923</v>
      </c>
      <c r="B481" t="s">
        <v>6224</v>
      </c>
    </row>
    <row r="482" spans="1:2" x14ac:dyDescent="0.25">
      <c r="A482" s="30" t="s">
        <v>2090</v>
      </c>
      <c r="B482" s="34">
        <v>17</v>
      </c>
    </row>
    <row r="483" spans="1:2" x14ac:dyDescent="0.25">
      <c r="A483" s="30" t="s">
        <v>4975</v>
      </c>
      <c r="B483" s="34">
        <v>18</v>
      </c>
    </row>
    <row r="484" spans="1:2" x14ac:dyDescent="0.25">
      <c r="A484" s="30" t="s">
        <v>4200</v>
      </c>
      <c r="B484" s="34">
        <v>17</v>
      </c>
    </row>
    <row r="485" spans="1:2" x14ac:dyDescent="0.25">
      <c r="A485" s="30" t="s">
        <v>2846</v>
      </c>
      <c r="B485" s="34">
        <v>18</v>
      </c>
    </row>
    <row r="486" spans="1:2" x14ac:dyDescent="0.25">
      <c r="A486" s="30" t="s">
        <v>3609</v>
      </c>
      <c r="B486" s="34">
        <v>22</v>
      </c>
    </row>
    <row r="487" spans="1:2" x14ac:dyDescent="0.25">
      <c r="A487" s="30" t="s">
        <v>6205</v>
      </c>
      <c r="B487" s="34">
        <v>92</v>
      </c>
    </row>
    <row r="493" spans="1:2" ht="18.75" x14ac:dyDescent="0.3">
      <c r="A493" s="36" t="s">
        <v>6225</v>
      </c>
    </row>
    <row r="495" spans="1:2" x14ac:dyDescent="0.25">
      <c r="A495" s="35" t="s">
        <v>6196</v>
      </c>
      <c r="B495" t="s">
        <v>6209</v>
      </c>
    </row>
    <row r="496" spans="1:2" x14ac:dyDescent="0.25">
      <c r="A496" s="30" t="s">
        <v>6233</v>
      </c>
      <c r="B496" s="34">
        <v>2326.9</v>
      </c>
    </row>
    <row r="497" spans="1:2" x14ac:dyDescent="0.25">
      <c r="A497" s="30" t="s">
        <v>6237</v>
      </c>
      <c r="B497" s="34">
        <v>3089.6600000000003</v>
      </c>
    </row>
    <row r="498" spans="1:2" x14ac:dyDescent="0.25">
      <c r="A498" s="30" t="s">
        <v>6230</v>
      </c>
      <c r="B498" s="34">
        <v>3247.98</v>
      </c>
    </row>
    <row r="499" spans="1:2" x14ac:dyDescent="0.25">
      <c r="A499" s="30" t="s">
        <v>6226</v>
      </c>
      <c r="B499" s="34">
        <v>3503.0350000000008</v>
      </c>
    </row>
    <row r="500" spans="1:2" x14ac:dyDescent="0.25">
      <c r="A500" s="30" t="s">
        <v>6236</v>
      </c>
      <c r="B500" s="34">
        <v>3548.4299999999994</v>
      </c>
    </row>
    <row r="501" spans="1:2" x14ac:dyDescent="0.25">
      <c r="A501" s="30" t="s">
        <v>6234</v>
      </c>
      <c r="B501" s="34">
        <v>3633.6449999999991</v>
      </c>
    </row>
    <row r="502" spans="1:2" x14ac:dyDescent="0.25">
      <c r="A502" s="30" t="s">
        <v>6235</v>
      </c>
      <c r="B502" s="34">
        <v>3800.0750000000007</v>
      </c>
    </row>
    <row r="503" spans="1:2" x14ac:dyDescent="0.25">
      <c r="A503" s="30" t="s">
        <v>6232</v>
      </c>
      <c r="B503" s="34">
        <v>3982.915</v>
      </c>
    </row>
    <row r="504" spans="1:2" x14ac:dyDescent="0.25">
      <c r="A504" s="30" t="s">
        <v>6227</v>
      </c>
      <c r="B504" s="34">
        <v>4138.2050000000008</v>
      </c>
    </row>
    <row r="505" spans="1:2" x14ac:dyDescent="0.25">
      <c r="A505" s="30" t="s">
        <v>6229</v>
      </c>
      <c r="B505" s="34">
        <v>4224.5949999999993</v>
      </c>
    </row>
    <row r="506" spans="1:2" x14ac:dyDescent="0.25">
      <c r="A506" s="30" t="s">
        <v>6228</v>
      </c>
      <c r="B506" s="34">
        <v>4795.7750000000015</v>
      </c>
    </row>
    <row r="507" spans="1:2" x14ac:dyDescent="0.25">
      <c r="A507" s="30" t="s">
        <v>6231</v>
      </c>
      <c r="B507" s="34">
        <v>4843.04</v>
      </c>
    </row>
    <row r="508" spans="1:2" x14ac:dyDescent="0.25">
      <c r="A508" s="30" t="s">
        <v>6205</v>
      </c>
      <c r="B508" s="34">
        <v>45134.255000000012</v>
      </c>
    </row>
    <row r="511" spans="1:2" ht="18.75" x14ac:dyDescent="0.3">
      <c r="A511" s="36" t="s">
        <v>6238</v>
      </c>
    </row>
    <row r="513" spans="1:6" x14ac:dyDescent="0.25">
      <c r="A513" s="35" t="s">
        <v>6209</v>
      </c>
      <c r="B513" s="35" t="s">
        <v>6243</v>
      </c>
    </row>
    <row r="514" spans="1:6" x14ac:dyDescent="0.25">
      <c r="A514" s="35" t="s">
        <v>6196</v>
      </c>
      <c r="B514" s="26" t="s">
        <v>6189</v>
      </c>
      <c r="C514" t="s">
        <v>6192</v>
      </c>
      <c r="D514" t="s">
        <v>6191</v>
      </c>
      <c r="E514" t="s">
        <v>6190</v>
      </c>
      <c r="F514" t="s">
        <v>6205</v>
      </c>
    </row>
    <row r="515" spans="1:6" x14ac:dyDescent="0.25">
      <c r="A515" s="30" t="s">
        <v>6226</v>
      </c>
      <c r="B515" s="34">
        <v>605.14499999999998</v>
      </c>
      <c r="C515" s="34">
        <v>677.71999999999991</v>
      </c>
      <c r="D515" s="34">
        <v>1611.0699999999995</v>
      </c>
      <c r="E515" s="34">
        <v>609.09999999999991</v>
      </c>
      <c r="F515" s="34">
        <v>3503.0349999999994</v>
      </c>
    </row>
    <row r="516" spans="1:6" x14ac:dyDescent="0.25">
      <c r="A516" s="30" t="s">
        <v>6227</v>
      </c>
      <c r="B516" s="34">
        <v>1454.4949999999994</v>
      </c>
      <c r="C516" s="34">
        <v>976.41</v>
      </c>
      <c r="D516" s="34">
        <v>971.21999999999969</v>
      </c>
      <c r="E516" s="34">
        <v>736.07999999999981</v>
      </c>
      <c r="F516" s="34">
        <v>4138.204999999999</v>
      </c>
    </row>
    <row r="517" spans="1:6" x14ac:dyDescent="0.25">
      <c r="A517" s="30" t="s">
        <v>6228</v>
      </c>
      <c r="B517" s="34">
        <v>1051.48</v>
      </c>
      <c r="C517" s="34">
        <v>1264.1399999999999</v>
      </c>
      <c r="D517" s="34">
        <v>1469.8100000000002</v>
      </c>
      <c r="E517" s="34">
        <v>1010.3450000000001</v>
      </c>
      <c r="F517" s="34">
        <v>4795.7750000000005</v>
      </c>
    </row>
    <row r="518" spans="1:6" x14ac:dyDescent="0.25">
      <c r="A518" s="30" t="s">
        <v>6229</v>
      </c>
      <c r="B518" s="34">
        <v>634.34499999999991</v>
      </c>
      <c r="C518" s="34">
        <v>1560.23</v>
      </c>
      <c r="D518" s="34">
        <v>1324.6350000000002</v>
      </c>
      <c r="E518" s="34">
        <v>705.38499999999999</v>
      </c>
      <c r="F518" s="34">
        <v>4224.5950000000003</v>
      </c>
    </row>
    <row r="519" spans="1:6" x14ac:dyDescent="0.25">
      <c r="A519" s="30" t="s">
        <v>6230</v>
      </c>
      <c r="B519" s="34">
        <v>736.61500000000001</v>
      </c>
      <c r="C519" s="34">
        <v>970.33000000000015</v>
      </c>
      <c r="D519" s="34">
        <v>836.755</v>
      </c>
      <c r="E519" s="34">
        <v>704.28000000000009</v>
      </c>
      <c r="F519" s="34">
        <v>3247.9800000000005</v>
      </c>
    </row>
    <row r="520" spans="1:6" x14ac:dyDescent="0.25">
      <c r="A520" s="30" t="s">
        <v>6231</v>
      </c>
      <c r="B520" s="34">
        <v>1357.9899999999996</v>
      </c>
      <c r="C520" s="34">
        <v>1598.1949999999995</v>
      </c>
      <c r="D520" s="34">
        <v>906.07499999999982</v>
      </c>
      <c r="E520" s="34">
        <v>980.77999999999975</v>
      </c>
      <c r="F520" s="34">
        <v>4843.0399999999991</v>
      </c>
    </row>
    <row r="521" spans="1:6" x14ac:dyDescent="0.25">
      <c r="A521" s="30" t="s">
        <v>6232</v>
      </c>
      <c r="B521" s="34">
        <v>1131.9349999999997</v>
      </c>
      <c r="C521" s="34">
        <v>1141.5549999999996</v>
      </c>
      <c r="D521" s="34">
        <v>752.53500000000008</v>
      </c>
      <c r="E521" s="34">
        <v>956.89</v>
      </c>
      <c r="F521" s="34">
        <v>3982.9149999999995</v>
      </c>
    </row>
    <row r="522" spans="1:6" x14ac:dyDescent="0.25">
      <c r="A522" s="30" t="s">
        <v>6233</v>
      </c>
      <c r="B522" s="34">
        <v>761.31000000000006</v>
      </c>
      <c r="C522" s="34">
        <v>478.59</v>
      </c>
      <c r="D522" s="34">
        <v>335.84999999999991</v>
      </c>
      <c r="E522" s="34">
        <v>751.15</v>
      </c>
      <c r="F522" s="34">
        <v>2326.9</v>
      </c>
    </row>
    <row r="523" spans="1:6" x14ac:dyDescent="0.25">
      <c r="A523" s="30" t="s">
        <v>6234</v>
      </c>
      <c r="B523" s="34">
        <v>1145.79</v>
      </c>
      <c r="C523" s="34">
        <v>771.08499999999992</v>
      </c>
      <c r="D523" s="34">
        <v>699.76999999999987</v>
      </c>
      <c r="E523" s="34">
        <v>1016.9999999999999</v>
      </c>
      <c r="F523" s="34">
        <v>3633.645</v>
      </c>
    </row>
    <row r="524" spans="1:6" x14ac:dyDescent="0.25">
      <c r="A524" s="30" t="s">
        <v>6235</v>
      </c>
      <c r="B524" s="34">
        <v>977.08500000000004</v>
      </c>
      <c r="C524" s="34">
        <v>937.33</v>
      </c>
      <c r="D524" s="34">
        <v>1241.1599999999996</v>
      </c>
      <c r="E524" s="34">
        <v>644.49999999999989</v>
      </c>
      <c r="F524" s="34">
        <v>3800.0749999999998</v>
      </c>
    </row>
    <row r="525" spans="1:6" x14ac:dyDescent="0.25">
      <c r="A525" s="30" t="s">
        <v>6236</v>
      </c>
      <c r="B525" s="34">
        <v>1151.3399999999999</v>
      </c>
      <c r="C525" s="34">
        <v>771.38</v>
      </c>
      <c r="D525" s="34">
        <v>1235.7449999999999</v>
      </c>
      <c r="E525" s="34">
        <v>389.96499999999997</v>
      </c>
      <c r="F525" s="34">
        <v>3548.43</v>
      </c>
    </row>
    <row r="526" spans="1:6" x14ac:dyDescent="0.25">
      <c r="A526" s="30" t="s">
        <v>6237</v>
      </c>
      <c r="B526" s="34">
        <v>760.96499999999992</v>
      </c>
      <c r="C526" s="34">
        <v>1159.4749999999999</v>
      </c>
      <c r="D526" s="34">
        <v>669.44999999999982</v>
      </c>
      <c r="E526" s="34">
        <v>499.77</v>
      </c>
      <c r="F526" s="34">
        <v>3089.6599999999994</v>
      </c>
    </row>
    <row r="527" spans="1:6" x14ac:dyDescent="0.25">
      <c r="A527" s="30" t="s">
        <v>6205</v>
      </c>
      <c r="B527" s="34">
        <v>11768.494999999999</v>
      </c>
      <c r="C527" s="34">
        <v>12306.439999999997</v>
      </c>
      <c r="D527" s="34">
        <v>12054.075000000001</v>
      </c>
      <c r="E527" s="34">
        <v>9005.244999999999</v>
      </c>
      <c r="F527" s="34">
        <v>45134.25499999999</v>
      </c>
    </row>
    <row r="531" spans="1:2" ht="18.75" x14ac:dyDescent="0.3">
      <c r="A531" s="36" t="s">
        <v>6239</v>
      </c>
    </row>
    <row r="533" spans="1:2" x14ac:dyDescent="0.25">
      <c r="A533" s="35" t="s">
        <v>6196</v>
      </c>
      <c r="B533" t="s">
        <v>6240</v>
      </c>
    </row>
    <row r="534" spans="1:2" x14ac:dyDescent="0.25">
      <c r="A534" s="30" t="s">
        <v>6226</v>
      </c>
      <c r="B534" s="34">
        <v>91</v>
      </c>
    </row>
    <row r="535" spans="1:2" x14ac:dyDescent="0.25">
      <c r="A535" s="30" t="s">
        <v>6227</v>
      </c>
      <c r="B535" s="34">
        <v>95</v>
      </c>
    </row>
    <row r="536" spans="1:2" x14ac:dyDescent="0.25">
      <c r="A536" s="30" t="s">
        <v>6228</v>
      </c>
      <c r="B536" s="34">
        <v>109</v>
      </c>
    </row>
    <row r="537" spans="1:2" x14ac:dyDescent="0.25">
      <c r="A537" s="30" t="s">
        <v>6229</v>
      </c>
      <c r="B537" s="34">
        <v>86</v>
      </c>
    </row>
    <row r="538" spans="1:2" x14ac:dyDescent="0.25">
      <c r="A538" s="30" t="s">
        <v>6230</v>
      </c>
      <c r="B538" s="34">
        <v>79</v>
      </c>
    </row>
    <row r="539" spans="1:2" x14ac:dyDescent="0.25">
      <c r="A539" s="30" t="s">
        <v>6231</v>
      </c>
      <c r="B539" s="34">
        <v>88</v>
      </c>
    </row>
    <row r="540" spans="1:2" x14ac:dyDescent="0.25">
      <c r="A540" s="30" t="s">
        <v>6232</v>
      </c>
      <c r="B540" s="34">
        <v>91</v>
      </c>
    </row>
    <row r="541" spans="1:2" x14ac:dyDescent="0.25">
      <c r="A541" s="30" t="s">
        <v>6233</v>
      </c>
      <c r="B541" s="34">
        <v>64</v>
      </c>
    </row>
    <row r="542" spans="1:2" x14ac:dyDescent="0.25">
      <c r="A542" s="30" t="s">
        <v>6234</v>
      </c>
      <c r="B542" s="34">
        <v>73</v>
      </c>
    </row>
    <row r="543" spans="1:2" x14ac:dyDescent="0.25">
      <c r="A543" s="30" t="s">
        <v>6235</v>
      </c>
      <c r="B543" s="34">
        <v>85</v>
      </c>
    </row>
    <row r="544" spans="1:2" x14ac:dyDescent="0.25">
      <c r="A544" s="30" t="s">
        <v>6236</v>
      </c>
      <c r="B544" s="34">
        <v>68</v>
      </c>
    </row>
    <row r="545" spans="1:2" x14ac:dyDescent="0.25">
      <c r="A545" s="30" t="s">
        <v>6237</v>
      </c>
      <c r="B545" s="34">
        <v>71</v>
      </c>
    </row>
    <row r="546" spans="1:2" x14ac:dyDescent="0.25">
      <c r="A546" s="30" t="s">
        <v>6205</v>
      </c>
      <c r="B546" s="34">
        <v>1000</v>
      </c>
    </row>
    <row r="549" spans="1:2" ht="18.75" x14ac:dyDescent="0.3">
      <c r="A549" s="36" t="s">
        <v>6241</v>
      </c>
    </row>
    <row r="551" spans="1:2" x14ac:dyDescent="0.25">
      <c r="A551" s="35" t="s">
        <v>6195</v>
      </c>
      <c r="B551" t="s">
        <v>6209</v>
      </c>
    </row>
    <row r="552" spans="1:2" x14ac:dyDescent="0.25">
      <c r="A552" s="30" t="s">
        <v>6218</v>
      </c>
      <c r="B552" s="34">
        <v>12187.165000000001</v>
      </c>
    </row>
    <row r="553" spans="1:2" x14ac:dyDescent="0.25">
      <c r="A553" s="30" t="s">
        <v>6219</v>
      </c>
      <c r="B553" s="34">
        <v>12117.545</v>
      </c>
    </row>
    <row r="554" spans="1:2" x14ac:dyDescent="0.25">
      <c r="A554" s="30" t="s">
        <v>6220</v>
      </c>
      <c r="B554" s="34">
        <v>13766.109999999999</v>
      </c>
    </row>
    <row r="555" spans="1:2" x14ac:dyDescent="0.25">
      <c r="A555" s="30" t="s">
        <v>6206</v>
      </c>
      <c r="B555" s="34">
        <v>7063.435000000004</v>
      </c>
    </row>
    <row r="556" spans="1:2" x14ac:dyDescent="0.25">
      <c r="A556" s="30" t="s">
        <v>6205</v>
      </c>
      <c r="B556" s="34">
        <v>45134.255000000005</v>
      </c>
    </row>
    <row r="562" spans="1:6" ht="18.75" x14ac:dyDescent="0.3">
      <c r="A562" s="36" t="s">
        <v>6242</v>
      </c>
    </row>
    <row r="564" spans="1:6" x14ac:dyDescent="0.25">
      <c r="A564" s="35" t="s">
        <v>6209</v>
      </c>
      <c r="B564" s="35" t="s">
        <v>6199</v>
      </c>
    </row>
    <row r="565" spans="1:6" x14ac:dyDescent="0.25">
      <c r="A565" s="35" t="s">
        <v>6200</v>
      </c>
      <c r="B565" s="26" t="s">
        <v>6189</v>
      </c>
      <c r="C565" t="s">
        <v>6192</v>
      </c>
      <c r="D565" t="s">
        <v>6191</v>
      </c>
      <c r="E565" t="s">
        <v>6190</v>
      </c>
      <c r="F565" t="s">
        <v>6205</v>
      </c>
    </row>
    <row r="566" spans="1:6" x14ac:dyDescent="0.25">
      <c r="A566" s="30" t="s">
        <v>6218</v>
      </c>
      <c r="B566" s="34">
        <v>2926.63</v>
      </c>
      <c r="C566" s="34">
        <v>3481.46</v>
      </c>
      <c r="D566" s="34">
        <v>3378.0049999999992</v>
      </c>
      <c r="E566" s="34">
        <v>2401.0699999999997</v>
      </c>
      <c r="F566" s="34">
        <v>12187.164999999999</v>
      </c>
    </row>
    <row r="567" spans="1:6" x14ac:dyDescent="0.25">
      <c r="A567" s="38" t="s">
        <v>6194</v>
      </c>
      <c r="B567" s="34">
        <v>462.67499999999995</v>
      </c>
      <c r="C567" s="34">
        <v>578.34</v>
      </c>
      <c r="D567" s="34">
        <v>994.55999999999983</v>
      </c>
      <c r="E567" s="34">
        <v>737.4799999999999</v>
      </c>
      <c r="F567" s="34">
        <v>2773.0549999999998</v>
      </c>
    </row>
    <row r="568" spans="1:6" x14ac:dyDescent="0.25">
      <c r="A568" s="38" t="s">
        <v>6193</v>
      </c>
      <c r="B568" s="34">
        <v>1261.33</v>
      </c>
      <c r="C568" s="34">
        <v>2104.2449999999999</v>
      </c>
      <c r="D568" s="34">
        <v>1367.8549999999996</v>
      </c>
      <c r="E568" s="34">
        <v>891.46999999999969</v>
      </c>
      <c r="F568" s="34">
        <v>5624.8999999999987</v>
      </c>
    </row>
    <row r="569" spans="1:6" x14ac:dyDescent="0.25">
      <c r="A569" s="38" t="s">
        <v>6201</v>
      </c>
      <c r="B569" s="34">
        <v>1202.625</v>
      </c>
      <c r="C569" s="34">
        <v>798.875</v>
      </c>
      <c r="D569" s="34">
        <v>1015.5899999999999</v>
      </c>
      <c r="E569" s="34">
        <v>772.12000000000023</v>
      </c>
      <c r="F569" s="34">
        <v>3789.2100000000005</v>
      </c>
    </row>
    <row r="570" spans="1:6" x14ac:dyDescent="0.25">
      <c r="A570" s="30" t="s">
        <v>6219</v>
      </c>
      <c r="B570" s="34">
        <v>3356.4149999999995</v>
      </c>
      <c r="C570" s="34">
        <v>3663.4100000000003</v>
      </c>
      <c r="D570" s="34">
        <v>2604.4549999999995</v>
      </c>
      <c r="E570" s="34">
        <v>2493.2649999999994</v>
      </c>
      <c r="F570" s="34">
        <v>12117.544999999998</v>
      </c>
    </row>
    <row r="571" spans="1:6" x14ac:dyDescent="0.25">
      <c r="A571" s="38" t="s">
        <v>6194</v>
      </c>
      <c r="B571" s="34">
        <v>907.43999999999994</v>
      </c>
      <c r="C571" s="34">
        <v>1329.2100000000003</v>
      </c>
      <c r="D571" s="34">
        <v>1146.0749999999998</v>
      </c>
      <c r="E571" s="34">
        <v>604.125</v>
      </c>
      <c r="F571" s="34">
        <v>3986.85</v>
      </c>
    </row>
    <row r="572" spans="1:6" x14ac:dyDescent="0.25">
      <c r="A572" s="38" t="s">
        <v>6193</v>
      </c>
      <c r="B572" s="34">
        <v>1010.0999999999997</v>
      </c>
      <c r="C572" s="34">
        <v>1069.2</v>
      </c>
      <c r="D572" s="34">
        <v>963.67999999999984</v>
      </c>
      <c r="E572" s="34">
        <v>1228.4599999999996</v>
      </c>
      <c r="F572" s="34">
        <v>4271.4399999999987</v>
      </c>
    </row>
    <row r="573" spans="1:6" x14ac:dyDescent="0.25">
      <c r="A573" s="38" t="s">
        <v>6201</v>
      </c>
      <c r="B573" s="34">
        <v>1438.875</v>
      </c>
      <c r="C573" s="34">
        <v>1265</v>
      </c>
      <c r="D573" s="34">
        <v>494.7</v>
      </c>
      <c r="E573" s="34">
        <v>660.68000000000006</v>
      </c>
      <c r="F573" s="34">
        <v>3859.2550000000001</v>
      </c>
    </row>
    <row r="574" spans="1:6" x14ac:dyDescent="0.25">
      <c r="A574" s="30" t="s">
        <v>6220</v>
      </c>
      <c r="B574" s="34">
        <v>4045.63</v>
      </c>
      <c r="C574" s="34">
        <v>3469.64</v>
      </c>
      <c r="D574" s="34">
        <v>3836.6949999999988</v>
      </c>
      <c r="E574" s="34">
        <v>2414.145</v>
      </c>
      <c r="F574" s="34">
        <v>13766.109999999997</v>
      </c>
    </row>
    <row r="575" spans="1:6" x14ac:dyDescent="0.25">
      <c r="A575" s="38" t="s">
        <v>6194</v>
      </c>
      <c r="B575" s="34">
        <v>1290.5150000000001</v>
      </c>
      <c r="C575" s="34">
        <v>1194.3449999999998</v>
      </c>
      <c r="D575" s="34">
        <v>1329.9649999999992</v>
      </c>
      <c r="E575" s="34">
        <v>622.02499999999998</v>
      </c>
      <c r="F575" s="34">
        <v>4436.8499999999985</v>
      </c>
    </row>
    <row r="576" spans="1:6" x14ac:dyDescent="0.25">
      <c r="A576" s="38" t="s">
        <v>6193</v>
      </c>
      <c r="B576" s="34">
        <v>1388.24</v>
      </c>
      <c r="C576" s="34">
        <v>812.29500000000007</v>
      </c>
      <c r="D576" s="34">
        <v>1363.1</v>
      </c>
      <c r="E576" s="34">
        <v>1100.595</v>
      </c>
      <c r="F576" s="34">
        <v>4664.2299999999996</v>
      </c>
    </row>
    <row r="577" spans="1:6" x14ac:dyDescent="0.25">
      <c r="A577" s="38" t="s">
        <v>6201</v>
      </c>
      <c r="B577" s="34">
        <v>1366.875</v>
      </c>
      <c r="C577" s="34">
        <v>1463</v>
      </c>
      <c r="D577" s="34">
        <v>1143.6299999999999</v>
      </c>
      <c r="E577" s="34">
        <v>691.52499999999998</v>
      </c>
      <c r="F577" s="34">
        <v>4665.03</v>
      </c>
    </row>
    <row r="578" spans="1:6" x14ac:dyDescent="0.25">
      <c r="A578" s="30" t="s">
        <v>6206</v>
      </c>
      <c r="B578" s="34">
        <v>1439.8199999999997</v>
      </c>
      <c r="C578" s="34">
        <v>1691.9299999999998</v>
      </c>
      <c r="D578" s="34">
        <v>2234.9199999999996</v>
      </c>
      <c r="E578" s="34">
        <v>1696.7649999999999</v>
      </c>
      <c r="F578" s="34">
        <v>7063.4349999999995</v>
      </c>
    </row>
    <row r="579" spans="1:6" x14ac:dyDescent="0.25">
      <c r="A579" s="38" t="s">
        <v>6194</v>
      </c>
      <c r="B579" s="34">
        <v>387.05499999999995</v>
      </c>
      <c r="C579" s="34">
        <v>325.62000000000006</v>
      </c>
      <c r="D579" s="34">
        <v>625.4849999999999</v>
      </c>
      <c r="E579" s="34">
        <v>644.40000000000009</v>
      </c>
      <c r="F579" s="34">
        <v>1982.56</v>
      </c>
    </row>
    <row r="580" spans="1:6" x14ac:dyDescent="0.25">
      <c r="A580" s="38" t="s">
        <v>6193</v>
      </c>
      <c r="B580" s="34">
        <v>572.38999999999987</v>
      </c>
      <c r="C580" s="34">
        <v>810.80999999999983</v>
      </c>
      <c r="D580" s="34">
        <v>871.74999999999989</v>
      </c>
      <c r="E580" s="34">
        <v>538.94499999999994</v>
      </c>
      <c r="F580" s="34">
        <v>2793.8949999999995</v>
      </c>
    </row>
    <row r="581" spans="1:6" x14ac:dyDescent="0.25">
      <c r="A581" s="38" t="s">
        <v>6201</v>
      </c>
      <c r="B581" s="34">
        <v>480.375</v>
      </c>
      <c r="C581" s="34">
        <v>555.5</v>
      </c>
      <c r="D581" s="34">
        <v>737.68500000000006</v>
      </c>
      <c r="E581" s="34">
        <v>513.41999999999996</v>
      </c>
      <c r="F581" s="34">
        <v>2286.98</v>
      </c>
    </row>
    <row r="582" spans="1:6" x14ac:dyDescent="0.25">
      <c r="A582" s="30" t="s">
        <v>6205</v>
      </c>
      <c r="B582" s="34">
        <v>11768.495000000001</v>
      </c>
      <c r="C582" s="34">
        <v>12306.44</v>
      </c>
      <c r="D582" s="34">
        <v>12054.074999999997</v>
      </c>
      <c r="E582" s="34">
        <v>9005.244999999999</v>
      </c>
      <c r="F582" s="34">
        <v>45134.25499999999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BE89B-5457-4D39-9661-FE8F86347E92}">
  <dimension ref="A1"/>
  <sheetViews>
    <sheetView showGridLines="0" tabSelected="1" workbookViewId="0">
      <selection activeCell="Q6" sqref="Q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EC3E-0401-49F0-B833-42E356CF8D39}">
  <dimension ref="A1:Y1001"/>
  <sheetViews>
    <sheetView topLeftCell="N1" workbookViewId="0">
      <selection activeCell="Y8" sqref="Y8"/>
    </sheetView>
  </sheetViews>
  <sheetFormatPr defaultRowHeight="15" x14ac:dyDescent="0.25"/>
  <cols>
    <col min="1" max="1" width="15.140625" bestFit="1" customWidth="1"/>
    <col min="2" max="2" width="12.140625" style="30" customWidth="1"/>
    <col min="3" max="4" width="12.140625" customWidth="1"/>
    <col min="5" max="5" width="15.85546875" bestFit="1" customWidth="1"/>
    <col min="6" max="6" width="17.85546875" customWidth="1"/>
    <col min="7" max="7" width="30.85546875" customWidth="1"/>
    <col min="8" max="8" width="26.140625" customWidth="1"/>
    <col min="9" max="9" width="17.140625" style="26" customWidth="1"/>
    <col min="10" max="10" width="18" style="26" customWidth="1"/>
    <col min="11" max="11" width="13.42578125" customWidth="1"/>
    <col min="12" max="12" width="9.7109375" bestFit="1" customWidth="1"/>
    <col min="13" max="13" width="11.85546875" customWidth="1"/>
    <col min="14" max="14" width="10.85546875" customWidth="1"/>
    <col min="15" max="15" width="8.5703125" style="26" customWidth="1"/>
    <col min="16" max="16" width="8.7109375" customWidth="1"/>
    <col min="17" max="17" width="9" customWidth="1"/>
    <col min="18" max="18" width="9.28515625" customWidth="1"/>
    <col min="19" max="19" width="12.140625" customWidth="1"/>
    <col min="20" max="20" width="11.7109375" customWidth="1"/>
    <col min="21" max="21" width="13.85546875" customWidth="1"/>
    <col min="24" max="24" width="17.7109375" bestFit="1" customWidth="1"/>
  </cols>
  <sheetData>
    <row r="1" spans="1:25" x14ac:dyDescent="0.25">
      <c r="A1" s="13" t="s">
        <v>1918</v>
      </c>
      <c r="B1" s="27" t="s">
        <v>1919</v>
      </c>
      <c r="C1" s="20" t="s">
        <v>6195</v>
      </c>
      <c r="D1" s="14" t="s">
        <v>6196</v>
      </c>
      <c r="E1" s="15" t="s">
        <v>1920</v>
      </c>
      <c r="F1" s="15" t="s">
        <v>1923</v>
      </c>
      <c r="G1" s="15" t="s">
        <v>1924</v>
      </c>
      <c r="H1" s="15" t="s">
        <v>6198</v>
      </c>
      <c r="I1" s="24" t="s">
        <v>1933</v>
      </c>
      <c r="J1" s="24" t="s">
        <v>1925</v>
      </c>
      <c r="K1" s="15" t="s">
        <v>1935</v>
      </c>
      <c r="L1" s="15" t="s">
        <v>1921</v>
      </c>
      <c r="M1" s="15" t="s">
        <v>6199</v>
      </c>
      <c r="N1" s="15" t="s">
        <v>6200</v>
      </c>
      <c r="O1" s="24" t="s">
        <v>1922</v>
      </c>
      <c r="P1" s="16" t="s">
        <v>1928</v>
      </c>
      <c r="Q1" s="15" t="s">
        <v>1929</v>
      </c>
      <c r="R1" s="15" t="s">
        <v>1930</v>
      </c>
      <c r="S1" s="32" t="s">
        <v>6188</v>
      </c>
      <c r="T1" s="32" t="s">
        <v>6202</v>
      </c>
      <c r="U1" s="32" t="s">
        <v>6203</v>
      </c>
    </row>
    <row r="2" spans="1:25" x14ac:dyDescent="0.25">
      <c r="A2" s="1" t="s">
        <v>6204</v>
      </c>
      <c r="B2" s="28">
        <v>43713</v>
      </c>
      <c r="C2" s="21" t="str">
        <f>TEXT(B2,"yyyy")</f>
        <v>2019</v>
      </c>
      <c r="D2" s="19" t="str">
        <f>TEXT(B2,"mmmm")</f>
        <v>September</v>
      </c>
      <c r="E2" s="3" t="s">
        <v>1</v>
      </c>
      <c r="F2" s="3" t="str">
        <f>VLOOKUP(E2,Customers!$A$2:$I$1001,2,0)</f>
        <v>Aloisia Allner</v>
      </c>
      <c r="G2" s="3" t="str">
        <f>VLOOKUP(E2,Customers!$A$2:$I$1001,3,0)</f>
        <v>aallner0@lulu.com</v>
      </c>
      <c r="H2" s="3" t="str">
        <f>VLOOKUP(E2,Customers!$A$2:$I$1001,4,0)</f>
        <v>+1 (862) 817-0124</v>
      </c>
      <c r="I2" s="25" t="str">
        <f>VLOOKUP(E2,Customers!$A$2:$I$1001,6,0)</f>
        <v>Paterson</v>
      </c>
      <c r="J2" s="25" t="str">
        <f>VLOOKUP(E2,Customers!$A$2:$I$1001,7,0)</f>
        <v>United States</v>
      </c>
      <c r="K2" s="23" t="str">
        <f>VLOOKUP(E2,Customers!$A$2:$I$1001,9,0)</f>
        <v>Yes</v>
      </c>
      <c r="L2" s="4" t="s">
        <v>2</v>
      </c>
      <c r="M2" s="4" t="str">
        <f>VLOOKUP(L2,Products!$A$2:$G$49,2,0)</f>
        <v>Robusta</v>
      </c>
      <c r="N2" s="4" t="str">
        <f>VLOOKUP(L2,Products!$A$2:$G$49,3,0)</f>
        <v>Medium</v>
      </c>
      <c r="O2" s="25">
        <v>2</v>
      </c>
      <c r="P2" s="5">
        <f>INDEX([1]products!$A$1:$G$49,MATCH([1]orders!$D2,[1]products!$A$1:$A$49,0),MATCH([1]orders!K$1,[1]products!$A$1:$G$1,0))</f>
        <v>1</v>
      </c>
      <c r="Q2" s="6">
        <f>INDEX([1]products!$A$1:$G$49,MATCH([1]orders!$D2,[1]products!$A$1:$A$49,0),MATCH([1]orders!L$1,[1]products!$A$1:$G$1,0))</f>
        <v>9.9499999999999993</v>
      </c>
      <c r="R2" s="6">
        <f t="shared" ref="R2:R65" si="0">O2*Q2</f>
        <v>19.899999999999999</v>
      </c>
      <c r="S2">
        <f>VLOOKUP(L2,Products!$A$2:$G$49,7,0)</f>
        <v>0.59699999999999998</v>
      </c>
      <c r="T2">
        <f>O2*S2</f>
        <v>1.194</v>
      </c>
      <c r="U2" s="33">
        <f>T2/R2*100</f>
        <v>6.0000000000000009</v>
      </c>
    </row>
    <row r="3" spans="1:25" x14ac:dyDescent="0.25">
      <c r="A3" s="1" t="s">
        <v>0</v>
      </c>
      <c r="B3" s="28">
        <v>43713</v>
      </c>
      <c r="C3" s="21" t="str">
        <f t="shared" ref="C3:C66" si="1">TEXT(B3,"yyyy")</f>
        <v>2019</v>
      </c>
      <c r="D3" s="19" t="str">
        <f t="shared" ref="D3:D66" si="2">TEXT(B3,"mmmm")</f>
        <v>September</v>
      </c>
      <c r="E3" s="3" t="s">
        <v>1</v>
      </c>
      <c r="F3" s="3" t="str">
        <f>VLOOKUP(E3,Customers!$A$2:$I$1001,2,0)</f>
        <v>Aloisia Allner</v>
      </c>
      <c r="G3" s="3" t="str">
        <f>VLOOKUP(E3,Customers!$A$2:$I$1001,3,0)</f>
        <v>aallner0@lulu.com</v>
      </c>
      <c r="H3" s="3" t="str">
        <f>VLOOKUP(E3,Customers!$A$2:$I$1001,4,0)</f>
        <v>+1 (862) 817-0124</v>
      </c>
      <c r="I3" s="25" t="str">
        <f>VLOOKUP(E3,Customers!$A$2:$I$1001,6,0)</f>
        <v>Paterson</v>
      </c>
      <c r="J3" s="25" t="str">
        <f>VLOOKUP(E3,Customers!$A$2:$I$1001,7,0)</f>
        <v>United States</v>
      </c>
      <c r="K3" s="23" t="str">
        <f>VLOOKUP(E3,Customers!$A$2:$I$1001,9,0)</f>
        <v>Yes</v>
      </c>
      <c r="L3" s="4" t="s">
        <v>3</v>
      </c>
      <c r="M3" s="4" t="str">
        <f>VLOOKUP(L3,Products!$A$2:$G$49,2,0)</f>
        <v>Excelsa</v>
      </c>
      <c r="N3" s="4" t="str">
        <f>VLOOKUP(L3,Products!$A$2:$G$49,3,0)</f>
        <v>Medium</v>
      </c>
      <c r="O3" s="25">
        <v>5</v>
      </c>
      <c r="P3" s="5">
        <f>INDEX([1]products!$A$1:$G$49,MATCH([1]orders!$D3,[1]products!$A$1:$A$49,0),MATCH([1]orders!K$1,[1]products!$A$1:$G$1,0))</f>
        <v>0.5</v>
      </c>
      <c r="Q3" s="6">
        <f>INDEX([1]products!$A$1:$G$49,MATCH([1]orders!$D3,[1]products!$A$1:$A$49,0),MATCH([1]orders!L$1,[1]products!$A$1:$G$1,0))</f>
        <v>8.25</v>
      </c>
      <c r="R3" s="6">
        <f t="shared" si="0"/>
        <v>41.25</v>
      </c>
      <c r="S3">
        <f>VLOOKUP(L3,Products!$A$2:$G$49,7,0)</f>
        <v>0.90749999999999997</v>
      </c>
      <c r="T3">
        <f t="shared" ref="T3:T66" si="3">O3*S3</f>
        <v>4.5374999999999996</v>
      </c>
      <c r="U3" s="33">
        <f t="shared" ref="U3:U66" si="4">T3/R3*100</f>
        <v>10.999999999999998</v>
      </c>
    </row>
    <row r="4" spans="1:25" x14ac:dyDescent="0.25">
      <c r="A4" s="1" t="s">
        <v>4</v>
      </c>
      <c r="B4" s="28">
        <v>44364</v>
      </c>
      <c r="C4" s="21" t="str">
        <f t="shared" si="1"/>
        <v>2021</v>
      </c>
      <c r="D4" s="19" t="str">
        <f t="shared" si="2"/>
        <v>June</v>
      </c>
      <c r="E4" s="3" t="s">
        <v>5</v>
      </c>
      <c r="F4" s="3" t="str">
        <f>VLOOKUP(E4,Customers!$A$2:$I$1001,2,0)</f>
        <v>Jami Redholes</v>
      </c>
      <c r="G4" s="3" t="str">
        <f>VLOOKUP(E4,Customers!$A$2:$I$1001,3,0)</f>
        <v>jredholes2@tmall.com</v>
      </c>
      <c r="H4" s="3" t="str">
        <f>VLOOKUP(E4,Customers!$A$2:$I$1001,4,0)</f>
        <v>+1 (210) 986-6806</v>
      </c>
      <c r="I4" s="25" t="str">
        <f>VLOOKUP(E4,Customers!$A$2:$I$1001,6,0)</f>
        <v>San Antonio</v>
      </c>
      <c r="J4" s="25" t="str">
        <f>VLOOKUP(E4,Customers!$A$2:$I$1001,7,0)</f>
        <v>United States</v>
      </c>
      <c r="K4" s="23" t="str">
        <f>VLOOKUP(E4,Customers!$A$2:$I$1001,9,0)</f>
        <v>Yes</v>
      </c>
      <c r="L4" s="4" t="s">
        <v>6</v>
      </c>
      <c r="M4" s="4" t="str">
        <f>VLOOKUP(L4,Products!$A$2:$G$49,2,0)</f>
        <v>Arabica</v>
      </c>
      <c r="N4" s="4" t="str">
        <f>VLOOKUP(L4,Products!$A$2:$G$49,3,0)</f>
        <v>Light</v>
      </c>
      <c r="O4" s="25">
        <v>1</v>
      </c>
      <c r="P4" s="5">
        <f>INDEX([1]products!$A$1:$G$49,MATCH([1]orders!$D4,[1]products!$A$1:$A$49,0),MATCH([1]orders!K$1,[1]products!$A$1:$G$1,0))</f>
        <v>1</v>
      </c>
      <c r="Q4" s="6">
        <f>INDEX([1]products!$A$1:$G$49,MATCH([1]orders!$D4,[1]products!$A$1:$A$49,0),MATCH([1]orders!L$1,[1]products!$A$1:$G$1,0))</f>
        <v>12.95</v>
      </c>
      <c r="R4" s="6">
        <f t="shared" si="0"/>
        <v>12.95</v>
      </c>
      <c r="S4">
        <f>VLOOKUP(L4,Products!$A$2:$G$49,7,0)</f>
        <v>1.1655</v>
      </c>
      <c r="T4">
        <f t="shared" si="3"/>
        <v>1.1655</v>
      </c>
      <c r="U4" s="33">
        <f t="shared" si="4"/>
        <v>9</v>
      </c>
    </row>
    <row r="5" spans="1:25" x14ac:dyDescent="0.25">
      <c r="A5" s="1" t="s">
        <v>7</v>
      </c>
      <c r="B5" s="28">
        <v>44392</v>
      </c>
      <c r="C5" s="21" t="str">
        <f t="shared" si="1"/>
        <v>2021</v>
      </c>
      <c r="D5" s="19" t="str">
        <f t="shared" si="2"/>
        <v>July</v>
      </c>
      <c r="E5" s="3" t="s">
        <v>8</v>
      </c>
      <c r="F5" s="3" t="str">
        <f>VLOOKUP(E5,Customers!$A$2:$I$1001,2,0)</f>
        <v>Christoffer O' Shea</v>
      </c>
      <c r="G5" s="3" t="str">
        <f>VLOOKUP(E5,Customers!$A$2:$I$1001,3,0)</f>
        <v>UNKNOWN</v>
      </c>
      <c r="H5" s="3" t="str">
        <f>VLOOKUP(E5,Customers!$A$2:$I$1001,4,0)</f>
        <v>+353 (698) 362-9201</v>
      </c>
      <c r="I5" s="25" t="str">
        <f>VLOOKUP(E5,Customers!$A$2:$I$1001,6,0)</f>
        <v>Cill Airne</v>
      </c>
      <c r="J5" s="25" t="str">
        <f>VLOOKUP(E5,Customers!$A$2:$I$1001,7,0)</f>
        <v>Ireland</v>
      </c>
      <c r="K5" s="23" t="str">
        <f>VLOOKUP(E5,Customers!$A$2:$I$1001,9,0)</f>
        <v>No</v>
      </c>
      <c r="L5" s="4" t="s">
        <v>9</v>
      </c>
      <c r="M5" s="4" t="str">
        <f>VLOOKUP(L5,Products!$A$2:$G$49,2,0)</f>
        <v>Excelsa</v>
      </c>
      <c r="N5" s="4" t="str">
        <f>VLOOKUP(L5,Products!$A$2:$G$49,3,0)</f>
        <v>Medium</v>
      </c>
      <c r="O5" s="25">
        <v>2</v>
      </c>
      <c r="P5" s="5">
        <f>INDEX([1]products!$A$1:$G$49,MATCH([1]orders!$D5,[1]products!$A$1:$A$49,0),MATCH([1]orders!K$1,[1]products!$A$1:$G$1,0))</f>
        <v>1</v>
      </c>
      <c r="Q5" s="6">
        <f>INDEX([1]products!$A$1:$G$49,MATCH([1]orders!$D5,[1]products!$A$1:$A$49,0),MATCH([1]orders!L$1,[1]products!$A$1:$G$1,0))</f>
        <v>13.75</v>
      </c>
      <c r="R5" s="6">
        <f t="shared" si="0"/>
        <v>27.5</v>
      </c>
      <c r="S5">
        <f>VLOOKUP(L5,Products!$A$2:$G$49,7,0)</f>
        <v>1.5125</v>
      </c>
      <c r="T5">
        <f t="shared" si="3"/>
        <v>3.0249999999999999</v>
      </c>
      <c r="U5" s="33">
        <f t="shared" si="4"/>
        <v>11</v>
      </c>
    </row>
    <row r="6" spans="1:25" x14ac:dyDescent="0.25">
      <c r="A6" s="1" t="s">
        <v>7</v>
      </c>
      <c r="B6" s="28">
        <v>44392</v>
      </c>
      <c r="C6" s="21" t="str">
        <f t="shared" si="1"/>
        <v>2021</v>
      </c>
      <c r="D6" s="19" t="str">
        <f t="shared" si="2"/>
        <v>July</v>
      </c>
      <c r="E6" s="3" t="s">
        <v>8</v>
      </c>
      <c r="F6" s="3" t="str">
        <f>VLOOKUP(E6,Customers!$A$2:$I$1001,2,0)</f>
        <v>Christoffer O' Shea</v>
      </c>
      <c r="G6" s="3" t="str">
        <f>VLOOKUP(E6,Customers!$A$2:$I$1001,3,0)</f>
        <v>UNKNOWN</v>
      </c>
      <c r="H6" s="3" t="str">
        <f>VLOOKUP(E6,Customers!$A$2:$I$1001,4,0)</f>
        <v>+353 (698) 362-9201</v>
      </c>
      <c r="I6" s="25" t="str">
        <f>VLOOKUP(E6,Customers!$A$2:$I$1001,6,0)</f>
        <v>Cill Airne</v>
      </c>
      <c r="J6" s="25" t="str">
        <f>VLOOKUP(E6,Customers!$A$2:$I$1001,7,0)</f>
        <v>Ireland</v>
      </c>
      <c r="K6" s="23" t="str">
        <f>VLOOKUP(E6,Customers!$A$2:$I$1001,9,0)</f>
        <v>No</v>
      </c>
      <c r="L6" s="4" t="s">
        <v>10</v>
      </c>
      <c r="M6" s="4" t="str">
        <f>VLOOKUP(L6,Products!$A$2:$G$49,2,0)</f>
        <v>Robusta</v>
      </c>
      <c r="N6" s="4" t="str">
        <f>VLOOKUP(L6,Products!$A$2:$G$49,3,0)</f>
        <v>Light</v>
      </c>
      <c r="O6" s="25">
        <v>2</v>
      </c>
      <c r="P6" s="5">
        <f>INDEX([1]products!$A$1:$G$49,MATCH([1]orders!$D6,[1]products!$A$1:$A$49,0),MATCH([1]orders!K$1,[1]products!$A$1:$G$1,0))</f>
        <v>2.5</v>
      </c>
      <c r="Q6" s="6">
        <f>INDEX([1]products!$A$1:$G$49,MATCH([1]orders!$D6,[1]products!$A$1:$A$49,0),MATCH([1]orders!L$1,[1]products!$A$1:$G$1,0))</f>
        <v>27.484999999999996</v>
      </c>
      <c r="R6" s="6">
        <f t="shared" si="0"/>
        <v>54.969999999999992</v>
      </c>
      <c r="S6">
        <f>VLOOKUP(L6,Products!$A$2:$G$49,7,0)</f>
        <v>1.6490999999999998</v>
      </c>
      <c r="T6">
        <f t="shared" si="3"/>
        <v>3.2981999999999996</v>
      </c>
      <c r="U6" s="33">
        <f t="shared" si="4"/>
        <v>6.0000000000000009</v>
      </c>
    </row>
    <row r="7" spans="1:25" x14ac:dyDescent="0.25">
      <c r="A7" s="1" t="s">
        <v>11</v>
      </c>
      <c r="B7" s="28">
        <v>44412</v>
      </c>
      <c r="C7" s="21" t="str">
        <f t="shared" si="1"/>
        <v>2021</v>
      </c>
      <c r="D7" s="19" t="str">
        <f t="shared" si="2"/>
        <v>August</v>
      </c>
      <c r="E7" s="3" t="s">
        <v>12</v>
      </c>
      <c r="F7" s="3" t="str">
        <f>VLOOKUP(E7,Customers!$A$2:$I$1001,2,0)</f>
        <v>Beryle Cottier</v>
      </c>
      <c r="G7" s="3" t="str">
        <f>VLOOKUP(E7,Customers!$A$2:$I$1001,3,0)</f>
        <v>UNKNOWN</v>
      </c>
      <c r="H7" s="3" t="str">
        <f>VLOOKUP(E7,Customers!$A$2:$I$1001,4,0)</f>
        <v>+1 (570) 289-7473</v>
      </c>
      <c r="I7" s="25" t="str">
        <f>VLOOKUP(E7,Customers!$A$2:$I$1001,6,0)</f>
        <v>Scranton</v>
      </c>
      <c r="J7" s="25" t="str">
        <f>VLOOKUP(E7,Customers!$A$2:$I$1001,7,0)</f>
        <v>United States</v>
      </c>
      <c r="K7" s="23" t="str">
        <f>VLOOKUP(E7,Customers!$A$2:$I$1001,9,0)</f>
        <v>No</v>
      </c>
      <c r="L7" s="4" t="s">
        <v>13</v>
      </c>
      <c r="M7" s="4" t="str">
        <f>VLOOKUP(L7,Products!$A$2:$G$49,2,0)</f>
        <v>Liberica</v>
      </c>
      <c r="N7" s="4" t="str">
        <f>VLOOKUP(L7,Products!$A$2:$G$49,3,0)</f>
        <v>Dark</v>
      </c>
      <c r="O7" s="25">
        <v>3</v>
      </c>
      <c r="P7" s="5">
        <f>INDEX([1]products!$A$1:$G$49,MATCH([1]orders!$D7,[1]products!$A$1:$A$49,0),MATCH([1]orders!K$1,[1]products!$A$1:$G$1,0))</f>
        <v>1</v>
      </c>
      <c r="Q7" s="6">
        <f>INDEX([1]products!$A$1:$G$49,MATCH([1]orders!$D7,[1]products!$A$1:$A$49,0),MATCH([1]orders!L$1,[1]products!$A$1:$G$1,0))</f>
        <v>12.95</v>
      </c>
      <c r="R7" s="6">
        <f t="shared" si="0"/>
        <v>38.849999999999994</v>
      </c>
      <c r="S7">
        <f>VLOOKUP(L7,Products!$A$2:$G$49,7,0)</f>
        <v>1.6835</v>
      </c>
      <c r="T7">
        <f t="shared" si="3"/>
        <v>5.0504999999999995</v>
      </c>
      <c r="U7" s="33">
        <f t="shared" si="4"/>
        <v>13</v>
      </c>
      <c r="X7" t="s">
        <v>6245</v>
      </c>
    </row>
    <row r="8" spans="1:25" x14ac:dyDescent="0.25">
      <c r="A8" s="1" t="s">
        <v>14</v>
      </c>
      <c r="B8" s="28">
        <v>44582</v>
      </c>
      <c r="C8" s="21" t="str">
        <f t="shared" si="1"/>
        <v>2022</v>
      </c>
      <c r="D8" s="19" t="str">
        <f t="shared" si="2"/>
        <v>January</v>
      </c>
      <c r="E8" s="3" t="s">
        <v>15</v>
      </c>
      <c r="F8" s="3" t="str">
        <f>VLOOKUP(E8,Customers!$A$2:$I$1001,2,0)</f>
        <v>Shaylynn Lobe</v>
      </c>
      <c r="G8" s="3" t="str">
        <f>VLOOKUP(E8,Customers!$A$2:$I$1001,3,0)</f>
        <v>slobe6@nifty.com</v>
      </c>
      <c r="H8" s="3" t="str">
        <f>VLOOKUP(E8,Customers!$A$2:$I$1001,4,0)</f>
        <v>+1 (937) 954-4541</v>
      </c>
      <c r="I8" s="25" t="str">
        <f>VLOOKUP(E8,Customers!$A$2:$I$1001,6,0)</f>
        <v>Dayton</v>
      </c>
      <c r="J8" s="25" t="str">
        <f>VLOOKUP(E8,Customers!$A$2:$I$1001,7,0)</f>
        <v>United States</v>
      </c>
      <c r="K8" s="23" t="str">
        <f>VLOOKUP(E8,Customers!$A$2:$I$1001,9,0)</f>
        <v>Yes</v>
      </c>
      <c r="L8" s="4" t="s">
        <v>16</v>
      </c>
      <c r="M8" s="4" t="str">
        <f>VLOOKUP(L8,Products!$A$2:$G$49,2,0)</f>
        <v>Excelsa</v>
      </c>
      <c r="N8" s="4" t="str">
        <f>VLOOKUP(L8,Products!$A$2:$G$49,3,0)</f>
        <v>Dark</v>
      </c>
      <c r="O8" s="25">
        <v>3</v>
      </c>
      <c r="P8" s="5">
        <f>INDEX([1]products!$A$1:$G$49,MATCH([1]orders!$D8,[1]products!$A$1:$A$49,0),MATCH([1]orders!K$1,[1]products!$A$1:$G$1,0))</f>
        <v>0.5</v>
      </c>
      <c r="Q8" s="6">
        <f>INDEX([1]products!$A$1:$G$49,MATCH([1]orders!$D8,[1]products!$A$1:$A$49,0),MATCH([1]orders!L$1,[1]products!$A$1:$G$1,0))</f>
        <v>7.29</v>
      </c>
      <c r="R8" s="6">
        <f t="shared" si="0"/>
        <v>21.87</v>
      </c>
      <c r="S8">
        <f>VLOOKUP(L8,Products!$A$2:$G$49,7,0)</f>
        <v>0.80190000000000006</v>
      </c>
      <c r="T8">
        <f t="shared" si="3"/>
        <v>2.4057000000000004</v>
      </c>
      <c r="U8" s="33">
        <f t="shared" si="4"/>
        <v>11.000000000000002</v>
      </c>
      <c r="X8" s="34">
        <v>4520.2174000000014</v>
      </c>
      <c r="Y8">
        <f>GETPIVOTDATA("Total Profit",$X$7)</f>
        <v>4520.2174000000014</v>
      </c>
    </row>
    <row r="9" spans="1:25" x14ac:dyDescent="0.25">
      <c r="A9" s="1" t="s">
        <v>17</v>
      </c>
      <c r="B9" s="28">
        <v>44701</v>
      </c>
      <c r="C9" s="21" t="str">
        <f t="shared" si="1"/>
        <v>2022</v>
      </c>
      <c r="D9" s="19" t="str">
        <f t="shared" si="2"/>
        <v>May</v>
      </c>
      <c r="E9" s="3" t="s">
        <v>18</v>
      </c>
      <c r="F9" s="3" t="str">
        <f>VLOOKUP(E9,Customers!$A$2:$I$1001,2,0)</f>
        <v>Melvin Wharfe</v>
      </c>
      <c r="G9" s="3" t="str">
        <f>VLOOKUP(E9,Customers!$A$2:$I$1001,3,0)</f>
        <v>UNKNOWN</v>
      </c>
      <c r="H9" s="3" t="str">
        <f>VLOOKUP(E9,Customers!$A$2:$I$1001,4,0)</f>
        <v>+353 (507) 574-3034</v>
      </c>
      <c r="I9" s="25" t="str">
        <f>VLOOKUP(E9,Customers!$A$2:$I$1001,6,0)</f>
        <v>Kill</v>
      </c>
      <c r="J9" s="25" t="str">
        <f>VLOOKUP(E9,Customers!$A$2:$I$1001,7,0)</f>
        <v>Ireland</v>
      </c>
      <c r="K9" s="23" t="str">
        <f>VLOOKUP(E9,Customers!$A$2:$I$1001,9,0)</f>
        <v>Yes</v>
      </c>
      <c r="L9" s="4" t="s">
        <v>19</v>
      </c>
      <c r="M9" s="4" t="str">
        <f>VLOOKUP(L9,Products!$A$2:$G$49,2,0)</f>
        <v>Liberica</v>
      </c>
      <c r="N9" s="4" t="str">
        <f>VLOOKUP(L9,Products!$A$2:$G$49,3,0)</f>
        <v>Light</v>
      </c>
      <c r="O9" s="25">
        <v>1</v>
      </c>
      <c r="P9" s="5">
        <f>INDEX([1]products!$A$1:$G$49,MATCH([1]orders!$D9,[1]products!$A$1:$A$49,0),MATCH([1]orders!K$1,[1]products!$A$1:$G$1,0))</f>
        <v>0.2</v>
      </c>
      <c r="Q9" s="6">
        <f>INDEX([1]products!$A$1:$G$49,MATCH([1]orders!$D9,[1]products!$A$1:$A$49,0),MATCH([1]orders!L$1,[1]products!$A$1:$G$1,0))</f>
        <v>4.7549999999999999</v>
      </c>
      <c r="R9" s="6">
        <f t="shared" si="0"/>
        <v>4.7549999999999999</v>
      </c>
      <c r="S9">
        <f>VLOOKUP(L9,Products!$A$2:$G$49,7,0)</f>
        <v>0.61814999999999998</v>
      </c>
      <c r="T9">
        <f t="shared" si="3"/>
        <v>0.61814999999999998</v>
      </c>
      <c r="U9" s="33">
        <f t="shared" si="4"/>
        <v>13</v>
      </c>
    </row>
    <row r="10" spans="1:25" x14ac:dyDescent="0.25">
      <c r="A10" s="1" t="s">
        <v>20</v>
      </c>
      <c r="B10" s="28">
        <v>43467</v>
      </c>
      <c r="C10" s="21" t="str">
        <f t="shared" si="1"/>
        <v>2019</v>
      </c>
      <c r="D10" s="19" t="str">
        <f t="shared" si="2"/>
        <v>January</v>
      </c>
      <c r="E10" s="3" t="s">
        <v>21</v>
      </c>
      <c r="F10" s="3" t="str">
        <f>VLOOKUP(E10,Customers!$A$2:$I$1001,2,0)</f>
        <v>Guthrey Petracci</v>
      </c>
      <c r="G10" s="3" t="str">
        <f>VLOOKUP(E10,Customers!$A$2:$I$1001,3,0)</f>
        <v>gpetracci8@livejournal.com</v>
      </c>
      <c r="H10" s="3" t="str">
        <f>VLOOKUP(E10,Customers!$A$2:$I$1001,4,0)</f>
        <v>+1 (310) 868-1842</v>
      </c>
      <c r="I10" s="25" t="str">
        <f>VLOOKUP(E10,Customers!$A$2:$I$1001,6,0)</f>
        <v>Los Angeles</v>
      </c>
      <c r="J10" s="25" t="str">
        <f>VLOOKUP(E10,Customers!$A$2:$I$1001,7,0)</f>
        <v>United States</v>
      </c>
      <c r="K10" s="23" t="str">
        <f>VLOOKUP(E10,Customers!$A$2:$I$1001,9,0)</f>
        <v>No</v>
      </c>
      <c r="L10" s="4" t="s">
        <v>22</v>
      </c>
      <c r="M10" s="4" t="str">
        <f>VLOOKUP(L10,Products!$A$2:$G$49,2,0)</f>
        <v>Robusta</v>
      </c>
      <c r="N10" s="4" t="str">
        <f>VLOOKUP(L10,Products!$A$2:$G$49,3,0)</f>
        <v>Medium</v>
      </c>
      <c r="O10" s="25">
        <v>3</v>
      </c>
      <c r="P10" s="5">
        <f>INDEX([1]products!$A$1:$G$49,MATCH([1]orders!$D10,[1]products!$A$1:$A$49,0),MATCH([1]orders!K$1,[1]products!$A$1:$G$1,0))</f>
        <v>0.5</v>
      </c>
      <c r="Q10" s="6">
        <f>INDEX([1]products!$A$1:$G$49,MATCH([1]orders!$D10,[1]products!$A$1:$A$49,0),MATCH([1]orders!L$1,[1]products!$A$1:$G$1,0))</f>
        <v>5.97</v>
      </c>
      <c r="R10" s="6">
        <f t="shared" si="0"/>
        <v>17.91</v>
      </c>
      <c r="S10">
        <f>VLOOKUP(L10,Products!$A$2:$G$49,7,0)</f>
        <v>0.35819999999999996</v>
      </c>
      <c r="T10">
        <f t="shared" si="3"/>
        <v>1.0745999999999998</v>
      </c>
      <c r="U10" s="33">
        <f t="shared" si="4"/>
        <v>5.9999999999999982</v>
      </c>
    </row>
    <row r="11" spans="1:25" x14ac:dyDescent="0.25">
      <c r="A11" s="1" t="s">
        <v>23</v>
      </c>
      <c r="B11" s="28">
        <v>43713</v>
      </c>
      <c r="C11" s="21" t="str">
        <f t="shared" si="1"/>
        <v>2019</v>
      </c>
      <c r="D11" s="19" t="str">
        <f t="shared" si="2"/>
        <v>September</v>
      </c>
      <c r="E11" s="3" t="s">
        <v>24</v>
      </c>
      <c r="F11" s="3" t="str">
        <f>VLOOKUP(E11,Customers!$A$2:$I$1001,2,0)</f>
        <v>Rodger Raven</v>
      </c>
      <c r="G11" s="3" t="str">
        <f>VLOOKUP(E11,Customers!$A$2:$I$1001,3,0)</f>
        <v>rraven9@ed.gov</v>
      </c>
      <c r="H11" s="3" t="str">
        <f>VLOOKUP(E11,Customers!$A$2:$I$1001,4,0)</f>
        <v>+1 (213) 263-0288</v>
      </c>
      <c r="I11" s="25" t="str">
        <f>VLOOKUP(E11,Customers!$A$2:$I$1001,6,0)</f>
        <v>Los Angeles</v>
      </c>
      <c r="J11" s="25" t="str">
        <f>VLOOKUP(E11,Customers!$A$2:$I$1001,7,0)</f>
        <v>United States</v>
      </c>
      <c r="K11" s="23" t="str">
        <f>VLOOKUP(E11,Customers!$A$2:$I$1001,9,0)</f>
        <v>No</v>
      </c>
      <c r="L11" s="4" t="s">
        <v>22</v>
      </c>
      <c r="M11" s="4" t="str">
        <f>VLOOKUP(L11,Products!$A$2:$G$49,2,0)</f>
        <v>Robusta</v>
      </c>
      <c r="N11" s="4" t="str">
        <f>VLOOKUP(L11,Products!$A$2:$G$49,3,0)</f>
        <v>Medium</v>
      </c>
      <c r="O11" s="25">
        <v>1</v>
      </c>
      <c r="P11" s="5">
        <f>INDEX([1]products!$A$1:$G$49,MATCH([1]orders!$D11,[1]products!$A$1:$A$49,0),MATCH([1]orders!K$1,[1]products!$A$1:$G$1,0))</f>
        <v>0.5</v>
      </c>
      <c r="Q11" s="6">
        <f>INDEX([1]products!$A$1:$G$49,MATCH([1]orders!$D11,[1]products!$A$1:$A$49,0),MATCH([1]orders!L$1,[1]products!$A$1:$G$1,0))</f>
        <v>5.97</v>
      </c>
      <c r="R11" s="6">
        <f t="shared" si="0"/>
        <v>5.97</v>
      </c>
      <c r="S11">
        <f>VLOOKUP(L11,Products!$A$2:$G$49,7,0)</f>
        <v>0.35819999999999996</v>
      </c>
      <c r="T11">
        <f t="shared" si="3"/>
        <v>0.35819999999999996</v>
      </c>
      <c r="U11" s="33">
        <f t="shared" si="4"/>
        <v>6</v>
      </c>
      <c r="X11" t="s">
        <v>6244</v>
      </c>
    </row>
    <row r="12" spans="1:25" x14ac:dyDescent="0.25">
      <c r="A12" s="1" t="s">
        <v>25</v>
      </c>
      <c r="B12" s="28">
        <v>44263</v>
      </c>
      <c r="C12" s="21" t="str">
        <f t="shared" si="1"/>
        <v>2021</v>
      </c>
      <c r="D12" s="19" t="str">
        <f t="shared" si="2"/>
        <v>March</v>
      </c>
      <c r="E12" s="3" t="s">
        <v>26</v>
      </c>
      <c r="F12" s="3" t="str">
        <f>VLOOKUP(E12,Customers!$A$2:$I$1001,2,0)</f>
        <v>Ferrell Ferber</v>
      </c>
      <c r="G12" s="3" t="str">
        <f>VLOOKUP(E12,Customers!$A$2:$I$1001,3,0)</f>
        <v>fferbera@businesswire.com</v>
      </c>
      <c r="H12" s="3" t="str">
        <f>VLOOKUP(E12,Customers!$A$2:$I$1001,4,0)</f>
        <v>+1 (408) 383-5302</v>
      </c>
      <c r="I12" s="25" t="str">
        <f>VLOOKUP(E12,Customers!$A$2:$I$1001,6,0)</f>
        <v>San Jose</v>
      </c>
      <c r="J12" s="25" t="str">
        <f>VLOOKUP(E12,Customers!$A$2:$I$1001,7,0)</f>
        <v>United States</v>
      </c>
      <c r="K12" s="23" t="str">
        <f>VLOOKUP(E12,Customers!$A$2:$I$1001,9,0)</f>
        <v>No</v>
      </c>
      <c r="L12" s="4" t="s">
        <v>27</v>
      </c>
      <c r="M12" s="4" t="str">
        <f>VLOOKUP(L12,Products!$A$2:$G$49,2,0)</f>
        <v>Arabica</v>
      </c>
      <c r="N12" s="4" t="str">
        <f>VLOOKUP(L12,Products!$A$2:$G$49,3,0)</f>
        <v>Dark</v>
      </c>
      <c r="O12" s="25">
        <v>4</v>
      </c>
      <c r="P12" s="5">
        <f>INDEX([1]products!$A$1:$G$49,MATCH([1]orders!$D12,[1]products!$A$1:$A$49,0),MATCH([1]orders!K$1,[1]products!$A$1:$G$1,0))</f>
        <v>1</v>
      </c>
      <c r="Q12" s="6">
        <f>INDEX([1]products!$A$1:$G$49,MATCH([1]orders!$D12,[1]products!$A$1:$A$49,0),MATCH([1]orders!L$1,[1]products!$A$1:$G$1,0))</f>
        <v>9.9499999999999993</v>
      </c>
      <c r="R12" s="6">
        <f t="shared" si="0"/>
        <v>39.799999999999997</v>
      </c>
      <c r="S12">
        <f>VLOOKUP(L12,Products!$A$2:$G$49,7,0)</f>
        <v>0.89549999999999985</v>
      </c>
      <c r="T12">
        <f t="shared" si="3"/>
        <v>3.5819999999999994</v>
      </c>
      <c r="U12" s="33">
        <f t="shared" si="4"/>
        <v>9</v>
      </c>
      <c r="X12" s="34">
        <v>1000</v>
      </c>
      <c r="Y12" s="34">
        <f>GETPIVOTDATA("Customer Name",$X$11)</f>
        <v>1000</v>
      </c>
    </row>
    <row r="13" spans="1:25" x14ac:dyDescent="0.25">
      <c r="A13" s="1" t="s">
        <v>28</v>
      </c>
      <c r="B13" s="28">
        <v>44132</v>
      </c>
      <c r="C13" s="21" t="str">
        <f t="shared" si="1"/>
        <v>2020</v>
      </c>
      <c r="D13" s="19" t="str">
        <f t="shared" si="2"/>
        <v>October</v>
      </c>
      <c r="E13" s="3" t="s">
        <v>29</v>
      </c>
      <c r="F13" s="3" t="str">
        <f>VLOOKUP(E13,Customers!$A$2:$I$1001,2,0)</f>
        <v>Duky Phizackerly</v>
      </c>
      <c r="G13" s="3" t="str">
        <f>VLOOKUP(E13,Customers!$A$2:$I$1001,3,0)</f>
        <v>dphizackerlyb@utexas.edu</v>
      </c>
      <c r="H13" s="3" t="str">
        <f>VLOOKUP(E13,Customers!$A$2:$I$1001,4,0)</f>
        <v>+1 (408) 533-6012</v>
      </c>
      <c r="I13" s="25" t="str">
        <f>VLOOKUP(E13,Customers!$A$2:$I$1001,6,0)</f>
        <v>San Jose</v>
      </c>
      <c r="J13" s="25" t="str">
        <f>VLOOKUP(E13,Customers!$A$2:$I$1001,7,0)</f>
        <v>United States</v>
      </c>
      <c r="K13" s="23" t="str">
        <f>VLOOKUP(E13,Customers!$A$2:$I$1001,9,0)</f>
        <v>Yes</v>
      </c>
      <c r="L13" s="4" t="s">
        <v>30</v>
      </c>
      <c r="M13" s="4" t="str">
        <f>VLOOKUP(L13,Products!$A$2:$G$49,2,0)</f>
        <v>Excelsa</v>
      </c>
      <c r="N13" s="4" t="str">
        <f>VLOOKUP(L13,Products!$A$2:$G$49,3,0)</f>
        <v>Light</v>
      </c>
      <c r="O13" s="25">
        <v>5</v>
      </c>
      <c r="P13" s="5">
        <f>INDEX([1]products!$A$1:$G$49,MATCH([1]orders!$D13,[1]products!$A$1:$A$49,0),MATCH([1]orders!K$1,[1]products!$A$1:$G$1,0))</f>
        <v>2.5</v>
      </c>
      <c r="Q13" s="6">
        <f>INDEX([1]products!$A$1:$G$49,MATCH([1]orders!$D13,[1]products!$A$1:$A$49,0),MATCH([1]orders!L$1,[1]products!$A$1:$G$1,0))</f>
        <v>34.154999999999994</v>
      </c>
      <c r="R13" s="6">
        <f t="shared" si="0"/>
        <v>170.77499999999998</v>
      </c>
      <c r="S13">
        <f>VLOOKUP(L13,Products!$A$2:$G$49,7,0)</f>
        <v>3.7570499999999996</v>
      </c>
      <c r="T13">
        <f t="shared" si="3"/>
        <v>18.785249999999998</v>
      </c>
      <c r="U13" s="33">
        <f t="shared" si="4"/>
        <v>11</v>
      </c>
    </row>
    <row r="14" spans="1:25" x14ac:dyDescent="0.25">
      <c r="A14" s="1" t="s">
        <v>31</v>
      </c>
      <c r="B14" s="28">
        <v>44744</v>
      </c>
      <c r="C14" s="21" t="str">
        <f t="shared" si="1"/>
        <v>2022</v>
      </c>
      <c r="D14" s="19" t="str">
        <f t="shared" si="2"/>
        <v>July</v>
      </c>
      <c r="E14" s="3" t="s">
        <v>32</v>
      </c>
      <c r="F14" s="3" t="str">
        <f>VLOOKUP(E14,Customers!$A$2:$I$1001,2,0)</f>
        <v>Rosaleen Scholar</v>
      </c>
      <c r="G14" s="3" t="str">
        <f>VLOOKUP(E14,Customers!$A$2:$I$1001,3,0)</f>
        <v>rscholarc@nyu.edu</v>
      </c>
      <c r="H14" s="3" t="str">
        <f>VLOOKUP(E14,Customers!$A$2:$I$1001,4,0)</f>
        <v>+1 (804) 420-0420</v>
      </c>
      <c r="I14" s="25" t="str">
        <f>VLOOKUP(E14,Customers!$A$2:$I$1001,6,0)</f>
        <v>Richmond</v>
      </c>
      <c r="J14" s="25" t="str">
        <f>VLOOKUP(E14,Customers!$A$2:$I$1001,7,0)</f>
        <v>United States</v>
      </c>
      <c r="K14" s="23" t="str">
        <f>VLOOKUP(E14,Customers!$A$2:$I$1001,9,0)</f>
        <v>No</v>
      </c>
      <c r="L14" s="4" t="s">
        <v>2</v>
      </c>
      <c r="M14" s="4" t="str">
        <f>VLOOKUP(L14,Products!$A$2:$G$49,2,0)</f>
        <v>Robusta</v>
      </c>
      <c r="N14" s="4" t="str">
        <f>VLOOKUP(L14,Products!$A$2:$G$49,3,0)</f>
        <v>Medium</v>
      </c>
      <c r="O14" s="25">
        <v>5</v>
      </c>
      <c r="P14" s="5">
        <f>INDEX([1]products!$A$1:$G$49,MATCH([1]orders!$D14,[1]products!$A$1:$A$49,0),MATCH([1]orders!K$1,[1]products!$A$1:$G$1,0))</f>
        <v>1</v>
      </c>
      <c r="Q14" s="6">
        <f>INDEX([1]products!$A$1:$G$49,MATCH([1]orders!$D14,[1]products!$A$1:$A$49,0),MATCH([1]orders!L$1,[1]products!$A$1:$G$1,0))</f>
        <v>9.9499999999999993</v>
      </c>
      <c r="R14" s="6">
        <f t="shared" si="0"/>
        <v>49.75</v>
      </c>
      <c r="S14">
        <f>VLOOKUP(L14,Products!$A$2:$G$49,7,0)</f>
        <v>0.59699999999999998</v>
      </c>
      <c r="T14">
        <f t="shared" si="3"/>
        <v>2.9849999999999999</v>
      </c>
      <c r="U14" s="33">
        <f t="shared" si="4"/>
        <v>6</v>
      </c>
    </row>
    <row r="15" spans="1:25" x14ac:dyDescent="0.25">
      <c r="A15" s="1" t="s">
        <v>33</v>
      </c>
      <c r="B15" s="28">
        <v>43973</v>
      </c>
      <c r="C15" s="21" t="str">
        <f t="shared" si="1"/>
        <v>2020</v>
      </c>
      <c r="D15" s="19" t="str">
        <f t="shared" si="2"/>
        <v>May</v>
      </c>
      <c r="E15" s="3" t="s">
        <v>34</v>
      </c>
      <c r="F15" s="3" t="str">
        <f>VLOOKUP(E15,Customers!$A$2:$I$1001,2,0)</f>
        <v>Terence Vanyutin</v>
      </c>
      <c r="G15" s="3" t="str">
        <f>VLOOKUP(E15,Customers!$A$2:$I$1001,3,0)</f>
        <v>tvanyutind@wix.com</v>
      </c>
      <c r="H15" s="3" t="str">
        <f>VLOOKUP(E15,Customers!$A$2:$I$1001,4,0)</f>
        <v>UNKNOWN</v>
      </c>
      <c r="I15" s="25" t="str">
        <f>VLOOKUP(E15,Customers!$A$2:$I$1001,6,0)</f>
        <v>Migrate</v>
      </c>
      <c r="J15" s="25" t="str">
        <f>VLOOKUP(E15,Customers!$A$2:$I$1001,7,0)</f>
        <v>United States</v>
      </c>
      <c r="K15" s="23" t="str">
        <f>VLOOKUP(E15,Customers!$A$2:$I$1001,9,0)</f>
        <v>No</v>
      </c>
      <c r="L15" s="4" t="s">
        <v>35</v>
      </c>
      <c r="M15" s="4" t="str">
        <f>VLOOKUP(L15,Products!$A$2:$G$49,2,0)</f>
        <v>Robusta</v>
      </c>
      <c r="N15" s="4" t="str">
        <f>VLOOKUP(L15,Products!$A$2:$G$49,3,0)</f>
        <v>Dark</v>
      </c>
      <c r="O15" s="25">
        <v>2</v>
      </c>
      <c r="P15" s="5">
        <f>INDEX([1]products!$A$1:$G$49,MATCH([1]orders!$D15,[1]products!$A$1:$A$49,0),MATCH([1]orders!K$1,[1]products!$A$1:$G$1,0))</f>
        <v>2.5</v>
      </c>
      <c r="Q15" s="6">
        <f>INDEX([1]products!$A$1:$G$49,MATCH([1]orders!$D15,[1]products!$A$1:$A$49,0),MATCH([1]orders!L$1,[1]products!$A$1:$G$1,0))</f>
        <v>20.584999999999997</v>
      </c>
      <c r="R15" s="6">
        <f t="shared" si="0"/>
        <v>41.169999999999995</v>
      </c>
      <c r="S15">
        <f>VLOOKUP(L15,Products!$A$2:$G$49,7,0)</f>
        <v>1.2350999999999999</v>
      </c>
      <c r="T15">
        <f t="shared" si="3"/>
        <v>2.4701999999999997</v>
      </c>
      <c r="U15" s="33">
        <f t="shared" si="4"/>
        <v>6.0000000000000009</v>
      </c>
    </row>
    <row r="16" spans="1:25" x14ac:dyDescent="0.25">
      <c r="A16" s="1" t="s">
        <v>36</v>
      </c>
      <c r="B16" s="28">
        <v>44656</v>
      </c>
      <c r="C16" s="21" t="str">
        <f t="shared" si="1"/>
        <v>2022</v>
      </c>
      <c r="D16" s="19" t="str">
        <f t="shared" si="2"/>
        <v>April</v>
      </c>
      <c r="E16" s="3" t="s">
        <v>37</v>
      </c>
      <c r="F16" s="3" t="str">
        <f>VLOOKUP(E16,Customers!$A$2:$I$1001,2,0)</f>
        <v>Patrice Trobe</v>
      </c>
      <c r="G16" s="3" t="str">
        <f>VLOOKUP(E16,Customers!$A$2:$I$1001,3,0)</f>
        <v>ptrobee@wunderground.com</v>
      </c>
      <c r="H16" s="3" t="str">
        <f>VLOOKUP(E16,Customers!$A$2:$I$1001,4,0)</f>
        <v>+1 (314) 240-7896</v>
      </c>
      <c r="I16" s="25" t="str">
        <f>VLOOKUP(E16,Customers!$A$2:$I$1001,6,0)</f>
        <v>Saint Louis</v>
      </c>
      <c r="J16" s="25" t="str">
        <f>VLOOKUP(E16,Customers!$A$2:$I$1001,7,0)</f>
        <v>United States</v>
      </c>
      <c r="K16" s="23" t="str">
        <f>VLOOKUP(E16,Customers!$A$2:$I$1001,9,0)</f>
        <v>Yes</v>
      </c>
      <c r="L16" s="4" t="s">
        <v>38</v>
      </c>
      <c r="M16" s="4" t="str">
        <f>VLOOKUP(L16,Products!$A$2:$G$49,2,0)</f>
        <v>Liberica</v>
      </c>
      <c r="N16" s="4" t="str">
        <f>VLOOKUP(L16,Products!$A$2:$G$49,3,0)</f>
        <v>Dark</v>
      </c>
      <c r="O16" s="25">
        <v>3</v>
      </c>
      <c r="P16" s="5">
        <f>INDEX([1]products!$A$1:$G$49,MATCH([1]orders!$D16,[1]products!$A$1:$A$49,0),MATCH([1]orders!K$1,[1]products!$A$1:$G$1,0))</f>
        <v>0.2</v>
      </c>
      <c r="Q16" s="6">
        <f>INDEX([1]products!$A$1:$G$49,MATCH([1]orders!$D16,[1]products!$A$1:$A$49,0),MATCH([1]orders!L$1,[1]products!$A$1:$G$1,0))</f>
        <v>3.8849999999999998</v>
      </c>
      <c r="R16" s="6">
        <f t="shared" si="0"/>
        <v>11.654999999999999</v>
      </c>
      <c r="S16">
        <f>VLOOKUP(L16,Products!$A$2:$G$49,7,0)</f>
        <v>0.50505</v>
      </c>
      <c r="T16">
        <f t="shared" si="3"/>
        <v>1.51515</v>
      </c>
      <c r="U16" s="33">
        <f t="shared" si="4"/>
        <v>13</v>
      </c>
    </row>
    <row r="17" spans="1:21" x14ac:dyDescent="0.25">
      <c r="A17" s="1" t="s">
        <v>39</v>
      </c>
      <c r="B17" s="28">
        <v>44719</v>
      </c>
      <c r="C17" s="21" t="str">
        <f t="shared" si="1"/>
        <v>2022</v>
      </c>
      <c r="D17" s="19" t="str">
        <f t="shared" si="2"/>
        <v>June</v>
      </c>
      <c r="E17" s="3" t="s">
        <v>40</v>
      </c>
      <c r="F17" s="3" t="str">
        <f>VLOOKUP(E17,Customers!$A$2:$I$1001,2,0)</f>
        <v>Llywellyn Oscroft</v>
      </c>
      <c r="G17" s="3" t="str">
        <f>VLOOKUP(E17,Customers!$A$2:$I$1001,3,0)</f>
        <v>loscroftf@ebay.co.uk</v>
      </c>
      <c r="H17" s="3" t="str">
        <f>VLOOKUP(E17,Customers!$A$2:$I$1001,4,0)</f>
        <v>UNKNOWN</v>
      </c>
      <c r="I17" s="25" t="str">
        <f>VLOOKUP(E17,Customers!$A$2:$I$1001,6,0)</f>
        <v>Philadelphia</v>
      </c>
      <c r="J17" s="25" t="str">
        <f>VLOOKUP(E17,Customers!$A$2:$I$1001,7,0)</f>
        <v>United States</v>
      </c>
      <c r="K17" s="23" t="str">
        <f>VLOOKUP(E17,Customers!$A$2:$I$1001,9,0)</f>
        <v>No</v>
      </c>
      <c r="L17" s="4" t="s">
        <v>41</v>
      </c>
      <c r="M17" s="4" t="str">
        <f>VLOOKUP(L17,Products!$A$2:$G$49,2,0)</f>
        <v>Robusta</v>
      </c>
      <c r="N17" s="4" t="str">
        <f>VLOOKUP(L17,Products!$A$2:$G$49,3,0)</f>
        <v>Medium</v>
      </c>
      <c r="O17" s="25">
        <v>5</v>
      </c>
      <c r="P17" s="5">
        <f>INDEX([1]products!$A$1:$G$49,MATCH([1]orders!$D17,[1]products!$A$1:$A$49,0),MATCH([1]orders!K$1,[1]products!$A$1:$G$1,0))</f>
        <v>2.5</v>
      </c>
      <c r="Q17" s="6">
        <f>INDEX([1]products!$A$1:$G$49,MATCH([1]orders!$D17,[1]products!$A$1:$A$49,0),MATCH([1]orders!L$1,[1]products!$A$1:$G$1,0))</f>
        <v>22.884999999999998</v>
      </c>
      <c r="R17" s="6">
        <f t="shared" si="0"/>
        <v>114.42499999999998</v>
      </c>
      <c r="S17">
        <f>VLOOKUP(L17,Products!$A$2:$G$49,7,0)</f>
        <v>1.3730999999999998</v>
      </c>
      <c r="T17">
        <f t="shared" si="3"/>
        <v>6.865499999999999</v>
      </c>
      <c r="U17" s="33">
        <f t="shared" si="4"/>
        <v>6</v>
      </c>
    </row>
    <row r="18" spans="1:21" x14ac:dyDescent="0.25">
      <c r="A18" s="1" t="s">
        <v>42</v>
      </c>
      <c r="B18" s="28">
        <v>43544</v>
      </c>
      <c r="C18" s="21" t="str">
        <f t="shared" si="1"/>
        <v>2019</v>
      </c>
      <c r="D18" s="19" t="str">
        <f t="shared" si="2"/>
        <v>March</v>
      </c>
      <c r="E18" s="3" t="s">
        <v>43</v>
      </c>
      <c r="F18" s="3" t="str">
        <f>VLOOKUP(E18,Customers!$A$2:$I$1001,2,0)</f>
        <v>Minni Alabaster</v>
      </c>
      <c r="G18" s="3" t="str">
        <f>VLOOKUP(E18,Customers!$A$2:$I$1001,3,0)</f>
        <v>malabasterg@hexun.com</v>
      </c>
      <c r="H18" s="3" t="str">
        <f>VLOOKUP(E18,Customers!$A$2:$I$1001,4,0)</f>
        <v>+1 (971) 483-6255</v>
      </c>
      <c r="I18" s="25" t="str">
        <f>VLOOKUP(E18,Customers!$A$2:$I$1001,6,0)</f>
        <v>Portland</v>
      </c>
      <c r="J18" s="25" t="str">
        <f>VLOOKUP(E18,Customers!$A$2:$I$1001,7,0)</f>
        <v>United States</v>
      </c>
      <c r="K18" s="23" t="str">
        <f>VLOOKUP(E18,Customers!$A$2:$I$1001,9,0)</f>
        <v>No</v>
      </c>
      <c r="L18" s="4" t="s">
        <v>44</v>
      </c>
      <c r="M18" s="4" t="str">
        <f>VLOOKUP(L18,Products!$A$2:$G$49,2,0)</f>
        <v>Arabica</v>
      </c>
      <c r="N18" s="4" t="str">
        <f>VLOOKUP(L18,Products!$A$2:$G$49,3,0)</f>
        <v>Medium</v>
      </c>
      <c r="O18" s="25">
        <v>6</v>
      </c>
      <c r="P18" s="5">
        <f>INDEX([1]products!$A$1:$G$49,MATCH([1]orders!$D18,[1]products!$A$1:$A$49,0),MATCH([1]orders!K$1,[1]products!$A$1:$G$1,0))</f>
        <v>0.2</v>
      </c>
      <c r="Q18" s="6">
        <f>INDEX([1]products!$A$1:$G$49,MATCH([1]orders!$D18,[1]products!$A$1:$A$49,0),MATCH([1]orders!L$1,[1]products!$A$1:$G$1,0))</f>
        <v>3.375</v>
      </c>
      <c r="R18" s="6">
        <f t="shared" si="0"/>
        <v>20.25</v>
      </c>
      <c r="S18">
        <f>VLOOKUP(L18,Products!$A$2:$G$49,7,0)</f>
        <v>0.30374999999999996</v>
      </c>
      <c r="T18">
        <f t="shared" si="3"/>
        <v>1.8224999999999998</v>
      </c>
      <c r="U18" s="33">
        <f t="shared" si="4"/>
        <v>8.9999999999999982</v>
      </c>
    </row>
    <row r="19" spans="1:21" x14ac:dyDescent="0.25">
      <c r="A19" s="1" t="s">
        <v>45</v>
      </c>
      <c r="B19" s="28">
        <v>43757</v>
      </c>
      <c r="C19" s="21" t="str">
        <f t="shared" si="1"/>
        <v>2019</v>
      </c>
      <c r="D19" s="19" t="str">
        <f t="shared" si="2"/>
        <v>October</v>
      </c>
      <c r="E19" s="3" t="s">
        <v>46</v>
      </c>
      <c r="F19" s="3" t="str">
        <f>VLOOKUP(E19,Customers!$A$2:$I$1001,2,0)</f>
        <v>Rhianon Broxup</v>
      </c>
      <c r="G19" s="3" t="str">
        <f>VLOOKUP(E19,Customers!$A$2:$I$1001,3,0)</f>
        <v>rbroxuph@jimdo.com</v>
      </c>
      <c r="H19" s="3" t="str">
        <f>VLOOKUP(E19,Customers!$A$2:$I$1001,4,0)</f>
        <v>+1 (713) 663-1338</v>
      </c>
      <c r="I19" s="25" t="str">
        <f>VLOOKUP(E19,Customers!$A$2:$I$1001,6,0)</f>
        <v>Houston</v>
      </c>
      <c r="J19" s="25" t="str">
        <f>VLOOKUP(E19,Customers!$A$2:$I$1001,7,0)</f>
        <v>United States</v>
      </c>
      <c r="K19" s="23" t="str">
        <f>VLOOKUP(E19,Customers!$A$2:$I$1001,9,0)</f>
        <v>No</v>
      </c>
      <c r="L19" s="4" t="s">
        <v>6</v>
      </c>
      <c r="M19" s="4" t="str">
        <f>VLOOKUP(L19,Products!$A$2:$G$49,2,0)</f>
        <v>Arabica</v>
      </c>
      <c r="N19" s="4" t="str">
        <f>VLOOKUP(L19,Products!$A$2:$G$49,3,0)</f>
        <v>Light</v>
      </c>
      <c r="O19" s="25">
        <v>6</v>
      </c>
      <c r="P19" s="5">
        <f>INDEX([1]products!$A$1:$G$49,MATCH([1]orders!$D19,[1]products!$A$1:$A$49,0),MATCH([1]orders!K$1,[1]products!$A$1:$G$1,0))</f>
        <v>1</v>
      </c>
      <c r="Q19" s="6">
        <f>INDEX([1]products!$A$1:$G$49,MATCH([1]orders!$D19,[1]products!$A$1:$A$49,0),MATCH([1]orders!L$1,[1]products!$A$1:$G$1,0))</f>
        <v>12.95</v>
      </c>
      <c r="R19" s="6">
        <f t="shared" si="0"/>
        <v>77.699999999999989</v>
      </c>
      <c r="S19">
        <f>VLOOKUP(L19,Products!$A$2:$G$49,7,0)</f>
        <v>1.1655</v>
      </c>
      <c r="T19">
        <f t="shared" si="3"/>
        <v>6.9930000000000003</v>
      </c>
      <c r="U19" s="33">
        <f t="shared" si="4"/>
        <v>9.0000000000000018</v>
      </c>
    </row>
    <row r="20" spans="1:21" x14ac:dyDescent="0.25">
      <c r="A20" s="1" t="s">
        <v>47</v>
      </c>
      <c r="B20" s="28">
        <v>43629</v>
      </c>
      <c r="C20" s="21" t="str">
        <f t="shared" si="1"/>
        <v>2019</v>
      </c>
      <c r="D20" s="19" t="str">
        <f t="shared" si="2"/>
        <v>June</v>
      </c>
      <c r="E20" s="3" t="s">
        <v>48</v>
      </c>
      <c r="F20" s="3" t="str">
        <f>VLOOKUP(E20,Customers!$A$2:$I$1001,2,0)</f>
        <v>Pall Redford</v>
      </c>
      <c r="G20" s="3" t="str">
        <f>VLOOKUP(E20,Customers!$A$2:$I$1001,3,0)</f>
        <v>predfordi@ow.ly</v>
      </c>
      <c r="H20" s="3" t="str">
        <f>VLOOKUP(E20,Customers!$A$2:$I$1001,4,0)</f>
        <v>UNKNOWN</v>
      </c>
      <c r="I20" s="25" t="str">
        <f>VLOOKUP(E20,Customers!$A$2:$I$1001,6,0)</f>
        <v>Caherconlish</v>
      </c>
      <c r="J20" s="25" t="str">
        <f>VLOOKUP(E20,Customers!$A$2:$I$1001,7,0)</f>
        <v>Ireland</v>
      </c>
      <c r="K20" s="23" t="str">
        <f>VLOOKUP(E20,Customers!$A$2:$I$1001,9,0)</f>
        <v>Yes</v>
      </c>
      <c r="L20" s="4" t="s">
        <v>35</v>
      </c>
      <c r="M20" s="4" t="str">
        <f>VLOOKUP(L20,Products!$A$2:$G$49,2,0)</f>
        <v>Robusta</v>
      </c>
      <c r="N20" s="4" t="str">
        <f>VLOOKUP(L20,Products!$A$2:$G$49,3,0)</f>
        <v>Dark</v>
      </c>
      <c r="O20" s="25">
        <v>4</v>
      </c>
      <c r="P20" s="5">
        <f>INDEX([1]products!$A$1:$G$49,MATCH([1]orders!$D20,[1]products!$A$1:$A$49,0),MATCH([1]orders!K$1,[1]products!$A$1:$G$1,0))</f>
        <v>2.5</v>
      </c>
      <c r="Q20" s="6">
        <f>INDEX([1]products!$A$1:$G$49,MATCH([1]orders!$D20,[1]products!$A$1:$A$49,0),MATCH([1]orders!L$1,[1]products!$A$1:$G$1,0))</f>
        <v>20.584999999999997</v>
      </c>
      <c r="R20" s="6">
        <f t="shared" si="0"/>
        <v>82.339999999999989</v>
      </c>
      <c r="S20">
        <f>VLOOKUP(L20,Products!$A$2:$G$49,7,0)</f>
        <v>1.2350999999999999</v>
      </c>
      <c r="T20">
        <f t="shared" si="3"/>
        <v>4.9403999999999995</v>
      </c>
      <c r="U20" s="33">
        <f t="shared" si="4"/>
        <v>6.0000000000000009</v>
      </c>
    </row>
    <row r="21" spans="1:21" x14ac:dyDescent="0.25">
      <c r="A21" s="1" t="s">
        <v>49</v>
      </c>
      <c r="B21" s="28">
        <v>44169</v>
      </c>
      <c r="C21" s="21" t="str">
        <f t="shared" si="1"/>
        <v>2020</v>
      </c>
      <c r="D21" s="19" t="str">
        <f t="shared" si="2"/>
        <v>December</v>
      </c>
      <c r="E21" s="3" t="s">
        <v>50</v>
      </c>
      <c r="F21" s="3" t="str">
        <f>VLOOKUP(E21,Customers!$A$2:$I$1001,2,0)</f>
        <v>Aurea Corradino</v>
      </c>
      <c r="G21" s="3" t="str">
        <f>VLOOKUP(E21,Customers!$A$2:$I$1001,3,0)</f>
        <v>acorradinoj@harvard.edu</v>
      </c>
      <c r="H21" s="3" t="str">
        <f>VLOOKUP(E21,Customers!$A$2:$I$1001,4,0)</f>
        <v>+1 (646) 202-5965</v>
      </c>
      <c r="I21" s="25" t="str">
        <f>VLOOKUP(E21,Customers!$A$2:$I$1001,6,0)</f>
        <v>New York City</v>
      </c>
      <c r="J21" s="25" t="str">
        <f>VLOOKUP(E21,Customers!$A$2:$I$1001,7,0)</f>
        <v>United States</v>
      </c>
      <c r="K21" s="23" t="str">
        <f>VLOOKUP(E21,Customers!$A$2:$I$1001,9,0)</f>
        <v>Yes</v>
      </c>
      <c r="L21" s="4" t="s">
        <v>44</v>
      </c>
      <c r="M21" s="4" t="str">
        <f>VLOOKUP(L21,Products!$A$2:$G$49,2,0)</f>
        <v>Arabica</v>
      </c>
      <c r="N21" s="4" t="str">
        <f>VLOOKUP(L21,Products!$A$2:$G$49,3,0)</f>
        <v>Medium</v>
      </c>
      <c r="O21" s="25">
        <v>5</v>
      </c>
      <c r="P21" s="5">
        <f>INDEX([1]products!$A$1:$G$49,MATCH([1]orders!$D21,[1]products!$A$1:$A$49,0),MATCH([1]orders!K$1,[1]products!$A$1:$G$1,0))</f>
        <v>0.2</v>
      </c>
      <c r="Q21" s="6">
        <f>INDEX([1]products!$A$1:$G$49,MATCH([1]orders!$D21,[1]products!$A$1:$A$49,0),MATCH([1]orders!L$1,[1]products!$A$1:$G$1,0))</f>
        <v>3.375</v>
      </c>
      <c r="R21" s="6">
        <f t="shared" si="0"/>
        <v>16.875</v>
      </c>
      <c r="S21">
        <f>VLOOKUP(L21,Products!$A$2:$G$49,7,0)</f>
        <v>0.30374999999999996</v>
      </c>
      <c r="T21">
        <f t="shared" si="3"/>
        <v>1.5187499999999998</v>
      </c>
      <c r="U21" s="33">
        <f t="shared" si="4"/>
        <v>8.9999999999999982</v>
      </c>
    </row>
    <row r="22" spans="1:21" x14ac:dyDescent="0.25">
      <c r="A22" s="1" t="s">
        <v>49</v>
      </c>
      <c r="B22" s="28">
        <v>44169</v>
      </c>
      <c r="C22" s="21" t="str">
        <f t="shared" si="1"/>
        <v>2020</v>
      </c>
      <c r="D22" s="19" t="str">
        <f t="shared" si="2"/>
        <v>December</v>
      </c>
      <c r="E22" s="3" t="s">
        <v>50</v>
      </c>
      <c r="F22" s="3" t="str">
        <f>VLOOKUP(E22,Customers!$A$2:$I$1001,2,0)</f>
        <v>Aurea Corradino</v>
      </c>
      <c r="G22" s="3" t="str">
        <f>VLOOKUP(E22,Customers!$A$2:$I$1001,3,0)</f>
        <v>acorradinoj@harvard.edu</v>
      </c>
      <c r="H22" s="3" t="str">
        <f>VLOOKUP(E22,Customers!$A$2:$I$1001,4,0)</f>
        <v>+1 (646) 202-5965</v>
      </c>
      <c r="I22" s="25" t="str">
        <f>VLOOKUP(E22,Customers!$A$2:$I$1001,6,0)</f>
        <v>New York City</v>
      </c>
      <c r="J22" s="25" t="str">
        <f>VLOOKUP(E22,Customers!$A$2:$I$1001,7,0)</f>
        <v>United States</v>
      </c>
      <c r="K22" s="23" t="str">
        <f>VLOOKUP(E22,Customers!$A$2:$I$1001,9,0)</f>
        <v>Yes</v>
      </c>
      <c r="L22" s="4" t="s">
        <v>51</v>
      </c>
      <c r="M22" s="4" t="str">
        <f>VLOOKUP(L22,Products!$A$2:$G$49,2,0)</f>
        <v>Excelsa</v>
      </c>
      <c r="N22" s="4" t="str">
        <f>VLOOKUP(L22,Products!$A$2:$G$49,3,0)</f>
        <v>Dark</v>
      </c>
      <c r="O22" s="25">
        <v>4</v>
      </c>
      <c r="P22" s="5">
        <f>INDEX([1]products!$A$1:$G$49,MATCH([1]orders!$D22,[1]products!$A$1:$A$49,0),MATCH([1]orders!K$1,[1]products!$A$1:$G$1,0))</f>
        <v>0.2</v>
      </c>
      <c r="Q22" s="6">
        <f>INDEX([1]products!$A$1:$G$49,MATCH([1]orders!$D22,[1]products!$A$1:$A$49,0),MATCH([1]orders!L$1,[1]products!$A$1:$G$1,0))</f>
        <v>3.645</v>
      </c>
      <c r="R22" s="6">
        <f t="shared" si="0"/>
        <v>14.58</v>
      </c>
      <c r="S22">
        <f>VLOOKUP(L22,Products!$A$2:$G$49,7,0)</f>
        <v>0.40095000000000003</v>
      </c>
      <c r="T22">
        <f t="shared" si="3"/>
        <v>1.6038000000000001</v>
      </c>
      <c r="U22" s="33">
        <f t="shared" si="4"/>
        <v>11</v>
      </c>
    </row>
    <row r="23" spans="1:21" x14ac:dyDescent="0.25">
      <c r="A23" s="1" t="s">
        <v>52</v>
      </c>
      <c r="B23" s="28">
        <v>44169</v>
      </c>
      <c r="C23" s="21" t="str">
        <f t="shared" si="1"/>
        <v>2020</v>
      </c>
      <c r="D23" s="19" t="str">
        <f t="shared" si="2"/>
        <v>December</v>
      </c>
      <c r="E23" s="3" t="s">
        <v>53</v>
      </c>
      <c r="F23" s="3" t="str">
        <f>VLOOKUP(E23,Customers!$A$2:$I$1001,2,0)</f>
        <v>Avrit Davidowsky</v>
      </c>
      <c r="G23" s="3" t="str">
        <f>VLOOKUP(E23,Customers!$A$2:$I$1001,3,0)</f>
        <v>adavidowskyl@netvibes.com</v>
      </c>
      <c r="H23" s="3" t="str">
        <f>VLOOKUP(E23,Customers!$A$2:$I$1001,4,0)</f>
        <v>+1 (616) 481-9962</v>
      </c>
      <c r="I23" s="25" t="str">
        <f>VLOOKUP(E23,Customers!$A$2:$I$1001,6,0)</f>
        <v>Grand Rapids</v>
      </c>
      <c r="J23" s="25" t="str">
        <f>VLOOKUP(E23,Customers!$A$2:$I$1001,7,0)</f>
        <v>United States</v>
      </c>
      <c r="K23" s="23" t="str">
        <f>VLOOKUP(E23,Customers!$A$2:$I$1001,9,0)</f>
        <v>No</v>
      </c>
      <c r="L23" s="4" t="s">
        <v>54</v>
      </c>
      <c r="M23" s="4" t="str">
        <f>VLOOKUP(L23,Products!$A$2:$G$49,2,0)</f>
        <v>Arabica</v>
      </c>
      <c r="N23" s="4" t="str">
        <f>VLOOKUP(L23,Products!$A$2:$G$49,3,0)</f>
        <v>Dark</v>
      </c>
      <c r="O23" s="25">
        <v>6</v>
      </c>
      <c r="P23" s="5">
        <f>INDEX([1]products!$A$1:$G$49,MATCH([1]orders!$D23,[1]products!$A$1:$A$49,0),MATCH([1]orders!K$1,[1]products!$A$1:$G$1,0))</f>
        <v>0.2</v>
      </c>
      <c r="Q23" s="6">
        <f>INDEX([1]products!$A$1:$G$49,MATCH([1]orders!$D23,[1]products!$A$1:$A$49,0),MATCH([1]orders!L$1,[1]products!$A$1:$G$1,0))</f>
        <v>2.9849999999999999</v>
      </c>
      <c r="R23" s="6">
        <f t="shared" si="0"/>
        <v>17.91</v>
      </c>
      <c r="S23">
        <f>VLOOKUP(L23,Products!$A$2:$G$49,7,0)</f>
        <v>0.26865</v>
      </c>
      <c r="T23">
        <f t="shared" si="3"/>
        <v>1.6118999999999999</v>
      </c>
      <c r="U23" s="33">
        <f t="shared" si="4"/>
        <v>9</v>
      </c>
    </row>
    <row r="24" spans="1:21" x14ac:dyDescent="0.25">
      <c r="A24" s="1" t="s">
        <v>55</v>
      </c>
      <c r="B24" s="28">
        <v>44218</v>
      </c>
      <c r="C24" s="21" t="str">
        <f t="shared" si="1"/>
        <v>2021</v>
      </c>
      <c r="D24" s="19" t="str">
        <f t="shared" si="2"/>
        <v>January</v>
      </c>
      <c r="E24" s="3" t="s">
        <v>56</v>
      </c>
      <c r="F24" s="3" t="str">
        <f>VLOOKUP(E24,Customers!$A$2:$I$1001,2,0)</f>
        <v>Annabel Antuk</v>
      </c>
      <c r="G24" s="3" t="str">
        <f>VLOOKUP(E24,Customers!$A$2:$I$1001,3,0)</f>
        <v>aantukm@kickstarter.com</v>
      </c>
      <c r="H24" s="3" t="str">
        <f>VLOOKUP(E24,Customers!$A$2:$I$1001,4,0)</f>
        <v>+1 (941) 740-6268</v>
      </c>
      <c r="I24" s="25" t="str">
        <f>VLOOKUP(E24,Customers!$A$2:$I$1001,6,0)</f>
        <v>Punta Gorda</v>
      </c>
      <c r="J24" s="25" t="str">
        <f>VLOOKUP(E24,Customers!$A$2:$I$1001,7,0)</f>
        <v>United States</v>
      </c>
      <c r="K24" s="23" t="str">
        <f>VLOOKUP(E24,Customers!$A$2:$I$1001,9,0)</f>
        <v>Yes</v>
      </c>
      <c r="L24" s="4" t="s">
        <v>41</v>
      </c>
      <c r="M24" s="4" t="str">
        <f>VLOOKUP(L24,Products!$A$2:$G$49,2,0)</f>
        <v>Robusta</v>
      </c>
      <c r="N24" s="4" t="str">
        <f>VLOOKUP(L24,Products!$A$2:$G$49,3,0)</f>
        <v>Medium</v>
      </c>
      <c r="O24" s="25">
        <v>4</v>
      </c>
      <c r="P24" s="5">
        <f>INDEX([1]products!$A$1:$G$49,MATCH([1]orders!$D24,[1]products!$A$1:$A$49,0),MATCH([1]orders!K$1,[1]products!$A$1:$G$1,0))</f>
        <v>2.5</v>
      </c>
      <c r="Q24" s="6">
        <f>INDEX([1]products!$A$1:$G$49,MATCH([1]orders!$D24,[1]products!$A$1:$A$49,0),MATCH([1]orders!L$1,[1]products!$A$1:$G$1,0))</f>
        <v>22.884999999999998</v>
      </c>
      <c r="R24" s="6">
        <f t="shared" si="0"/>
        <v>91.539999999999992</v>
      </c>
      <c r="S24">
        <f>VLOOKUP(L24,Products!$A$2:$G$49,7,0)</f>
        <v>1.3730999999999998</v>
      </c>
      <c r="T24">
        <f t="shared" si="3"/>
        <v>5.4923999999999991</v>
      </c>
      <c r="U24" s="33">
        <f t="shared" si="4"/>
        <v>6</v>
      </c>
    </row>
    <row r="25" spans="1:21" x14ac:dyDescent="0.25">
      <c r="A25" s="1" t="s">
        <v>57</v>
      </c>
      <c r="B25" s="28">
        <v>44603</v>
      </c>
      <c r="C25" s="21" t="str">
        <f t="shared" si="1"/>
        <v>2022</v>
      </c>
      <c r="D25" s="19" t="str">
        <f t="shared" si="2"/>
        <v>February</v>
      </c>
      <c r="E25" s="3" t="s">
        <v>58</v>
      </c>
      <c r="F25" s="3" t="str">
        <f>VLOOKUP(E25,Customers!$A$2:$I$1001,2,0)</f>
        <v>Iorgo Kleinert</v>
      </c>
      <c r="G25" s="3" t="str">
        <f>VLOOKUP(E25,Customers!$A$2:$I$1001,3,0)</f>
        <v>ikleinertn@timesonline.co.uk</v>
      </c>
      <c r="H25" s="3" t="str">
        <f>VLOOKUP(E25,Customers!$A$2:$I$1001,4,0)</f>
        <v>+1 (360) 352-6598</v>
      </c>
      <c r="I25" s="25" t="str">
        <f>VLOOKUP(E25,Customers!$A$2:$I$1001,6,0)</f>
        <v>Vancouver</v>
      </c>
      <c r="J25" s="25" t="str">
        <f>VLOOKUP(E25,Customers!$A$2:$I$1001,7,0)</f>
        <v>United States</v>
      </c>
      <c r="K25" s="23" t="str">
        <f>VLOOKUP(E25,Customers!$A$2:$I$1001,9,0)</f>
        <v>Yes</v>
      </c>
      <c r="L25" s="4" t="s">
        <v>54</v>
      </c>
      <c r="M25" s="4" t="str">
        <f>VLOOKUP(L25,Products!$A$2:$G$49,2,0)</f>
        <v>Arabica</v>
      </c>
      <c r="N25" s="4" t="str">
        <f>VLOOKUP(L25,Products!$A$2:$G$49,3,0)</f>
        <v>Dark</v>
      </c>
      <c r="O25" s="25">
        <v>4</v>
      </c>
      <c r="P25" s="5">
        <f>INDEX([1]products!$A$1:$G$49,MATCH([1]orders!$D25,[1]products!$A$1:$A$49,0),MATCH([1]orders!K$1,[1]products!$A$1:$G$1,0))</f>
        <v>0.2</v>
      </c>
      <c r="Q25" s="6">
        <f>INDEX([1]products!$A$1:$G$49,MATCH([1]orders!$D25,[1]products!$A$1:$A$49,0),MATCH([1]orders!L$1,[1]products!$A$1:$G$1,0))</f>
        <v>2.9849999999999999</v>
      </c>
      <c r="R25" s="6">
        <f t="shared" si="0"/>
        <v>11.94</v>
      </c>
      <c r="S25">
        <f>VLOOKUP(L25,Products!$A$2:$G$49,7,0)</f>
        <v>0.26865</v>
      </c>
      <c r="T25">
        <f t="shared" si="3"/>
        <v>1.0746</v>
      </c>
      <c r="U25" s="33">
        <f t="shared" si="4"/>
        <v>9.0000000000000018</v>
      </c>
    </row>
    <row r="26" spans="1:21" x14ac:dyDescent="0.25">
      <c r="A26" s="1" t="s">
        <v>59</v>
      </c>
      <c r="B26" s="28">
        <v>44454</v>
      </c>
      <c r="C26" s="21" t="str">
        <f t="shared" si="1"/>
        <v>2021</v>
      </c>
      <c r="D26" s="19" t="str">
        <f t="shared" si="2"/>
        <v>September</v>
      </c>
      <c r="E26" s="3" t="s">
        <v>60</v>
      </c>
      <c r="F26" s="3" t="str">
        <f>VLOOKUP(E26,Customers!$A$2:$I$1001,2,0)</f>
        <v>Chrisy Blofeld</v>
      </c>
      <c r="G26" s="3" t="str">
        <f>VLOOKUP(E26,Customers!$A$2:$I$1001,3,0)</f>
        <v>cblofeldo@amazon.co.uk</v>
      </c>
      <c r="H26" s="3" t="str">
        <f>VLOOKUP(E26,Customers!$A$2:$I$1001,4,0)</f>
        <v>+1 (303) 936-3357</v>
      </c>
      <c r="I26" s="25" t="str">
        <f>VLOOKUP(E26,Customers!$A$2:$I$1001,6,0)</f>
        <v>Englewood</v>
      </c>
      <c r="J26" s="25" t="str">
        <f>VLOOKUP(E26,Customers!$A$2:$I$1001,7,0)</f>
        <v>United States</v>
      </c>
      <c r="K26" s="23" t="str">
        <f>VLOOKUP(E26,Customers!$A$2:$I$1001,9,0)</f>
        <v>No</v>
      </c>
      <c r="L26" s="4" t="s">
        <v>61</v>
      </c>
      <c r="M26" s="4" t="str">
        <f>VLOOKUP(L26,Products!$A$2:$G$49,2,0)</f>
        <v>Arabica</v>
      </c>
      <c r="N26" s="4" t="str">
        <f>VLOOKUP(L26,Products!$A$2:$G$49,3,0)</f>
        <v>Medium</v>
      </c>
      <c r="O26" s="25">
        <v>1</v>
      </c>
      <c r="P26" s="5">
        <f>INDEX([1]products!$A$1:$G$49,MATCH([1]orders!$D26,[1]products!$A$1:$A$49,0),MATCH([1]orders!K$1,[1]products!$A$1:$G$1,0))</f>
        <v>1</v>
      </c>
      <c r="Q26" s="6">
        <f>INDEX([1]products!$A$1:$G$49,MATCH([1]orders!$D26,[1]products!$A$1:$A$49,0),MATCH([1]orders!L$1,[1]products!$A$1:$G$1,0))</f>
        <v>11.25</v>
      </c>
      <c r="R26" s="6">
        <f t="shared" si="0"/>
        <v>11.25</v>
      </c>
      <c r="S26">
        <f>VLOOKUP(L26,Products!$A$2:$G$49,7,0)</f>
        <v>1.0125</v>
      </c>
      <c r="T26">
        <f t="shared" si="3"/>
        <v>1.0125</v>
      </c>
      <c r="U26" s="33">
        <f t="shared" si="4"/>
        <v>9</v>
      </c>
    </row>
    <row r="27" spans="1:21" x14ac:dyDescent="0.25">
      <c r="A27" s="1" t="s">
        <v>62</v>
      </c>
      <c r="B27" s="28">
        <v>44128</v>
      </c>
      <c r="C27" s="21" t="str">
        <f t="shared" si="1"/>
        <v>2020</v>
      </c>
      <c r="D27" s="19" t="str">
        <f t="shared" si="2"/>
        <v>October</v>
      </c>
      <c r="E27" s="3" t="s">
        <v>63</v>
      </c>
      <c r="F27" s="3" t="str">
        <f>VLOOKUP(E27,Customers!$A$2:$I$1001,2,0)</f>
        <v>Culley Farris</v>
      </c>
      <c r="G27" s="3" t="str">
        <f>VLOOKUP(E27,Customers!$A$2:$I$1001,3,0)</f>
        <v>UNKNOWN</v>
      </c>
      <c r="H27" s="3" t="str">
        <f>VLOOKUP(E27,Customers!$A$2:$I$1001,4,0)</f>
        <v>+1 (941) 267-4822</v>
      </c>
      <c r="I27" s="25" t="str">
        <f>VLOOKUP(E27,Customers!$A$2:$I$1001,6,0)</f>
        <v>Punta Gorda</v>
      </c>
      <c r="J27" s="25" t="str">
        <f>VLOOKUP(E27,Customers!$A$2:$I$1001,7,0)</f>
        <v>United States</v>
      </c>
      <c r="K27" s="23" t="str">
        <f>VLOOKUP(E27,Customers!$A$2:$I$1001,9,0)</f>
        <v>Yes</v>
      </c>
      <c r="L27" s="4" t="s">
        <v>64</v>
      </c>
      <c r="M27" s="4" t="str">
        <f>VLOOKUP(L27,Products!$A$2:$G$49,2,0)</f>
        <v>Excelsa</v>
      </c>
      <c r="N27" s="4" t="str">
        <f>VLOOKUP(L27,Products!$A$2:$G$49,3,0)</f>
        <v>Medium</v>
      </c>
      <c r="O27" s="25">
        <v>3</v>
      </c>
      <c r="P27" s="5">
        <f>INDEX([1]products!$A$1:$G$49,MATCH([1]orders!$D27,[1]products!$A$1:$A$49,0),MATCH([1]orders!K$1,[1]products!$A$1:$G$1,0))</f>
        <v>0.2</v>
      </c>
      <c r="Q27" s="6">
        <f>INDEX([1]products!$A$1:$G$49,MATCH([1]orders!$D27,[1]products!$A$1:$A$49,0),MATCH([1]orders!L$1,[1]products!$A$1:$G$1,0))</f>
        <v>4.125</v>
      </c>
      <c r="R27" s="6">
        <f t="shared" si="0"/>
        <v>12.375</v>
      </c>
      <c r="S27">
        <f>VLOOKUP(L27,Products!$A$2:$G$49,7,0)</f>
        <v>0.45374999999999999</v>
      </c>
      <c r="T27">
        <f t="shared" si="3"/>
        <v>1.3612500000000001</v>
      </c>
      <c r="U27" s="33">
        <f t="shared" si="4"/>
        <v>11</v>
      </c>
    </row>
    <row r="28" spans="1:21" x14ac:dyDescent="0.25">
      <c r="A28" s="1" t="s">
        <v>65</v>
      </c>
      <c r="B28" s="28">
        <v>43516</v>
      </c>
      <c r="C28" s="21" t="str">
        <f t="shared" si="1"/>
        <v>2019</v>
      </c>
      <c r="D28" s="19" t="str">
        <f t="shared" si="2"/>
        <v>February</v>
      </c>
      <c r="E28" s="3" t="s">
        <v>66</v>
      </c>
      <c r="F28" s="3" t="str">
        <f>VLOOKUP(E28,Customers!$A$2:$I$1001,2,0)</f>
        <v>Selene Shales</v>
      </c>
      <c r="G28" s="3" t="str">
        <f>VLOOKUP(E28,Customers!$A$2:$I$1001,3,0)</f>
        <v>sshalesq@umich.edu</v>
      </c>
      <c r="H28" s="3" t="str">
        <f>VLOOKUP(E28,Customers!$A$2:$I$1001,4,0)</f>
        <v>+1 (707) 881-5004</v>
      </c>
      <c r="I28" s="25" t="str">
        <f>VLOOKUP(E28,Customers!$A$2:$I$1001,6,0)</f>
        <v>Petaluma</v>
      </c>
      <c r="J28" s="25" t="str">
        <f>VLOOKUP(E28,Customers!$A$2:$I$1001,7,0)</f>
        <v>United States</v>
      </c>
      <c r="K28" s="23" t="str">
        <f>VLOOKUP(E28,Customers!$A$2:$I$1001,9,0)</f>
        <v>Yes</v>
      </c>
      <c r="L28" s="4" t="s">
        <v>67</v>
      </c>
      <c r="M28" s="4" t="str">
        <f>VLOOKUP(L28,Products!$A$2:$G$49,2,0)</f>
        <v>Arabica</v>
      </c>
      <c r="N28" s="4" t="str">
        <f>VLOOKUP(L28,Products!$A$2:$G$49,3,0)</f>
        <v>Medium</v>
      </c>
      <c r="O28" s="25">
        <v>4</v>
      </c>
      <c r="P28" s="5">
        <f>INDEX([1]products!$A$1:$G$49,MATCH([1]orders!$D28,[1]products!$A$1:$A$49,0),MATCH([1]orders!K$1,[1]products!$A$1:$G$1,0))</f>
        <v>0.5</v>
      </c>
      <c r="Q28" s="6">
        <f>INDEX([1]products!$A$1:$G$49,MATCH([1]orders!$D28,[1]products!$A$1:$A$49,0),MATCH([1]orders!L$1,[1]products!$A$1:$G$1,0))</f>
        <v>6.75</v>
      </c>
      <c r="R28" s="6">
        <f t="shared" si="0"/>
        <v>27</v>
      </c>
      <c r="S28">
        <f>VLOOKUP(L28,Products!$A$2:$G$49,7,0)</f>
        <v>0.60749999999999993</v>
      </c>
      <c r="T28">
        <f t="shared" si="3"/>
        <v>2.4299999999999997</v>
      </c>
      <c r="U28" s="33">
        <f t="shared" si="4"/>
        <v>8.9999999999999982</v>
      </c>
    </row>
    <row r="29" spans="1:21" x14ac:dyDescent="0.25">
      <c r="A29" s="1" t="s">
        <v>68</v>
      </c>
      <c r="B29" s="28">
        <v>43746</v>
      </c>
      <c r="C29" s="21" t="str">
        <f t="shared" si="1"/>
        <v>2019</v>
      </c>
      <c r="D29" s="19" t="str">
        <f t="shared" si="2"/>
        <v>October</v>
      </c>
      <c r="E29" s="3" t="s">
        <v>69</v>
      </c>
      <c r="F29" s="3" t="str">
        <f>VLOOKUP(E29,Customers!$A$2:$I$1001,2,0)</f>
        <v>Vivie Danneil</v>
      </c>
      <c r="G29" s="3" t="str">
        <f>VLOOKUP(E29,Customers!$A$2:$I$1001,3,0)</f>
        <v>vdanneilr@mtv.com</v>
      </c>
      <c r="H29" s="3" t="str">
        <f>VLOOKUP(E29,Customers!$A$2:$I$1001,4,0)</f>
        <v>+353 (751) 346-0399</v>
      </c>
      <c r="I29" s="25" t="str">
        <f>VLOOKUP(E29,Customers!$A$2:$I$1001,6,0)</f>
        <v>Tralee</v>
      </c>
      <c r="J29" s="25" t="str">
        <f>VLOOKUP(E29,Customers!$A$2:$I$1001,7,0)</f>
        <v>Ireland</v>
      </c>
      <c r="K29" s="23" t="str">
        <f>VLOOKUP(E29,Customers!$A$2:$I$1001,9,0)</f>
        <v>No</v>
      </c>
      <c r="L29" s="4" t="s">
        <v>44</v>
      </c>
      <c r="M29" s="4" t="str">
        <f>VLOOKUP(L29,Products!$A$2:$G$49,2,0)</f>
        <v>Arabica</v>
      </c>
      <c r="N29" s="4" t="str">
        <f>VLOOKUP(L29,Products!$A$2:$G$49,3,0)</f>
        <v>Medium</v>
      </c>
      <c r="O29" s="25">
        <v>5</v>
      </c>
      <c r="P29" s="5">
        <f>INDEX([1]products!$A$1:$G$49,MATCH([1]orders!$D29,[1]products!$A$1:$A$49,0),MATCH([1]orders!K$1,[1]products!$A$1:$G$1,0))</f>
        <v>0.2</v>
      </c>
      <c r="Q29" s="6">
        <f>INDEX([1]products!$A$1:$G$49,MATCH([1]orders!$D29,[1]products!$A$1:$A$49,0),MATCH([1]orders!L$1,[1]products!$A$1:$G$1,0))</f>
        <v>3.375</v>
      </c>
      <c r="R29" s="6">
        <f t="shared" si="0"/>
        <v>16.875</v>
      </c>
      <c r="S29">
        <f>VLOOKUP(L29,Products!$A$2:$G$49,7,0)</f>
        <v>0.30374999999999996</v>
      </c>
      <c r="T29">
        <f t="shared" si="3"/>
        <v>1.5187499999999998</v>
      </c>
      <c r="U29" s="33">
        <f t="shared" si="4"/>
        <v>8.9999999999999982</v>
      </c>
    </row>
    <row r="30" spans="1:21" x14ac:dyDescent="0.25">
      <c r="A30" s="1" t="s">
        <v>70</v>
      </c>
      <c r="B30" s="28">
        <v>44775</v>
      </c>
      <c r="C30" s="21" t="str">
        <f t="shared" si="1"/>
        <v>2022</v>
      </c>
      <c r="D30" s="19" t="str">
        <f t="shared" si="2"/>
        <v>August</v>
      </c>
      <c r="E30" s="3" t="s">
        <v>71</v>
      </c>
      <c r="F30" s="3" t="str">
        <f>VLOOKUP(E30,Customers!$A$2:$I$1001,2,0)</f>
        <v>Theresita Newbury</v>
      </c>
      <c r="G30" s="3" t="str">
        <f>VLOOKUP(E30,Customers!$A$2:$I$1001,3,0)</f>
        <v>tnewburys@usda.gov</v>
      </c>
      <c r="H30" s="3" t="str">
        <f>VLOOKUP(E30,Customers!$A$2:$I$1001,4,0)</f>
        <v>+353 (803) 587-0026</v>
      </c>
      <c r="I30" s="25" t="str">
        <f>VLOOKUP(E30,Customers!$A$2:$I$1001,6,0)</f>
        <v>Clonskeagh</v>
      </c>
      <c r="J30" s="25" t="str">
        <f>VLOOKUP(E30,Customers!$A$2:$I$1001,7,0)</f>
        <v>Ireland</v>
      </c>
      <c r="K30" s="23" t="str">
        <f>VLOOKUP(E30,Customers!$A$2:$I$1001,9,0)</f>
        <v>No</v>
      </c>
      <c r="L30" s="4" t="s">
        <v>72</v>
      </c>
      <c r="M30" s="4" t="str">
        <f>VLOOKUP(L30,Products!$A$2:$G$49,2,0)</f>
        <v>Arabica</v>
      </c>
      <c r="N30" s="4" t="str">
        <f>VLOOKUP(L30,Products!$A$2:$G$49,3,0)</f>
        <v>Dark</v>
      </c>
      <c r="O30" s="25">
        <v>3</v>
      </c>
      <c r="P30" s="5">
        <f>INDEX([1]products!$A$1:$G$49,MATCH([1]orders!$D30,[1]products!$A$1:$A$49,0),MATCH([1]orders!K$1,[1]products!$A$1:$G$1,0))</f>
        <v>0.5</v>
      </c>
      <c r="Q30" s="6">
        <f>INDEX([1]products!$A$1:$G$49,MATCH([1]orders!$D30,[1]products!$A$1:$A$49,0),MATCH([1]orders!L$1,[1]products!$A$1:$G$1,0))</f>
        <v>5.97</v>
      </c>
      <c r="R30" s="6">
        <f t="shared" si="0"/>
        <v>17.91</v>
      </c>
      <c r="S30">
        <f>VLOOKUP(L30,Products!$A$2:$G$49,7,0)</f>
        <v>0.5373</v>
      </c>
      <c r="T30">
        <f t="shared" si="3"/>
        <v>1.6118999999999999</v>
      </c>
      <c r="U30" s="33">
        <f t="shared" si="4"/>
        <v>9</v>
      </c>
    </row>
    <row r="31" spans="1:21" x14ac:dyDescent="0.25">
      <c r="A31" s="1" t="s">
        <v>73</v>
      </c>
      <c r="B31" s="28">
        <v>43516</v>
      </c>
      <c r="C31" s="21" t="str">
        <f t="shared" si="1"/>
        <v>2019</v>
      </c>
      <c r="D31" s="19" t="str">
        <f t="shared" si="2"/>
        <v>February</v>
      </c>
      <c r="E31" s="3" t="s">
        <v>74</v>
      </c>
      <c r="F31" s="3" t="str">
        <f>VLOOKUP(E31,Customers!$A$2:$I$1001,2,0)</f>
        <v>Mozelle Calcutt</v>
      </c>
      <c r="G31" s="3" t="str">
        <f>VLOOKUP(E31,Customers!$A$2:$I$1001,3,0)</f>
        <v>mcalcuttt@baidu.com</v>
      </c>
      <c r="H31" s="3" t="str">
        <f>VLOOKUP(E31,Customers!$A$2:$I$1001,4,0)</f>
        <v>+353 (928) 869-1762</v>
      </c>
      <c r="I31" s="25" t="str">
        <f>VLOOKUP(E31,Customers!$A$2:$I$1001,6,0)</f>
        <v>Rathwire</v>
      </c>
      <c r="J31" s="25" t="str">
        <f>VLOOKUP(E31,Customers!$A$2:$I$1001,7,0)</f>
        <v>Ireland</v>
      </c>
      <c r="K31" s="23" t="str">
        <f>VLOOKUP(E31,Customers!$A$2:$I$1001,9,0)</f>
        <v>Yes</v>
      </c>
      <c r="L31" s="4" t="s">
        <v>27</v>
      </c>
      <c r="M31" s="4" t="str">
        <f>VLOOKUP(L31,Products!$A$2:$G$49,2,0)</f>
        <v>Arabica</v>
      </c>
      <c r="N31" s="4" t="str">
        <f>VLOOKUP(L31,Products!$A$2:$G$49,3,0)</f>
        <v>Dark</v>
      </c>
      <c r="O31" s="25">
        <v>4</v>
      </c>
      <c r="P31" s="5">
        <f>INDEX([1]products!$A$1:$G$49,MATCH([1]orders!$D31,[1]products!$A$1:$A$49,0),MATCH([1]orders!K$1,[1]products!$A$1:$G$1,0))</f>
        <v>1</v>
      </c>
      <c r="Q31" s="6">
        <f>INDEX([1]products!$A$1:$G$49,MATCH([1]orders!$D31,[1]products!$A$1:$A$49,0),MATCH([1]orders!L$1,[1]products!$A$1:$G$1,0))</f>
        <v>9.9499999999999993</v>
      </c>
      <c r="R31" s="6">
        <f t="shared" si="0"/>
        <v>39.799999999999997</v>
      </c>
      <c r="S31">
        <f>VLOOKUP(L31,Products!$A$2:$G$49,7,0)</f>
        <v>0.89549999999999985</v>
      </c>
      <c r="T31">
        <f t="shared" si="3"/>
        <v>3.5819999999999994</v>
      </c>
      <c r="U31" s="33">
        <f t="shared" si="4"/>
        <v>9</v>
      </c>
    </row>
    <row r="32" spans="1:21" x14ac:dyDescent="0.25">
      <c r="A32" s="1" t="s">
        <v>75</v>
      </c>
      <c r="B32" s="28">
        <v>44464</v>
      </c>
      <c r="C32" s="21" t="str">
        <f t="shared" si="1"/>
        <v>2021</v>
      </c>
      <c r="D32" s="19" t="str">
        <f t="shared" si="2"/>
        <v>September</v>
      </c>
      <c r="E32" s="3" t="s">
        <v>76</v>
      </c>
      <c r="F32" s="3" t="str">
        <f>VLOOKUP(E32,Customers!$A$2:$I$1001,2,0)</f>
        <v>Adrian Swaine</v>
      </c>
      <c r="G32" s="3" t="str">
        <f>VLOOKUP(E32,Customers!$A$2:$I$1001,3,0)</f>
        <v>UNKNOWN</v>
      </c>
      <c r="H32" s="3" t="str">
        <f>VLOOKUP(E32,Customers!$A$2:$I$1001,4,0)</f>
        <v>+1 (303) 486-9517</v>
      </c>
      <c r="I32" s="25" t="str">
        <f>VLOOKUP(E32,Customers!$A$2:$I$1001,6,0)</f>
        <v>Aurora</v>
      </c>
      <c r="J32" s="25" t="str">
        <f>VLOOKUP(E32,Customers!$A$2:$I$1001,7,0)</f>
        <v>United States</v>
      </c>
      <c r="K32" s="23" t="str">
        <f>VLOOKUP(E32,Customers!$A$2:$I$1001,9,0)</f>
        <v>No</v>
      </c>
      <c r="L32" s="4" t="s">
        <v>77</v>
      </c>
      <c r="M32" s="4" t="str">
        <f>VLOOKUP(L32,Products!$A$2:$G$49,2,0)</f>
        <v>Liberica</v>
      </c>
      <c r="N32" s="4" t="str">
        <f>VLOOKUP(L32,Products!$A$2:$G$49,3,0)</f>
        <v>Medium</v>
      </c>
      <c r="O32" s="25">
        <v>5</v>
      </c>
      <c r="P32" s="5">
        <f>INDEX([1]products!$A$1:$G$49,MATCH([1]orders!$D32,[1]products!$A$1:$A$49,0),MATCH([1]orders!K$1,[1]products!$A$1:$G$1,0))</f>
        <v>0.2</v>
      </c>
      <c r="Q32" s="6">
        <f>INDEX([1]products!$A$1:$G$49,MATCH([1]orders!$D32,[1]products!$A$1:$A$49,0),MATCH([1]orders!L$1,[1]products!$A$1:$G$1,0))</f>
        <v>4.3650000000000002</v>
      </c>
      <c r="R32" s="6">
        <f t="shared" si="0"/>
        <v>21.825000000000003</v>
      </c>
      <c r="S32">
        <f>VLOOKUP(L32,Products!$A$2:$G$49,7,0)</f>
        <v>0.56745000000000001</v>
      </c>
      <c r="T32">
        <f t="shared" si="3"/>
        <v>2.83725</v>
      </c>
      <c r="U32" s="33">
        <f t="shared" si="4"/>
        <v>12.999999999999998</v>
      </c>
    </row>
    <row r="33" spans="1:21" x14ac:dyDescent="0.25">
      <c r="A33" s="1" t="s">
        <v>75</v>
      </c>
      <c r="B33" s="28">
        <v>44464</v>
      </c>
      <c r="C33" s="21" t="str">
        <f t="shared" si="1"/>
        <v>2021</v>
      </c>
      <c r="D33" s="19" t="str">
        <f t="shared" si="2"/>
        <v>September</v>
      </c>
      <c r="E33" s="3" t="s">
        <v>76</v>
      </c>
      <c r="F33" s="3" t="str">
        <f>VLOOKUP(E33,Customers!$A$2:$I$1001,2,0)</f>
        <v>Adrian Swaine</v>
      </c>
      <c r="G33" s="3" t="str">
        <f>VLOOKUP(E33,Customers!$A$2:$I$1001,3,0)</f>
        <v>UNKNOWN</v>
      </c>
      <c r="H33" s="3" t="str">
        <f>VLOOKUP(E33,Customers!$A$2:$I$1001,4,0)</f>
        <v>+1 (303) 486-9517</v>
      </c>
      <c r="I33" s="25" t="str">
        <f>VLOOKUP(E33,Customers!$A$2:$I$1001,6,0)</f>
        <v>Aurora</v>
      </c>
      <c r="J33" s="25" t="str">
        <f>VLOOKUP(E33,Customers!$A$2:$I$1001,7,0)</f>
        <v>United States</v>
      </c>
      <c r="K33" s="23" t="str">
        <f>VLOOKUP(E33,Customers!$A$2:$I$1001,9,0)</f>
        <v>No</v>
      </c>
      <c r="L33" s="4" t="s">
        <v>72</v>
      </c>
      <c r="M33" s="4" t="str">
        <f>VLOOKUP(L33,Products!$A$2:$G$49,2,0)</f>
        <v>Arabica</v>
      </c>
      <c r="N33" s="4" t="str">
        <f>VLOOKUP(L33,Products!$A$2:$G$49,3,0)</f>
        <v>Dark</v>
      </c>
      <c r="O33" s="25">
        <v>6</v>
      </c>
      <c r="P33" s="5">
        <f>INDEX([1]products!$A$1:$G$49,MATCH([1]orders!$D33,[1]products!$A$1:$A$49,0),MATCH([1]orders!K$1,[1]products!$A$1:$G$1,0))</f>
        <v>0.5</v>
      </c>
      <c r="Q33" s="6">
        <f>INDEX([1]products!$A$1:$G$49,MATCH([1]orders!$D33,[1]products!$A$1:$A$49,0),MATCH([1]orders!L$1,[1]products!$A$1:$G$1,0))</f>
        <v>5.97</v>
      </c>
      <c r="R33" s="6">
        <f t="shared" si="0"/>
        <v>35.82</v>
      </c>
      <c r="S33">
        <f>VLOOKUP(L33,Products!$A$2:$G$49,7,0)</f>
        <v>0.5373</v>
      </c>
      <c r="T33">
        <f t="shared" si="3"/>
        <v>3.2237999999999998</v>
      </c>
      <c r="U33" s="33">
        <f t="shared" si="4"/>
        <v>9</v>
      </c>
    </row>
    <row r="34" spans="1:21" x14ac:dyDescent="0.25">
      <c r="A34" s="1" t="s">
        <v>75</v>
      </c>
      <c r="B34" s="28">
        <v>44464</v>
      </c>
      <c r="C34" s="21" t="str">
        <f t="shared" si="1"/>
        <v>2021</v>
      </c>
      <c r="D34" s="19" t="str">
        <f t="shared" si="2"/>
        <v>September</v>
      </c>
      <c r="E34" s="3" t="s">
        <v>76</v>
      </c>
      <c r="F34" s="3" t="str">
        <f>VLOOKUP(E34,Customers!$A$2:$I$1001,2,0)</f>
        <v>Adrian Swaine</v>
      </c>
      <c r="G34" s="3" t="str">
        <f>VLOOKUP(E34,Customers!$A$2:$I$1001,3,0)</f>
        <v>UNKNOWN</v>
      </c>
      <c r="H34" s="3" t="str">
        <f>VLOOKUP(E34,Customers!$A$2:$I$1001,4,0)</f>
        <v>+1 (303) 486-9517</v>
      </c>
      <c r="I34" s="25" t="str">
        <f>VLOOKUP(E34,Customers!$A$2:$I$1001,6,0)</f>
        <v>Aurora</v>
      </c>
      <c r="J34" s="25" t="str">
        <f>VLOOKUP(E34,Customers!$A$2:$I$1001,7,0)</f>
        <v>United States</v>
      </c>
      <c r="K34" s="23" t="str">
        <f>VLOOKUP(E34,Customers!$A$2:$I$1001,9,0)</f>
        <v>No</v>
      </c>
      <c r="L34" s="4" t="s">
        <v>78</v>
      </c>
      <c r="M34" s="4" t="str">
        <f>VLOOKUP(L34,Products!$A$2:$G$49,2,0)</f>
        <v>Liberica</v>
      </c>
      <c r="N34" s="4" t="str">
        <f>VLOOKUP(L34,Products!$A$2:$G$49,3,0)</f>
        <v>Medium</v>
      </c>
      <c r="O34" s="25">
        <v>6</v>
      </c>
      <c r="P34" s="5">
        <f>INDEX([1]products!$A$1:$G$49,MATCH([1]orders!$D34,[1]products!$A$1:$A$49,0),MATCH([1]orders!K$1,[1]products!$A$1:$G$1,0))</f>
        <v>0.5</v>
      </c>
      <c r="Q34" s="6">
        <f>INDEX([1]products!$A$1:$G$49,MATCH([1]orders!$D34,[1]products!$A$1:$A$49,0),MATCH([1]orders!L$1,[1]products!$A$1:$G$1,0))</f>
        <v>8.73</v>
      </c>
      <c r="R34" s="6">
        <f t="shared" si="0"/>
        <v>52.38</v>
      </c>
      <c r="S34">
        <f>VLOOKUP(L34,Products!$A$2:$G$49,7,0)</f>
        <v>1.1349</v>
      </c>
      <c r="T34">
        <f t="shared" si="3"/>
        <v>6.8094000000000001</v>
      </c>
      <c r="U34" s="33">
        <f t="shared" si="4"/>
        <v>13</v>
      </c>
    </row>
    <row r="35" spans="1:21" x14ac:dyDescent="0.25">
      <c r="A35" s="1" t="s">
        <v>79</v>
      </c>
      <c r="B35" s="28">
        <v>44394</v>
      </c>
      <c r="C35" s="21" t="str">
        <f t="shared" si="1"/>
        <v>2021</v>
      </c>
      <c r="D35" s="19" t="str">
        <f t="shared" si="2"/>
        <v>July</v>
      </c>
      <c r="E35" s="3" t="s">
        <v>80</v>
      </c>
      <c r="F35" s="3" t="str">
        <f>VLOOKUP(E35,Customers!$A$2:$I$1001,2,0)</f>
        <v>Gallard Gatheral</v>
      </c>
      <c r="G35" s="3" t="str">
        <f>VLOOKUP(E35,Customers!$A$2:$I$1001,3,0)</f>
        <v>ggatheralx@123-reg.co.uk</v>
      </c>
      <c r="H35" s="3" t="str">
        <f>VLOOKUP(E35,Customers!$A$2:$I$1001,4,0)</f>
        <v>UNKNOWN</v>
      </c>
      <c r="I35" s="25" t="str">
        <f>VLOOKUP(E35,Customers!$A$2:$I$1001,6,0)</f>
        <v>Grand Forks</v>
      </c>
      <c r="J35" s="25" t="str">
        <f>VLOOKUP(E35,Customers!$A$2:$I$1001,7,0)</f>
        <v>United States</v>
      </c>
      <c r="K35" s="23" t="str">
        <f>VLOOKUP(E35,Customers!$A$2:$I$1001,9,0)</f>
        <v>No</v>
      </c>
      <c r="L35" s="4" t="s">
        <v>19</v>
      </c>
      <c r="M35" s="4" t="str">
        <f>VLOOKUP(L35,Products!$A$2:$G$49,2,0)</f>
        <v>Liberica</v>
      </c>
      <c r="N35" s="4" t="str">
        <f>VLOOKUP(L35,Products!$A$2:$G$49,3,0)</f>
        <v>Light</v>
      </c>
      <c r="O35" s="25">
        <v>5</v>
      </c>
      <c r="P35" s="5">
        <f>INDEX([1]products!$A$1:$G$49,MATCH([1]orders!$D35,[1]products!$A$1:$A$49,0),MATCH([1]orders!K$1,[1]products!$A$1:$G$1,0))</f>
        <v>0.2</v>
      </c>
      <c r="Q35" s="6">
        <f>INDEX([1]products!$A$1:$G$49,MATCH([1]orders!$D35,[1]products!$A$1:$A$49,0),MATCH([1]orders!L$1,[1]products!$A$1:$G$1,0))</f>
        <v>4.7549999999999999</v>
      </c>
      <c r="R35" s="6">
        <f t="shared" si="0"/>
        <v>23.774999999999999</v>
      </c>
      <c r="S35">
        <f>VLOOKUP(L35,Products!$A$2:$G$49,7,0)</f>
        <v>0.61814999999999998</v>
      </c>
      <c r="T35">
        <f t="shared" si="3"/>
        <v>3.0907499999999999</v>
      </c>
      <c r="U35" s="33">
        <f t="shared" si="4"/>
        <v>13</v>
      </c>
    </row>
    <row r="36" spans="1:21" x14ac:dyDescent="0.25">
      <c r="A36" s="1" t="s">
        <v>81</v>
      </c>
      <c r="B36" s="28">
        <v>44011</v>
      </c>
      <c r="C36" s="21" t="str">
        <f t="shared" si="1"/>
        <v>2020</v>
      </c>
      <c r="D36" s="19" t="str">
        <f t="shared" si="2"/>
        <v>June</v>
      </c>
      <c r="E36" s="3" t="s">
        <v>82</v>
      </c>
      <c r="F36" s="3" t="str">
        <f>VLOOKUP(E36,Customers!$A$2:$I$1001,2,0)</f>
        <v>Una Welberry</v>
      </c>
      <c r="G36" s="3" t="str">
        <f>VLOOKUP(E36,Customers!$A$2:$I$1001,3,0)</f>
        <v>uwelberryy@ebay.co.uk</v>
      </c>
      <c r="H36" s="3" t="str">
        <f>VLOOKUP(E36,Customers!$A$2:$I$1001,4,0)</f>
        <v>+44 (392) 503-8132</v>
      </c>
      <c r="I36" s="25" t="str">
        <f>VLOOKUP(E36,Customers!$A$2:$I$1001,6,0)</f>
        <v>Upton</v>
      </c>
      <c r="J36" s="25" t="str">
        <f>VLOOKUP(E36,Customers!$A$2:$I$1001,7,0)</f>
        <v>United Kingdom</v>
      </c>
      <c r="K36" s="23" t="str">
        <f>VLOOKUP(E36,Customers!$A$2:$I$1001,9,0)</f>
        <v>Yes</v>
      </c>
      <c r="L36" s="4" t="s">
        <v>83</v>
      </c>
      <c r="M36" s="4" t="str">
        <f>VLOOKUP(L36,Products!$A$2:$G$49,2,0)</f>
        <v>Liberica</v>
      </c>
      <c r="N36" s="4" t="str">
        <f>VLOOKUP(L36,Products!$A$2:$G$49,3,0)</f>
        <v>Light</v>
      </c>
      <c r="O36" s="25">
        <v>6</v>
      </c>
      <c r="P36" s="5">
        <f>INDEX([1]products!$A$1:$G$49,MATCH([1]orders!$D36,[1]products!$A$1:$A$49,0),MATCH([1]orders!K$1,[1]products!$A$1:$G$1,0))</f>
        <v>0.5</v>
      </c>
      <c r="Q36" s="6">
        <f>INDEX([1]products!$A$1:$G$49,MATCH([1]orders!$D36,[1]products!$A$1:$A$49,0),MATCH([1]orders!L$1,[1]products!$A$1:$G$1,0))</f>
        <v>9.51</v>
      </c>
      <c r="R36" s="6">
        <f t="shared" si="0"/>
        <v>57.06</v>
      </c>
      <c r="S36">
        <f>VLOOKUP(L36,Products!$A$2:$G$49,7,0)</f>
        <v>1.2363</v>
      </c>
      <c r="T36">
        <f t="shared" si="3"/>
        <v>7.4177999999999997</v>
      </c>
      <c r="U36" s="33">
        <f t="shared" si="4"/>
        <v>12.999999999999998</v>
      </c>
    </row>
    <row r="37" spans="1:21" x14ac:dyDescent="0.25">
      <c r="A37" s="1" t="s">
        <v>84</v>
      </c>
      <c r="B37" s="28">
        <v>44348</v>
      </c>
      <c r="C37" s="21" t="str">
        <f t="shared" si="1"/>
        <v>2021</v>
      </c>
      <c r="D37" s="19" t="str">
        <f t="shared" si="2"/>
        <v>June</v>
      </c>
      <c r="E37" s="3" t="s">
        <v>85</v>
      </c>
      <c r="F37" s="3" t="str">
        <f>VLOOKUP(E37,Customers!$A$2:$I$1001,2,0)</f>
        <v>Faber Eilhart</v>
      </c>
      <c r="G37" s="3" t="str">
        <f>VLOOKUP(E37,Customers!$A$2:$I$1001,3,0)</f>
        <v>feilhartz@who.int</v>
      </c>
      <c r="H37" s="3" t="str">
        <f>VLOOKUP(E37,Customers!$A$2:$I$1001,4,0)</f>
        <v>+1 (304) 510-6095</v>
      </c>
      <c r="I37" s="25" t="str">
        <f>VLOOKUP(E37,Customers!$A$2:$I$1001,6,0)</f>
        <v>Charleston</v>
      </c>
      <c r="J37" s="25" t="str">
        <f>VLOOKUP(E37,Customers!$A$2:$I$1001,7,0)</f>
        <v>United States</v>
      </c>
      <c r="K37" s="23" t="str">
        <f>VLOOKUP(E37,Customers!$A$2:$I$1001,9,0)</f>
        <v>No</v>
      </c>
      <c r="L37" s="4" t="s">
        <v>72</v>
      </c>
      <c r="M37" s="4" t="str">
        <f>VLOOKUP(L37,Products!$A$2:$G$49,2,0)</f>
        <v>Arabica</v>
      </c>
      <c r="N37" s="4" t="str">
        <f>VLOOKUP(L37,Products!$A$2:$G$49,3,0)</f>
        <v>Dark</v>
      </c>
      <c r="O37" s="25">
        <v>6</v>
      </c>
      <c r="P37" s="5">
        <f>INDEX([1]products!$A$1:$G$49,MATCH([1]orders!$D37,[1]products!$A$1:$A$49,0),MATCH([1]orders!K$1,[1]products!$A$1:$G$1,0))</f>
        <v>0.5</v>
      </c>
      <c r="Q37" s="6">
        <f>INDEX([1]products!$A$1:$G$49,MATCH([1]orders!$D37,[1]products!$A$1:$A$49,0),MATCH([1]orders!L$1,[1]products!$A$1:$G$1,0))</f>
        <v>5.97</v>
      </c>
      <c r="R37" s="6">
        <f t="shared" si="0"/>
        <v>35.82</v>
      </c>
      <c r="S37">
        <f>VLOOKUP(L37,Products!$A$2:$G$49,7,0)</f>
        <v>0.5373</v>
      </c>
      <c r="T37">
        <f t="shared" si="3"/>
        <v>3.2237999999999998</v>
      </c>
      <c r="U37" s="33">
        <f t="shared" si="4"/>
        <v>9</v>
      </c>
    </row>
    <row r="38" spans="1:21" x14ac:dyDescent="0.25">
      <c r="A38" s="1" t="s">
        <v>86</v>
      </c>
      <c r="B38" s="28">
        <v>44233</v>
      </c>
      <c r="C38" s="21" t="str">
        <f t="shared" si="1"/>
        <v>2021</v>
      </c>
      <c r="D38" s="19" t="str">
        <f t="shared" si="2"/>
        <v>February</v>
      </c>
      <c r="E38" s="3" t="s">
        <v>87</v>
      </c>
      <c r="F38" s="3" t="str">
        <f>VLOOKUP(E38,Customers!$A$2:$I$1001,2,0)</f>
        <v>Zorina Ponting</v>
      </c>
      <c r="G38" s="3" t="str">
        <f>VLOOKUP(E38,Customers!$A$2:$I$1001,3,0)</f>
        <v>zponting10@altervista.org</v>
      </c>
      <c r="H38" s="3" t="str">
        <f>VLOOKUP(E38,Customers!$A$2:$I$1001,4,0)</f>
        <v>+1 (501) 172-1476</v>
      </c>
      <c r="I38" s="25" t="str">
        <f>VLOOKUP(E38,Customers!$A$2:$I$1001,6,0)</f>
        <v>Little Rock</v>
      </c>
      <c r="J38" s="25" t="str">
        <f>VLOOKUP(E38,Customers!$A$2:$I$1001,7,0)</f>
        <v>United States</v>
      </c>
      <c r="K38" s="23" t="str">
        <f>VLOOKUP(E38,Customers!$A$2:$I$1001,9,0)</f>
        <v>No</v>
      </c>
      <c r="L38" s="4" t="s">
        <v>77</v>
      </c>
      <c r="M38" s="4" t="str">
        <f>VLOOKUP(L38,Products!$A$2:$G$49,2,0)</f>
        <v>Liberica</v>
      </c>
      <c r="N38" s="4" t="str">
        <f>VLOOKUP(L38,Products!$A$2:$G$49,3,0)</f>
        <v>Medium</v>
      </c>
      <c r="O38" s="25">
        <v>2</v>
      </c>
      <c r="P38" s="5">
        <f>INDEX([1]products!$A$1:$G$49,MATCH([1]orders!$D38,[1]products!$A$1:$A$49,0),MATCH([1]orders!K$1,[1]products!$A$1:$G$1,0))</f>
        <v>0.2</v>
      </c>
      <c r="Q38" s="6">
        <f>INDEX([1]products!$A$1:$G$49,MATCH([1]orders!$D38,[1]products!$A$1:$A$49,0),MATCH([1]orders!L$1,[1]products!$A$1:$G$1,0))</f>
        <v>4.3650000000000002</v>
      </c>
      <c r="R38" s="6">
        <f t="shared" si="0"/>
        <v>8.73</v>
      </c>
      <c r="S38">
        <f>VLOOKUP(L38,Products!$A$2:$G$49,7,0)</f>
        <v>0.56745000000000001</v>
      </c>
      <c r="T38">
        <f t="shared" si="3"/>
        <v>1.1349</v>
      </c>
      <c r="U38" s="33">
        <f t="shared" si="4"/>
        <v>13</v>
      </c>
    </row>
    <row r="39" spans="1:21" x14ac:dyDescent="0.25">
      <c r="A39" s="1" t="s">
        <v>88</v>
      </c>
      <c r="B39" s="28">
        <v>43580</v>
      </c>
      <c r="C39" s="21" t="str">
        <f t="shared" si="1"/>
        <v>2019</v>
      </c>
      <c r="D39" s="19" t="str">
        <f t="shared" si="2"/>
        <v>April</v>
      </c>
      <c r="E39" s="3" t="s">
        <v>89</v>
      </c>
      <c r="F39" s="3" t="str">
        <f>VLOOKUP(E39,Customers!$A$2:$I$1001,2,0)</f>
        <v>Silvio Strase</v>
      </c>
      <c r="G39" s="3" t="str">
        <f>VLOOKUP(E39,Customers!$A$2:$I$1001,3,0)</f>
        <v>sstrase11@booking.com</v>
      </c>
      <c r="H39" s="3" t="str">
        <f>VLOOKUP(E39,Customers!$A$2:$I$1001,4,0)</f>
        <v>+1 (303) 579-8015</v>
      </c>
      <c r="I39" s="25" t="str">
        <f>VLOOKUP(E39,Customers!$A$2:$I$1001,6,0)</f>
        <v>Denver</v>
      </c>
      <c r="J39" s="25" t="str">
        <f>VLOOKUP(E39,Customers!$A$2:$I$1001,7,0)</f>
        <v>United States</v>
      </c>
      <c r="K39" s="23" t="str">
        <f>VLOOKUP(E39,Customers!$A$2:$I$1001,9,0)</f>
        <v>No</v>
      </c>
      <c r="L39" s="4" t="s">
        <v>83</v>
      </c>
      <c r="M39" s="4" t="str">
        <f>VLOOKUP(L39,Products!$A$2:$G$49,2,0)</f>
        <v>Liberica</v>
      </c>
      <c r="N39" s="4" t="str">
        <f>VLOOKUP(L39,Products!$A$2:$G$49,3,0)</f>
        <v>Light</v>
      </c>
      <c r="O39" s="25">
        <v>3</v>
      </c>
      <c r="P39" s="5">
        <f>INDEX([1]products!$A$1:$G$49,MATCH([1]orders!$D39,[1]products!$A$1:$A$49,0),MATCH([1]orders!K$1,[1]products!$A$1:$G$1,0))</f>
        <v>0.5</v>
      </c>
      <c r="Q39" s="6">
        <f>INDEX([1]products!$A$1:$G$49,MATCH([1]orders!$D39,[1]products!$A$1:$A$49,0),MATCH([1]orders!L$1,[1]products!$A$1:$G$1,0))</f>
        <v>9.51</v>
      </c>
      <c r="R39" s="6">
        <f t="shared" si="0"/>
        <v>28.53</v>
      </c>
      <c r="S39">
        <f>VLOOKUP(L39,Products!$A$2:$G$49,7,0)</f>
        <v>1.2363</v>
      </c>
      <c r="T39">
        <f t="shared" si="3"/>
        <v>3.7088999999999999</v>
      </c>
      <c r="U39" s="33">
        <f t="shared" si="4"/>
        <v>12.999999999999998</v>
      </c>
    </row>
    <row r="40" spans="1:21" x14ac:dyDescent="0.25">
      <c r="A40" s="1" t="s">
        <v>90</v>
      </c>
      <c r="B40" s="28">
        <v>43946</v>
      </c>
      <c r="C40" s="21" t="str">
        <f t="shared" si="1"/>
        <v>2020</v>
      </c>
      <c r="D40" s="19" t="str">
        <f t="shared" si="2"/>
        <v>April</v>
      </c>
      <c r="E40" s="3" t="s">
        <v>91</v>
      </c>
      <c r="F40" s="3" t="str">
        <f>VLOOKUP(E40,Customers!$A$2:$I$1001,2,0)</f>
        <v>Dorie de la Tremoille</v>
      </c>
      <c r="G40" s="3" t="str">
        <f>VLOOKUP(E40,Customers!$A$2:$I$1001,3,0)</f>
        <v>dde12@unesco.org</v>
      </c>
      <c r="H40" s="3" t="str">
        <f>VLOOKUP(E40,Customers!$A$2:$I$1001,4,0)</f>
        <v>+1 (612) 492-5160</v>
      </c>
      <c r="I40" s="25" t="str">
        <f>VLOOKUP(E40,Customers!$A$2:$I$1001,6,0)</f>
        <v>Minneapolis</v>
      </c>
      <c r="J40" s="25" t="str">
        <f>VLOOKUP(E40,Customers!$A$2:$I$1001,7,0)</f>
        <v>United States</v>
      </c>
      <c r="K40" s="23" t="str">
        <f>VLOOKUP(E40,Customers!$A$2:$I$1001,9,0)</f>
        <v>No</v>
      </c>
      <c r="L40" s="4" t="s">
        <v>41</v>
      </c>
      <c r="M40" s="4" t="str">
        <f>VLOOKUP(L40,Products!$A$2:$G$49,2,0)</f>
        <v>Robusta</v>
      </c>
      <c r="N40" s="4" t="str">
        <f>VLOOKUP(L40,Products!$A$2:$G$49,3,0)</f>
        <v>Medium</v>
      </c>
      <c r="O40" s="25">
        <v>5</v>
      </c>
      <c r="P40" s="5">
        <f>INDEX([1]products!$A$1:$G$49,MATCH([1]orders!$D40,[1]products!$A$1:$A$49,0),MATCH([1]orders!K$1,[1]products!$A$1:$G$1,0))</f>
        <v>2.5</v>
      </c>
      <c r="Q40" s="6">
        <f>INDEX([1]products!$A$1:$G$49,MATCH([1]orders!$D40,[1]products!$A$1:$A$49,0),MATCH([1]orders!L$1,[1]products!$A$1:$G$1,0))</f>
        <v>22.884999999999998</v>
      </c>
      <c r="R40" s="6">
        <f t="shared" si="0"/>
        <v>114.42499999999998</v>
      </c>
      <c r="S40">
        <f>VLOOKUP(L40,Products!$A$2:$G$49,7,0)</f>
        <v>1.3730999999999998</v>
      </c>
      <c r="T40">
        <f t="shared" si="3"/>
        <v>6.865499999999999</v>
      </c>
      <c r="U40" s="33">
        <f t="shared" si="4"/>
        <v>6</v>
      </c>
    </row>
    <row r="41" spans="1:21" x14ac:dyDescent="0.25">
      <c r="A41" s="1" t="s">
        <v>92</v>
      </c>
      <c r="B41" s="28">
        <v>44524</v>
      </c>
      <c r="C41" s="21" t="str">
        <f t="shared" si="1"/>
        <v>2021</v>
      </c>
      <c r="D41" s="19" t="str">
        <f t="shared" si="2"/>
        <v>November</v>
      </c>
      <c r="E41" s="3" t="s">
        <v>93</v>
      </c>
      <c r="F41" s="3" t="str">
        <f>VLOOKUP(E41,Customers!$A$2:$I$1001,2,0)</f>
        <v>Hy Zanetto</v>
      </c>
      <c r="G41" s="3" t="str">
        <f>VLOOKUP(E41,Customers!$A$2:$I$1001,3,0)</f>
        <v>UNKNOWN</v>
      </c>
      <c r="H41" s="3" t="str">
        <f>VLOOKUP(E41,Customers!$A$2:$I$1001,4,0)</f>
        <v>UNKNOWN</v>
      </c>
      <c r="I41" s="25" t="str">
        <f>VLOOKUP(E41,Customers!$A$2:$I$1001,6,0)</f>
        <v>Tucson</v>
      </c>
      <c r="J41" s="25" t="str">
        <f>VLOOKUP(E41,Customers!$A$2:$I$1001,7,0)</f>
        <v>United States</v>
      </c>
      <c r="K41" s="23" t="str">
        <f>VLOOKUP(E41,Customers!$A$2:$I$1001,9,0)</f>
        <v>Yes</v>
      </c>
      <c r="L41" s="4" t="s">
        <v>2</v>
      </c>
      <c r="M41" s="4" t="str">
        <f>VLOOKUP(L41,Products!$A$2:$G$49,2,0)</f>
        <v>Robusta</v>
      </c>
      <c r="N41" s="4" t="str">
        <f>VLOOKUP(L41,Products!$A$2:$G$49,3,0)</f>
        <v>Medium</v>
      </c>
      <c r="O41" s="25">
        <v>6</v>
      </c>
      <c r="P41" s="5">
        <f>INDEX([1]products!$A$1:$G$49,MATCH([1]orders!$D41,[1]products!$A$1:$A$49,0),MATCH([1]orders!K$1,[1]products!$A$1:$G$1,0))</f>
        <v>1</v>
      </c>
      <c r="Q41" s="6">
        <f>INDEX([1]products!$A$1:$G$49,MATCH([1]orders!$D41,[1]products!$A$1:$A$49,0),MATCH([1]orders!L$1,[1]products!$A$1:$G$1,0))</f>
        <v>9.9499999999999993</v>
      </c>
      <c r="R41" s="6">
        <f t="shared" si="0"/>
        <v>59.699999999999996</v>
      </c>
      <c r="S41">
        <f>VLOOKUP(L41,Products!$A$2:$G$49,7,0)</f>
        <v>0.59699999999999998</v>
      </c>
      <c r="T41">
        <f t="shared" si="3"/>
        <v>3.5819999999999999</v>
      </c>
      <c r="U41" s="33">
        <f t="shared" si="4"/>
        <v>6.0000000000000009</v>
      </c>
    </row>
    <row r="42" spans="1:21" x14ac:dyDescent="0.25">
      <c r="A42" s="1" t="s">
        <v>94</v>
      </c>
      <c r="B42" s="28">
        <v>44305</v>
      </c>
      <c r="C42" s="21" t="str">
        <f t="shared" si="1"/>
        <v>2021</v>
      </c>
      <c r="D42" s="19" t="str">
        <f t="shared" si="2"/>
        <v>April</v>
      </c>
      <c r="E42" s="3" t="s">
        <v>95</v>
      </c>
      <c r="F42" s="3" t="str">
        <f>VLOOKUP(E42,Customers!$A$2:$I$1001,2,0)</f>
        <v>Jessica McNess</v>
      </c>
      <c r="G42" s="3" t="str">
        <f>VLOOKUP(E42,Customers!$A$2:$I$1001,3,0)</f>
        <v>UNKNOWN</v>
      </c>
      <c r="H42" s="3" t="str">
        <f>VLOOKUP(E42,Customers!$A$2:$I$1001,4,0)</f>
        <v>+1 (504) 545-1478</v>
      </c>
      <c r="I42" s="25" t="str">
        <f>VLOOKUP(E42,Customers!$A$2:$I$1001,6,0)</f>
        <v>New Orleans</v>
      </c>
      <c r="J42" s="25" t="str">
        <f>VLOOKUP(E42,Customers!$A$2:$I$1001,7,0)</f>
        <v>United States</v>
      </c>
      <c r="K42" s="23" t="str">
        <f>VLOOKUP(E42,Customers!$A$2:$I$1001,9,0)</f>
        <v>No</v>
      </c>
      <c r="L42" s="4" t="s">
        <v>96</v>
      </c>
      <c r="M42" s="4" t="str">
        <f>VLOOKUP(L42,Products!$A$2:$G$49,2,0)</f>
        <v>Liberica</v>
      </c>
      <c r="N42" s="4" t="str">
        <f>VLOOKUP(L42,Products!$A$2:$G$49,3,0)</f>
        <v>Medium</v>
      </c>
      <c r="O42" s="25">
        <v>3</v>
      </c>
      <c r="P42" s="5">
        <f>INDEX([1]products!$A$1:$G$49,MATCH([1]orders!$D42,[1]products!$A$1:$A$49,0),MATCH([1]orders!K$1,[1]products!$A$1:$G$1,0))</f>
        <v>1</v>
      </c>
      <c r="Q42" s="6">
        <f>INDEX([1]products!$A$1:$G$49,MATCH([1]orders!$D42,[1]products!$A$1:$A$49,0),MATCH([1]orders!L$1,[1]products!$A$1:$G$1,0))</f>
        <v>14.55</v>
      </c>
      <c r="R42" s="6">
        <f t="shared" si="0"/>
        <v>43.650000000000006</v>
      </c>
      <c r="S42">
        <f>VLOOKUP(L42,Products!$A$2:$G$49,7,0)</f>
        <v>1.8915000000000002</v>
      </c>
      <c r="T42">
        <f t="shared" si="3"/>
        <v>5.6745000000000001</v>
      </c>
      <c r="U42" s="33">
        <f t="shared" si="4"/>
        <v>12.999999999999998</v>
      </c>
    </row>
    <row r="43" spans="1:21" x14ac:dyDescent="0.25">
      <c r="A43" s="1" t="s">
        <v>97</v>
      </c>
      <c r="B43" s="28">
        <v>44749</v>
      </c>
      <c r="C43" s="21" t="str">
        <f t="shared" si="1"/>
        <v>2022</v>
      </c>
      <c r="D43" s="19" t="str">
        <f t="shared" si="2"/>
        <v>July</v>
      </c>
      <c r="E43" s="3" t="s">
        <v>98</v>
      </c>
      <c r="F43" s="3" t="str">
        <f>VLOOKUP(E43,Customers!$A$2:$I$1001,2,0)</f>
        <v>Lorenzo Yeoland</v>
      </c>
      <c r="G43" s="3" t="str">
        <f>VLOOKUP(E43,Customers!$A$2:$I$1001,3,0)</f>
        <v>lyeoland15@pbs.org</v>
      </c>
      <c r="H43" s="3" t="str">
        <f>VLOOKUP(E43,Customers!$A$2:$I$1001,4,0)</f>
        <v>+1 (860) 576-2887</v>
      </c>
      <c r="I43" s="25" t="str">
        <f>VLOOKUP(E43,Customers!$A$2:$I$1001,6,0)</f>
        <v>Hartford</v>
      </c>
      <c r="J43" s="25" t="str">
        <f>VLOOKUP(E43,Customers!$A$2:$I$1001,7,0)</f>
        <v>United States</v>
      </c>
      <c r="K43" s="23" t="str">
        <f>VLOOKUP(E43,Customers!$A$2:$I$1001,9,0)</f>
        <v>Yes</v>
      </c>
      <c r="L43" s="4" t="s">
        <v>51</v>
      </c>
      <c r="M43" s="4" t="str">
        <f>VLOOKUP(L43,Products!$A$2:$G$49,2,0)</f>
        <v>Excelsa</v>
      </c>
      <c r="N43" s="4" t="str">
        <f>VLOOKUP(L43,Products!$A$2:$G$49,3,0)</f>
        <v>Dark</v>
      </c>
      <c r="O43" s="25">
        <v>2</v>
      </c>
      <c r="P43" s="5">
        <f>INDEX([1]products!$A$1:$G$49,MATCH([1]orders!$D43,[1]products!$A$1:$A$49,0),MATCH([1]orders!K$1,[1]products!$A$1:$G$1,0))</f>
        <v>0.2</v>
      </c>
      <c r="Q43" s="6">
        <f>INDEX([1]products!$A$1:$G$49,MATCH([1]orders!$D43,[1]products!$A$1:$A$49,0),MATCH([1]orders!L$1,[1]products!$A$1:$G$1,0))</f>
        <v>3.645</v>
      </c>
      <c r="R43" s="6">
        <f t="shared" si="0"/>
        <v>7.29</v>
      </c>
      <c r="S43">
        <f>VLOOKUP(L43,Products!$A$2:$G$49,7,0)</f>
        <v>0.40095000000000003</v>
      </c>
      <c r="T43">
        <f t="shared" si="3"/>
        <v>0.80190000000000006</v>
      </c>
      <c r="U43" s="33">
        <f t="shared" si="4"/>
        <v>11</v>
      </c>
    </row>
    <row r="44" spans="1:21" x14ac:dyDescent="0.25">
      <c r="A44" s="1" t="s">
        <v>99</v>
      </c>
      <c r="B44" s="28">
        <v>43607</v>
      </c>
      <c r="C44" s="21" t="str">
        <f t="shared" si="1"/>
        <v>2019</v>
      </c>
      <c r="D44" s="19" t="str">
        <f t="shared" si="2"/>
        <v>May</v>
      </c>
      <c r="E44" s="3" t="s">
        <v>100</v>
      </c>
      <c r="F44" s="3" t="str">
        <f>VLOOKUP(E44,Customers!$A$2:$I$1001,2,0)</f>
        <v>Abigail Tolworthy</v>
      </c>
      <c r="G44" s="3" t="str">
        <f>VLOOKUP(E44,Customers!$A$2:$I$1001,3,0)</f>
        <v>atolworthy16@toplist.cz</v>
      </c>
      <c r="H44" s="3" t="str">
        <f>VLOOKUP(E44,Customers!$A$2:$I$1001,4,0)</f>
        <v>+1 (801) 722-4425</v>
      </c>
      <c r="I44" s="25" t="str">
        <f>VLOOKUP(E44,Customers!$A$2:$I$1001,6,0)</f>
        <v>Ogden</v>
      </c>
      <c r="J44" s="25" t="str">
        <f>VLOOKUP(E44,Customers!$A$2:$I$1001,7,0)</f>
        <v>United States</v>
      </c>
      <c r="K44" s="23" t="str">
        <f>VLOOKUP(E44,Customers!$A$2:$I$1001,9,0)</f>
        <v>Yes</v>
      </c>
      <c r="L44" s="4" t="s">
        <v>101</v>
      </c>
      <c r="M44" s="4" t="str">
        <f>VLOOKUP(L44,Products!$A$2:$G$49,2,0)</f>
        <v>Robusta</v>
      </c>
      <c r="N44" s="4" t="str">
        <f>VLOOKUP(L44,Products!$A$2:$G$49,3,0)</f>
        <v>Dark</v>
      </c>
      <c r="O44" s="25">
        <v>3</v>
      </c>
      <c r="P44" s="5">
        <f>INDEX([1]products!$A$1:$G$49,MATCH([1]orders!$D44,[1]products!$A$1:$A$49,0),MATCH([1]orders!K$1,[1]products!$A$1:$G$1,0))</f>
        <v>0.2</v>
      </c>
      <c r="Q44" s="6">
        <f>INDEX([1]products!$A$1:$G$49,MATCH([1]orders!$D44,[1]products!$A$1:$A$49,0),MATCH([1]orders!L$1,[1]products!$A$1:$G$1,0))</f>
        <v>2.6849999999999996</v>
      </c>
      <c r="R44" s="6">
        <f t="shared" si="0"/>
        <v>8.0549999999999997</v>
      </c>
      <c r="S44">
        <f>VLOOKUP(L44,Products!$A$2:$G$49,7,0)</f>
        <v>0.16109999999999997</v>
      </c>
      <c r="T44">
        <f t="shared" si="3"/>
        <v>0.4832999999999999</v>
      </c>
      <c r="U44" s="33">
        <f t="shared" si="4"/>
        <v>5.9999999999999991</v>
      </c>
    </row>
    <row r="45" spans="1:21" x14ac:dyDescent="0.25">
      <c r="A45" s="1" t="s">
        <v>102</v>
      </c>
      <c r="B45" s="28">
        <v>44473</v>
      </c>
      <c r="C45" s="21" t="str">
        <f t="shared" si="1"/>
        <v>2021</v>
      </c>
      <c r="D45" s="19" t="str">
        <f t="shared" si="2"/>
        <v>October</v>
      </c>
      <c r="E45" s="3" t="s">
        <v>103</v>
      </c>
      <c r="F45" s="3" t="str">
        <f>VLOOKUP(E45,Customers!$A$2:$I$1001,2,0)</f>
        <v>Maurie Bartol</v>
      </c>
      <c r="G45" s="3" t="str">
        <f>VLOOKUP(E45,Customers!$A$2:$I$1001,3,0)</f>
        <v>UNKNOWN</v>
      </c>
      <c r="H45" s="3" t="str">
        <f>VLOOKUP(E45,Customers!$A$2:$I$1001,4,0)</f>
        <v>+1 (617) 493-7594</v>
      </c>
      <c r="I45" s="25" t="str">
        <f>VLOOKUP(E45,Customers!$A$2:$I$1001,6,0)</f>
        <v>Boston</v>
      </c>
      <c r="J45" s="25" t="str">
        <f>VLOOKUP(E45,Customers!$A$2:$I$1001,7,0)</f>
        <v>United States</v>
      </c>
      <c r="K45" s="23" t="str">
        <f>VLOOKUP(E45,Customers!$A$2:$I$1001,9,0)</f>
        <v>No</v>
      </c>
      <c r="L45" s="4" t="s">
        <v>104</v>
      </c>
      <c r="M45" s="4" t="str">
        <f>VLOOKUP(L45,Products!$A$2:$G$49,2,0)</f>
        <v>Liberica</v>
      </c>
      <c r="N45" s="4" t="str">
        <f>VLOOKUP(L45,Products!$A$2:$G$49,3,0)</f>
        <v>Light</v>
      </c>
      <c r="O45" s="25">
        <v>2</v>
      </c>
      <c r="P45" s="5">
        <f>INDEX([1]products!$A$1:$G$49,MATCH([1]orders!$D45,[1]products!$A$1:$A$49,0),MATCH([1]orders!K$1,[1]products!$A$1:$G$1,0))</f>
        <v>2.5</v>
      </c>
      <c r="Q45" s="6">
        <f>INDEX([1]products!$A$1:$G$49,MATCH([1]orders!$D45,[1]products!$A$1:$A$49,0),MATCH([1]orders!L$1,[1]products!$A$1:$G$1,0))</f>
        <v>36.454999999999998</v>
      </c>
      <c r="R45" s="6">
        <f t="shared" si="0"/>
        <v>72.91</v>
      </c>
      <c r="S45">
        <f>VLOOKUP(L45,Products!$A$2:$G$49,7,0)</f>
        <v>4.7391499999999995</v>
      </c>
      <c r="T45">
        <f t="shared" si="3"/>
        <v>9.4782999999999991</v>
      </c>
      <c r="U45" s="33">
        <f t="shared" si="4"/>
        <v>13</v>
      </c>
    </row>
    <row r="46" spans="1:21" x14ac:dyDescent="0.25">
      <c r="A46" s="1" t="s">
        <v>105</v>
      </c>
      <c r="B46" s="28">
        <v>43932</v>
      </c>
      <c r="C46" s="21" t="str">
        <f t="shared" si="1"/>
        <v>2020</v>
      </c>
      <c r="D46" s="19" t="str">
        <f t="shared" si="2"/>
        <v>April</v>
      </c>
      <c r="E46" s="3" t="s">
        <v>106</v>
      </c>
      <c r="F46" s="3" t="str">
        <f>VLOOKUP(E46,Customers!$A$2:$I$1001,2,0)</f>
        <v>Olag Baudassi</v>
      </c>
      <c r="G46" s="3" t="str">
        <f>VLOOKUP(E46,Customers!$A$2:$I$1001,3,0)</f>
        <v>obaudassi18@seesaa.net</v>
      </c>
      <c r="H46" s="3" t="str">
        <f>VLOOKUP(E46,Customers!$A$2:$I$1001,4,0)</f>
        <v>+1 (585) 356-6251</v>
      </c>
      <c r="I46" s="25" t="str">
        <f>VLOOKUP(E46,Customers!$A$2:$I$1001,6,0)</f>
        <v>Rochester</v>
      </c>
      <c r="J46" s="25" t="str">
        <f>VLOOKUP(E46,Customers!$A$2:$I$1001,7,0)</f>
        <v>United States</v>
      </c>
      <c r="K46" s="23" t="str">
        <f>VLOOKUP(E46,Customers!$A$2:$I$1001,9,0)</f>
        <v>Yes</v>
      </c>
      <c r="L46" s="4" t="s">
        <v>3</v>
      </c>
      <c r="M46" s="4" t="str">
        <f>VLOOKUP(L46,Products!$A$2:$G$49,2,0)</f>
        <v>Excelsa</v>
      </c>
      <c r="N46" s="4" t="str">
        <f>VLOOKUP(L46,Products!$A$2:$G$49,3,0)</f>
        <v>Medium</v>
      </c>
      <c r="O46" s="25">
        <v>2</v>
      </c>
      <c r="P46" s="5">
        <f>INDEX([1]products!$A$1:$G$49,MATCH([1]orders!$D46,[1]products!$A$1:$A$49,0),MATCH([1]orders!K$1,[1]products!$A$1:$G$1,0))</f>
        <v>0.5</v>
      </c>
      <c r="Q46" s="6">
        <f>INDEX([1]products!$A$1:$G$49,MATCH([1]orders!$D46,[1]products!$A$1:$A$49,0),MATCH([1]orders!L$1,[1]products!$A$1:$G$1,0))</f>
        <v>8.25</v>
      </c>
      <c r="R46" s="6">
        <f t="shared" si="0"/>
        <v>16.5</v>
      </c>
      <c r="S46">
        <f>VLOOKUP(L46,Products!$A$2:$G$49,7,0)</f>
        <v>0.90749999999999997</v>
      </c>
      <c r="T46">
        <f t="shared" si="3"/>
        <v>1.8149999999999999</v>
      </c>
      <c r="U46" s="33">
        <f t="shared" si="4"/>
        <v>11</v>
      </c>
    </row>
    <row r="47" spans="1:21" x14ac:dyDescent="0.25">
      <c r="A47" s="1" t="s">
        <v>107</v>
      </c>
      <c r="B47" s="28">
        <v>44592</v>
      </c>
      <c r="C47" s="21" t="str">
        <f t="shared" si="1"/>
        <v>2022</v>
      </c>
      <c r="D47" s="19" t="str">
        <f t="shared" si="2"/>
        <v>January</v>
      </c>
      <c r="E47" s="3" t="s">
        <v>108</v>
      </c>
      <c r="F47" s="3" t="str">
        <f>VLOOKUP(E47,Customers!$A$2:$I$1001,2,0)</f>
        <v>Petey Kingsbury</v>
      </c>
      <c r="G47" s="3" t="str">
        <f>VLOOKUP(E47,Customers!$A$2:$I$1001,3,0)</f>
        <v>pkingsbury19@comcast.net</v>
      </c>
      <c r="H47" s="3" t="str">
        <f>VLOOKUP(E47,Customers!$A$2:$I$1001,4,0)</f>
        <v>+1 (917) 705-8224</v>
      </c>
      <c r="I47" s="25" t="str">
        <f>VLOOKUP(E47,Customers!$A$2:$I$1001,6,0)</f>
        <v>Bronx</v>
      </c>
      <c r="J47" s="25" t="str">
        <f>VLOOKUP(E47,Customers!$A$2:$I$1001,7,0)</f>
        <v>United States</v>
      </c>
      <c r="K47" s="23" t="str">
        <f>VLOOKUP(E47,Customers!$A$2:$I$1001,9,0)</f>
        <v>No</v>
      </c>
      <c r="L47" s="4" t="s">
        <v>109</v>
      </c>
      <c r="M47" s="4" t="str">
        <f>VLOOKUP(L47,Products!$A$2:$G$49,2,0)</f>
        <v>Liberica</v>
      </c>
      <c r="N47" s="4" t="str">
        <f>VLOOKUP(L47,Products!$A$2:$G$49,3,0)</f>
        <v>Dark</v>
      </c>
      <c r="O47" s="25">
        <v>6</v>
      </c>
      <c r="P47" s="5">
        <f>INDEX([1]products!$A$1:$G$49,MATCH([1]orders!$D47,[1]products!$A$1:$A$49,0),MATCH([1]orders!K$1,[1]products!$A$1:$G$1,0))</f>
        <v>2.5</v>
      </c>
      <c r="Q47" s="6">
        <f>INDEX([1]products!$A$1:$G$49,MATCH([1]orders!$D47,[1]products!$A$1:$A$49,0),MATCH([1]orders!L$1,[1]products!$A$1:$G$1,0))</f>
        <v>29.784999999999997</v>
      </c>
      <c r="R47" s="6">
        <f t="shared" si="0"/>
        <v>178.70999999999998</v>
      </c>
      <c r="S47">
        <f>VLOOKUP(L47,Products!$A$2:$G$49,7,0)</f>
        <v>3.8720499999999998</v>
      </c>
      <c r="T47">
        <f t="shared" si="3"/>
        <v>23.232299999999999</v>
      </c>
      <c r="U47" s="33">
        <f t="shared" si="4"/>
        <v>13</v>
      </c>
    </row>
    <row r="48" spans="1:21" x14ac:dyDescent="0.25">
      <c r="A48" s="1" t="s">
        <v>110</v>
      </c>
      <c r="B48" s="28">
        <v>43776</v>
      </c>
      <c r="C48" s="21" t="str">
        <f t="shared" si="1"/>
        <v>2019</v>
      </c>
      <c r="D48" s="19" t="str">
        <f t="shared" si="2"/>
        <v>November</v>
      </c>
      <c r="E48" s="3" t="s">
        <v>111</v>
      </c>
      <c r="F48" s="3" t="str">
        <f>VLOOKUP(E48,Customers!$A$2:$I$1001,2,0)</f>
        <v>Donna Baskeyfied</v>
      </c>
      <c r="G48" s="3" t="str">
        <f>VLOOKUP(E48,Customers!$A$2:$I$1001,3,0)</f>
        <v>UNKNOWN</v>
      </c>
      <c r="H48" s="3" t="str">
        <f>VLOOKUP(E48,Customers!$A$2:$I$1001,4,0)</f>
        <v>+1 (205) 923-1460</v>
      </c>
      <c r="I48" s="25" t="str">
        <f>VLOOKUP(E48,Customers!$A$2:$I$1001,6,0)</f>
        <v>Birmingham</v>
      </c>
      <c r="J48" s="25" t="str">
        <f>VLOOKUP(E48,Customers!$A$2:$I$1001,7,0)</f>
        <v>United States</v>
      </c>
      <c r="K48" s="23" t="str">
        <f>VLOOKUP(E48,Customers!$A$2:$I$1001,9,0)</f>
        <v>Yes</v>
      </c>
      <c r="L48" s="4" t="s">
        <v>112</v>
      </c>
      <c r="M48" s="4" t="str">
        <f>VLOOKUP(L48,Products!$A$2:$G$49,2,0)</f>
        <v>Excelsa</v>
      </c>
      <c r="N48" s="4" t="str">
        <f>VLOOKUP(L48,Products!$A$2:$G$49,3,0)</f>
        <v>Medium</v>
      </c>
      <c r="O48" s="25">
        <v>2</v>
      </c>
      <c r="P48" s="5">
        <f>INDEX([1]products!$A$1:$G$49,MATCH([1]orders!$D48,[1]products!$A$1:$A$49,0),MATCH([1]orders!K$1,[1]products!$A$1:$G$1,0))</f>
        <v>2.5</v>
      </c>
      <c r="Q48" s="6">
        <f>INDEX([1]products!$A$1:$G$49,MATCH([1]orders!$D48,[1]products!$A$1:$A$49,0),MATCH([1]orders!L$1,[1]products!$A$1:$G$1,0))</f>
        <v>31.624999999999996</v>
      </c>
      <c r="R48" s="6">
        <f t="shared" si="0"/>
        <v>63.249999999999993</v>
      </c>
      <c r="S48">
        <f>VLOOKUP(L48,Products!$A$2:$G$49,7,0)</f>
        <v>3.4787499999999998</v>
      </c>
      <c r="T48">
        <f t="shared" si="3"/>
        <v>6.9574999999999996</v>
      </c>
      <c r="U48" s="33">
        <f t="shared" si="4"/>
        <v>11</v>
      </c>
    </row>
    <row r="49" spans="1:21" x14ac:dyDescent="0.25">
      <c r="A49" s="1" t="s">
        <v>113</v>
      </c>
      <c r="B49" s="28">
        <v>43644</v>
      </c>
      <c r="C49" s="21" t="str">
        <f t="shared" si="1"/>
        <v>2019</v>
      </c>
      <c r="D49" s="19" t="str">
        <f t="shared" si="2"/>
        <v>June</v>
      </c>
      <c r="E49" s="3" t="s">
        <v>114</v>
      </c>
      <c r="F49" s="3" t="str">
        <f>VLOOKUP(E49,Customers!$A$2:$I$1001,2,0)</f>
        <v>Arda Curley</v>
      </c>
      <c r="G49" s="3" t="str">
        <f>VLOOKUP(E49,Customers!$A$2:$I$1001,3,0)</f>
        <v>acurley1b@hao123.com</v>
      </c>
      <c r="H49" s="3" t="str">
        <f>VLOOKUP(E49,Customers!$A$2:$I$1001,4,0)</f>
        <v>+1 (760) 840-3808</v>
      </c>
      <c r="I49" s="25" t="str">
        <f>VLOOKUP(E49,Customers!$A$2:$I$1001,6,0)</f>
        <v>San Bernardino</v>
      </c>
      <c r="J49" s="25" t="str">
        <f>VLOOKUP(E49,Customers!$A$2:$I$1001,7,0)</f>
        <v>United States</v>
      </c>
      <c r="K49" s="23" t="str">
        <f>VLOOKUP(E49,Customers!$A$2:$I$1001,9,0)</f>
        <v>Yes</v>
      </c>
      <c r="L49" s="4" t="s">
        <v>115</v>
      </c>
      <c r="M49" s="4" t="str">
        <f>VLOOKUP(L49,Products!$A$2:$G$49,2,0)</f>
        <v>Arabica</v>
      </c>
      <c r="N49" s="4" t="str">
        <f>VLOOKUP(L49,Products!$A$2:$G$49,3,0)</f>
        <v>Light</v>
      </c>
      <c r="O49" s="25">
        <v>2</v>
      </c>
      <c r="P49" s="5">
        <f>INDEX([1]products!$A$1:$G$49,MATCH([1]orders!$D49,[1]products!$A$1:$A$49,0),MATCH([1]orders!K$1,[1]products!$A$1:$G$1,0))</f>
        <v>0.2</v>
      </c>
      <c r="Q49" s="6">
        <f>INDEX([1]products!$A$1:$G$49,MATCH([1]orders!$D49,[1]products!$A$1:$A$49,0),MATCH([1]orders!L$1,[1]products!$A$1:$G$1,0))</f>
        <v>3.8849999999999998</v>
      </c>
      <c r="R49" s="6">
        <f t="shared" si="0"/>
        <v>7.77</v>
      </c>
      <c r="S49">
        <f>VLOOKUP(L49,Products!$A$2:$G$49,7,0)</f>
        <v>0.34964999999999996</v>
      </c>
      <c r="T49">
        <f t="shared" si="3"/>
        <v>0.69929999999999992</v>
      </c>
      <c r="U49" s="33">
        <f t="shared" si="4"/>
        <v>9</v>
      </c>
    </row>
    <row r="50" spans="1:21" x14ac:dyDescent="0.25">
      <c r="A50" s="1" t="s">
        <v>116</v>
      </c>
      <c r="B50" s="28">
        <v>44085</v>
      </c>
      <c r="C50" s="21" t="str">
        <f t="shared" si="1"/>
        <v>2020</v>
      </c>
      <c r="D50" s="19" t="str">
        <f t="shared" si="2"/>
        <v>September</v>
      </c>
      <c r="E50" s="3" t="s">
        <v>117</v>
      </c>
      <c r="F50" s="3" t="str">
        <f>VLOOKUP(E50,Customers!$A$2:$I$1001,2,0)</f>
        <v>Raynor McGilvary</v>
      </c>
      <c r="G50" s="3" t="str">
        <f>VLOOKUP(E50,Customers!$A$2:$I$1001,3,0)</f>
        <v>rmcgilvary1c@tamu.edu</v>
      </c>
      <c r="H50" s="3" t="str">
        <f>VLOOKUP(E50,Customers!$A$2:$I$1001,4,0)</f>
        <v>UNKNOWN</v>
      </c>
      <c r="I50" s="25" t="str">
        <f>VLOOKUP(E50,Customers!$A$2:$I$1001,6,0)</f>
        <v>Norfolk</v>
      </c>
      <c r="J50" s="25" t="str">
        <f>VLOOKUP(E50,Customers!$A$2:$I$1001,7,0)</f>
        <v>United States</v>
      </c>
      <c r="K50" s="23" t="str">
        <f>VLOOKUP(E50,Customers!$A$2:$I$1001,9,0)</f>
        <v>No</v>
      </c>
      <c r="L50" s="4" t="s">
        <v>118</v>
      </c>
      <c r="M50" s="4" t="str">
        <f>VLOOKUP(L50,Products!$A$2:$G$49,2,0)</f>
        <v>Arabica</v>
      </c>
      <c r="N50" s="4" t="str">
        <f>VLOOKUP(L50,Products!$A$2:$G$49,3,0)</f>
        <v>Dark</v>
      </c>
      <c r="O50" s="25">
        <v>4</v>
      </c>
      <c r="P50" s="5">
        <f>INDEX([1]products!$A$1:$G$49,MATCH([1]orders!$D50,[1]products!$A$1:$A$49,0),MATCH([1]orders!K$1,[1]products!$A$1:$G$1,0))</f>
        <v>2.5</v>
      </c>
      <c r="Q50" s="6">
        <f>INDEX([1]products!$A$1:$G$49,MATCH([1]orders!$D50,[1]products!$A$1:$A$49,0),MATCH([1]orders!L$1,[1]products!$A$1:$G$1,0))</f>
        <v>22.884999999999998</v>
      </c>
      <c r="R50" s="6">
        <f t="shared" si="0"/>
        <v>91.539999999999992</v>
      </c>
      <c r="S50">
        <f>VLOOKUP(L50,Products!$A$2:$G$49,7,0)</f>
        <v>2.0596499999999995</v>
      </c>
      <c r="T50">
        <f t="shared" si="3"/>
        <v>8.2385999999999981</v>
      </c>
      <c r="U50" s="33">
        <f t="shared" si="4"/>
        <v>8.9999999999999982</v>
      </c>
    </row>
    <row r="51" spans="1:21" x14ac:dyDescent="0.25">
      <c r="A51" s="1" t="s">
        <v>119</v>
      </c>
      <c r="B51" s="28">
        <v>44790</v>
      </c>
      <c r="C51" s="21" t="str">
        <f t="shared" si="1"/>
        <v>2022</v>
      </c>
      <c r="D51" s="19" t="str">
        <f t="shared" si="2"/>
        <v>August</v>
      </c>
      <c r="E51" s="3" t="s">
        <v>120</v>
      </c>
      <c r="F51" s="3" t="str">
        <f>VLOOKUP(E51,Customers!$A$2:$I$1001,2,0)</f>
        <v>Isis Pikett</v>
      </c>
      <c r="G51" s="3" t="str">
        <f>VLOOKUP(E51,Customers!$A$2:$I$1001,3,0)</f>
        <v>ipikett1d@xinhuanet.com</v>
      </c>
      <c r="H51" s="3" t="str">
        <f>VLOOKUP(E51,Customers!$A$2:$I$1001,4,0)</f>
        <v>+1 (202) 871-9039</v>
      </c>
      <c r="I51" s="25" t="str">
        <f>VLOOKUP(E51,Customers!$A$2:$I$1001,6,0)</f>
        <v>Washington</v>
      </c>
      <c r="J51" s="25" t="str">
        <f>VLOOKUP(E51,Customers!$A$2:$I$1001,7,0)</f>
        <v>United States</v>
      </c>
      <c r="K51" s="23" t="str">
        <f>VLOOKUP(E51,Customers!$A$2:$I$1001,9,0)</f>
        <v>No</v>
      </c>
      <c r="L51" s="4" t="s">
        <v>6</v>
      </c>
      <c r="M51" s="4" t="str">
        <f>VLOOKUP(L51,Products!$A$2:$G$49,2,0)</f>
        <v>Arabica</v>
      </c>
      <c r="N51" s="4" t="str">
        <f>VLOOKUP(L51,Products!$A$2:$G$49,3,0)</f>
        <v>Light</v>
      </c>
      <c r="O51" s="25">
        <v>3</v>
      </c>
      <c r="P51" s="5">
        <f>INDEX([1]products!$A$1:$G$49,MATCH([1]orders!$D51,[1]products!$A$1:$A$49,0),MATCH([1]orders!K$1,[1]products!$A$1:$G$1,0))</f>
        <v>1</v>
      </c>
      <c r="Q51" s="6">
        <f>INDEX([1]products!$A$1:$G$49,MATCH([1]orders!$D51,[1]products!$A$1:$A$49,0),MATCH([1]orders!L$1,[1]products!$A$1:$G$1,0))</f>
        <v>12.95</v>
      </c>
      <c r="R51" s="6">
        <f t="shared" si="0"/>
        <v>38.849999999999994</v>
      </c>
      <c r="S51">
        <f>VLOOKUP(L51,Products!$A$2:$G$49,7,0)</f>
        <v>1.1655</v>
      </c>
      <c r="T51">
        <f t="shared" si="3"/>
        <v>3.4965000000000002</v>
      </c>
      <c r="U51" s="33">
        <f t="shared" si="4"/>
        <v>9.0000000000000018</v>
      </c>
    </row>
    <row r="52" spans="1:21" x14ac:dyDescent="0.25">
      <c r="A52" s="1" t="s">
        <v>121</v>
      </c>
      <c r="B52" s="28">
        <v>44792</v>
      </c>
      <c r="C52" s="21" t="str">
        <f t="shared" si="1"/>
        <v>2022</v>
      </c>
      <c r="D52" s="19" t="str">
        <f t="shared" si="2"/>
        <v>August</v>
      </c>
      <c r="E52" s="3" t="s">
        <v>122</v>
      </c>
      <c r="F52" s="3" t="str">
        <f>VLOOKUP(E52,Customers!$A$2:$I$1001,2,0)</f>
        <v>Inger Bouldon</v>
      </c>
      <c r="G52" s="3" t="str">
        <f>VLOOKUP(E52,Customers!$A$2:$I$1001,3,0)</f>
        <v>ibouldon1e@gizmodo.com</v>
      </c>
      <c r="H52" s="3" t="str">
        <f>VLOOKUP(E52,Customers!$A$2:$I$1001,4,0)</f>
        <v>+1 (754) 391-4736</v>
      </c>
      <c r="I52" s="25" t="str">
        <f>VLOOKUP(E52,Customers!$A$2:$I$1001,6,0)</f>
        <v>Fort Lauderdale</v>
      </c>
      <c r="J52" s="25" t="str">
        <f>VLOOKUP(E52,Customers!$A$2:$I$1001,7,0)</f>
        <v>United States</v>
      </c>
      <c r="K52" s="23" t="str">
        <f>VLOOKUP(E52,Customers!$A$2:$I$1001,9,0)</f>
        <v>No</v>
      </c>
      <c r="L52" s="4" t="s">
        <v>123</v>
      </c>
      <c r="M52" s="4" t="str">
        <f>VLOOKUP(L52,Products!$A$2:$G$49,2,0)</f>
        <v>Liberica</v>
      </c>
      <c r="N52" s="4" t="str">
        <f>VLOOKUP(L52,Products!$A$2:$G$49,3,0)</f>
        <v>Dark</v>
      </c>
      <c r="O52" s="25">
        <v>2</v>
      </c>
      <c r="P52" s="5">
        <f>INDEX([1]products!$A$1:$G$49,MATCH([1]orders!$D52,[1]products!$A$1:$A$49,0),MATCH([1]orders!K$1,[1]products!$A$1:$G$1,0))</f>
        <v>0.5</v>
      </c>
      <c r="Q52" s="6">
        <f>INDEX([1]products!$A$1:$G$49,MATCH([1]orders!$D52,[1]products!$A$1:$A$49,0),MATCH([1]orders!L$1,[1]products!$A$1:$G$1,0))</f>
        <v>7.77</v>
      </c>
      <c r="R52" s="6">
        <f t="shared" si="0"/>
        <v>15.54</v>
      </c>
      <c r="S52">
        <f>VLOOKUP(L52,Products!$A$2:$G$49,7,0)</f>
        <v>1.0101</v>
      </c>
      <c r="T52">
        <f t="shared" si="3"/>
        <v>2.0202</v>
      </c>
      <c r="U52" s="33">
        <f t="shared" si="4"/>
        <v>13</v>
      </c>
    </row>
    <row r="53" spans="1:21" x14ac:dyDescent="0.25">
      <c r="A53" s="1" t="s">
        <v>124</v>
      </c>
      <c r="B53" s="28">
        <v>43600</v>
      </c>
      <c r="C53" s="21" t="str">
        <f t="shared" si="1"/>
        <v>2019</v>
      </c>
      <c r="D53" s="19" t="str">
        <f t="shared" si="2"/>
        <v>May</v>
      </c>
      <c r="E53" s="3" t="s">
        <v>125</v>
      </c>
      <c r="F53" s="3" t="str">
        <f>VLOOKUP(E53,Customers!$A$2:$I$1001,2,0)</f>
        <v>Karry Flanders</v>
      </c>
      <c r="G53" s="3" t="str">
        <f>VLOOKUP(E53,Customers!$A$2:$I$1001,3,0)</f>
        <v>kflanders1f@over-blog.com</v>
      </c>
      <c r="H53" s="3" t="str">
        <f>VLOOKUP(E53,Customers!$A$2:$I$1001,4,0)</f>
        <v>+353 (467) 720-7274</v>
      </c>
      <c r="I53" s="25" t="str">
        <f>VLOOKUP(E53,Customers!$A$2:$I$1001,6,0)</f>
        <v>Crumlin</v>
      </c>
      <c r="J53" s="25" t="str">
        <f>VLOOKUP(E53,Customers!$A$2:$I$1001,7,0)</f>
        <v>Ireland</v>
      </c>
      <c r="K53" s="23" t="str">
        <f>VLOOKUP(E53,Customers!$A$2:$I$1001,9,0)</f>
        <v>Yes</v>
      </c>
      <c r="L53" s="4" t="s">
        <v>104</v>
      </c>
      <c r="M53" s="4" t="str">
        <f>VLOOKUP(L53,Products!$A$2:$G$49,2,0)</f>
        <v>Liberica</v>
      </c>
      <c r="N53" s="4" t="str">
        <f>VLOOKUP(L53,Products!$A$2:$G$49,3,0)</f>
        <v>Light</v>
      </c>
      <c r="O53" s="25">
        <v>4</v>
      </c>
      <c r="P53" s="5">
        <f>INDEX([1]products!$A$1:$G$49,MATCH([1]orders!$D53,[1]products!$A$1:$A$49,0),MATCH([1]orders!K$1,[1]products!$A$1:$G$1,0))</f>
        <v>2.5</v>
      </c>
      <c r="Q53" s="6">
        <f>INDEX([1]products!$A$1:$G$49,MATCH([1]orders!$D53,[1]products!$A$1:$A$49,0),MATCH([1]orders!L$1,[1]products!$A$1:$G$1,0))</f>
        <v>36.454999999999998</v>
      </c>
      <c r="R53" s="6">
        <f t="shared" si="0"/>
        <v>145.82</v>
      </c>
      <c r="S53">
        <f>VLOOKUP(L53,Products!$A$2:$G$49,7,0)</f>
        <v>4.7391499999999995</v>
      </c>
      <c r="T53">
        <f t="shared" si="3"/>
        <v>18.956599999999998</v>
      </c>
      <c r="U53" s="33">
        <f t="shared" si="4"/>
        <v>13</v>
      </c>
    </row>
    <row r="54" spans="1:21" x14ac:dyDescent="0.25">
      <c r="A54" s="1" t="s">
        <v>126</v>
      </c>
      <c r="B54" s="28">
        <v>43719</v>
      </c>
      <c r="C54" s="21" t="str">
        <f t="shared" si="1"/>
        <v>2019</v>
      </c>
      <c r="D54" s="19" t="str">
        <f t="shared" si="2"/>
        <v>September</v>
      </c>
      <c r="E54" s="3" t="s">
        <v>127</v>
      </c>
      <c r="F54" s="3" t="str">
        <f>VLOOKUP(E54,Customers!$A$2:$I$1001,2,0)</f>
        <v>Hartley Mattioli</v>
      </c>
      <c r="G54" s="3" t="str">
        <f>VLOOKUP(E54,Customers!$A$2:$I$1001,3,0)</f>
        <v>hmattioli1g@webmd.com</v>
      </c>
      <c r="H54" s="3" t="str">
        <f>VLOOKUP(E54,Customers!$A$2:$I$1001,4,0)</f>
        <v>UNKNOWN</v>
      </c>
      <c r="I54" s="25" t="str">
        <f>VLOOKUP(E54,Customers!$A$2:$I$1001,6,0)</f>
        <v>Kinloch</v>
      </c>
      <c r="J54" s="25" t="str">
        <f>VLOOKUP(E54,Customers!$A$2:$I$1001,7,0)</f>
        <v>United Kingdom</v>
      </c>
      <c r="K54" s="23" t="str">
        <f>VLOOKUP(E54,Customers!$A$2:$I$1001,9,0)</f>
        <v>No</v>
      </c>
      <c r="L54" s="4" t="s">
        <v>22</v>
      </c>
      <c r="M54" s="4" t="str">
        <f>VLOOKUP(L54,Products!$A$2:$G$49,2,0)</f>
        <v>Robusta</v>
      </c>
      <c r="N54" s="4" t="str">
        <f>VLOOKUP(L54,Products!$A$2:$G$49,3,0)</f>
        <v>Medium</v>
      </c>
      <c r="O54" s="25">
        <v>5</v>
      </c>
      <c r="P54" s="5">
        <f>INDEX([1]products!$A$1:$G$49,MATCH([1]orders!$D54,[1]products!$A$1:$A$49,0),MATCH([1]orders!K$1,[1]products!$A$1:$G$1,0))</f>
        <v>0.5</v>
      </c>
      <c r="Q54" s="6">
        <f>INDEX([1]products!$A$1:$G$49,MATCH([1]orders!$D54,[1]products!$A$1:$A$49,0),MATCH([1]orders!L$1,[1]products!$A$1:$G$1,0))</f>
        <v>5.97</v>
      </c>
      <c r="R54" s="6">
        <f t="shared" si="0"/>
        <v>29.849999999999998</v>
      </c>
      <c r="S54">
        <f>VLOOKUP(L54,Products!$A$2:$G$49,7,0)</f>
        <v>0.35819999999999996</v>
      </c>
      <c r="T54">
        <f t="shared" si="3"/>
        <v>1.7909999999999999</v>
      </c>
      <c r="U54" s="33">
        <f t="shared" si="4"/>
        <v>6.0000000000000009</v>
      </c>
    </row>
    <row r="55" spans="1:21" x14ac:dyDescent="0.25">
      <c r="A55" s="1" t="s">
        <v>126</v>
      </c>
      <c r="B55" s="28">
        <v>43719</v>
      </c>
      <c r="C55" s="21" t="str">
        <f t="shared" si="1"/>
        <v>2019</v>
      </c>
      <c r="D55" s="19" t="str">
        <f t="shared" si="2"/>
        <v>September</v>
      </c>
      <c r="E55" s="3" t="s">
        <v>127</v>
      </c>
      <c r="F55" s="3" t="str">
        <f>VLOOKUP(E55,Customers!$A$2:$I$1001,2,0)</f>
        <v>Hartley Mattioli</v>
      </c>
      <c r="G55" s="3" t="str">
        <f>VLOOKUP(E55,Customers!$A$2:$I$1001,3,0)</f>
        <v>hmattioli1g@webmd.com</v>
      </c>
      <c r="H55" s="3" t="str">
        <f>VLOOKUP(E55,Customers!$A$2:$I$1001,4,0)</f>
        <v>UNKNOWN</v>
      </c>
      <c r="I55" s="25" t="str">
        <f>VLOOKUP(E55,Customers!$A$2:$I$1001,6,0)</f>
        <v>Kinloch</v>
      </c>
      <c r="J55" s="25" t="str">
        <f>VLOOKUP(E55,Customers!$A$2:$I$1001,7,0)</f>
        <v>United Kingdom</v>
      </c>
      <c r="K55" s="23" t="str">
        <f>VLOOKUP(E55,Customers!$A$2:$I$1001,9,0)</f>
        <v>No</v>
      </c>
      <c r="L55" s="4" t="s">
        <v>104</v>
      </c>
      <c r="M55" s="4" t="str">
        <f>VLOOKUP(L55,Products!$A$2:$G$49,2,0)</f>
        <v>Liberica</v>
      </c>
      <c r="N55" s="4" t="str">
        <f>VLOOKUP(L55,Products!$A$2:$G$49,3,0)</f>
        <v>Light</v>
      </c>
      <c r="O55" s="25">
        <v>2</v>
      </c>
      <c r="P55" s="5">
        <f>INDEX([1]products!$A$1:$G$49,MATCH([1]orders!$D55,[1]products!$A$1:$A$49,0),MATCH([1]orders!K$1,[1]products!$A$1:$G$1,0))</f>
        <v>2.5</v>
      </c>
      <c r="Q55" s="6">
        <f>INDEX([1]products!$A$1:$G$49,MATCH([1]orders!$D55,[1]products!$A$1:$A$49,0),MATCH([1]orders!L$1,[1]products!$A$1:$G$1,0))</f>
        <v>36.454999999999998</v>
      </c>
      <c r="R55" s="6">
        <f t="shared" si="0"/>
        <v>72.91</v>
      </c>
      <c r="S55">
        <f>VLOOKUP(L55,Products!$A$2:$G$49,7,0)</f>
        <v>4.7391499999999995</v>
      </c>
      <c r="T55">
        <f t="shared" si="3"/>
        <v>9.4782999999999991</v>
      </c>
      <c r="U55" s="33">
        <f t="shared" si="4"/>
        <v>13</v>
      </c>
    </row>
    <row r="56" spans="1:21" x14ac:dyDescent="0.25">
      <c r="A56" s="1" t="s">
        <v>128</v>
      </c>
      <c r="B56" s="28">
        <v>44271</v>
      </c>
      <c r="C56" s="21" t="str">
        <f t="shared" si="1"/>
        <v>2021</v>
      </c>
      <c r="D56" s="19" t="str">
        <f t="shared" si="2"/>
        <v>March</v>
      </c>
      <c r="E56" s="3" t="s">
        <v>129</v>
      </c>
      <c r="F56" s="3" t="str">
        <f>VLOOKUP(E56,Customers!$A$2:$I$1001,2,0)</f>
        <v>Archambault Gillard</v>
      </c>
      <c r="G56" s="3" t="str">
        <f>VLOOKUP(E56,Customers!$A$2:$I$1001,3,0)</f>
        <v>agillard1i@issuu.com</v>
      </c>
      <c r="H56" s="3" t="str">
        <f>VLOOKUP(E56,Customers!$A$2:$I$1001,4,0)</f>
        <v>+1 (419) 663-2236</v>
      </c>
      <c r="I56" s="25" t="str">
        <f>VLOOKUP(E56,Customers!$A$2:$I$1001,6,0)</f>
        <v>Toledo</v>
      </c>
      <c r="J56" s="25" t="str">
        <f>VLOOKUP(E56,Customers!$A$2:$I$1001,7,0)</f>
        <v>United States</v>
      </c>
      <c r="K56" s="23" t="str">
        <f>VLOOKUP(E56,Customers!$A$2:$I$1001,9,0)</f>
        <v>No</v>
      </c>
      <c r="L56" s="4" t="s">
        <v>96</v>
      </c>
      <c r="M56" s="4" t="str">
        <f>VLOOKUP(L56,Products!$A$2:$G$49,2,0)</f>
        <v>Liberica</v>
      </c>
      <c r="N56" s="4" t="str">
        <f>VLOOKUP(L56,Products!$A$2:$G$49,3,0)</f>
        <v>Medium</v>
      </c>
      <c r="O56" s="25">
        <v>5</v>
      </c>
      <c r="P56" s="5">
        <f>INDEX([1]products!$A$1:$G$49,MATCH([1]orders!$D56,[1]products!$A$1:$A$49,0),MATCH([1]orders!K$1,[1]products!$A$1:$G$1,0))</f>
        <v>1</v>
      </c>
      <c r="Q56" s="6">
        <f>INDEX([1]products!$A$1:$G$49,MATCH([1]orders!$D56,[1]products!$A$1:$A$49,0),MATCH([1]orders!L$1,[1]products!$A$1:$G$1,0))</f>
        <v>14.55</v>
      </c>
      <c r="R56" s="6">
        <f t="shared" si="0"/>
        <v>72.75</v>
      </c>
      <c r="S56">
        <f>VLOOKUP(L56,Products!$A$2:$G$49,7,0)</f>
        <v>1.8915000000000002</v>
      </c>
      <c r="T56">
        <f t="shared" si="3"/>
        <v>9.4575000000000014</v>
      </c>
      <c r="U56" s="33">
        <f t="shared" si="4"/>
        <v>13.000000000000004</v>
      </c>
    </row>
    <row r="57" spans="1:21" x14ac:dyDescent="0.25">
      <c r="A57" s="1" t="s">
        <v>130</v>
      </c>
      <c r="B57" s="28">
        <v>44168</v>
      </c>
      <c r="C57" s="21" t="str">
        <f t="shared" si="1"/>
        <v>2020</v>
      </c>
      <c r="D57" s="19" t="str">
        <f t="shared" si="2"/>
        <v>December</v>
      </c>
      <c r="E57" s="3" t="s">
        <v>131</v>
      </c>
      <c r="F57" s="3" t="str">
        <f>VLOOKUP(E57,Customers!$A$2:$I$1001,2,0)</f>
        <v>Salomo Cushworth</v>
      </c>
      <c r="G57" s="3" t="str">
        <f>VLOOKUP(E57,Customers!$A$2:$I$1001,3,0)</f>
        <v>UNKNOWN</v>
      </c>
      <c r="H57" s="3" t="str">
        <f>VLOOKUP(E57,Customers!$A$2:$I$1001,4,0)</f>
        <v>+1 (609) 409-7044</v>
      </c>
      <c r="I57" s="25" t="str">
        <f>VLOOKUP(E57,Customers!$A$2:$I$1001,6,0)</f>
        <v>Trenton</v>
      </c>
      <c r="J57" s="25" t="str">
        <f>VLOOKUP(E57,Customers!$A$2:$I$1001,7,0)</f>
        <v>United States</v>
      </c>
      <c r="K57" s="23" t="str">
        <f>VLOOKUP(E57,Customers!$A$2:$I$1001,9,0)</f>
        <v>No</v>
      </c>
      <c r="L57" s="4" t="s">
        <v>132</v>
      </c>
      <c r="M57" s="4" t="str">
        <f>VLOOKUP(L57,Products!$A$2:$G$49,2,0)</f>
        <v>Liberica</v>
      </c>
      <c r="N57" s="4" t="str">
        <f>VLOOKUP(L57,Products!$A$2:$G$49,3,0)</f>
        <v>Light</v>
      </c>
      <c r="O57" s="25">
        <v>3</v>
      </c>
      <c r="P57" s="5">
        <f>INDEX([1]products!$A$1:$G$49,MATCH([1]orders!$D57,[1]products!$A$1:$A$49,0),MATCH([1]orders!K$1,[1]products!$A$1:$G$1,0))</f>
        <v>1</v>
      </c>
      <c r="Q57" s="6">
        <f>INDEX([1]products!$A$1:$G$49,MATCH([1]orders!$D57,[1]products!$A$1:$A$49,0),MATCH([1]orders!L$1,[1]products!$A$1:$G$1,0))</f>
        <v>15.85</v>
      </c>
      <c r="R57" s="6">
        <f t="shared" si="0"/>
        <v>47.55</v>
      </c>
      <c r="S57">
        <f>VLOOKUP(L57,Products!$A$2:$G$49,7,0)</f>
        <v>2.0605000000000002</v>
      </c>
      <c r="T57">
        <f t="shared" si="3"/>
        <v>6.1815000000000007</v>
      </c>
      <c r="U57" s="33">
        <f t="shared" si="4"/>
        <v>13.000000000000004</v>
      </c>
    </row>
    <row r="58" spans="1:21" x14ac:dyDescent="0.25">
      <c r="A58" s="1" t="s">
        <v>133</v>
      </c>
      <c r="B58" s="28">
        <v>43857</v>
      </c>
      <c r="C58" s="21" t="str">
        <f t="shared" si="1"/>
        <v>2020</v>
      </c>
      <c r="D58" s="19" t="str">
        <f t="shared" si="2"/>
        <v>January</v>
      </c>
      <c r="E58" s="3" t="s">
        <v>134</v>
      </c>
      <c r="F58" s="3" t="str">
        <f>VLOOKUP(E58,Customers!$A$2:$I$1001,2,0)</f>
        <v>Theda Grizard</v>
      </c>
      <c r="G58" s="3" t="str">
        <f>VLOOKUP(E58,Customers!$A$2:$I$1001,3,0)</f>
        <v>tgrizard1k@odnoklassniki.ru</v>
      </c>
      <c r="H58" s="3" t="str">
        <f>VLOOKUP(E58,Customers!$A$2:$I$1001,4,0)</f>
        <v>+1 (813) 243-2150</v>
      </c>
      <c r="I58" s="25" t="str">
        <f>VLOOKUP(E58,Customers!$A$2:$I$1001,6,0)</f>
        <v>Tampa</v>
      </c>
      <c r="J58" s="25" t="str">
        <f>VLOOKUP(E58,Customers!$A$2:$I$1001,7,0)</f>
        <v>United States</v>
      </c>
      <c r="K58" s="23" t="str">
        <f>VLOOKUP(E58,Customers!$A$2:$I$1001,9,0)</f>
        <v>Yes</v>
      </c>
      <c r="L58" s="4" t="s">
        <v>51</v>
      </c>
      <c r="M58" s="4" t="str">
        <f>VLOOKUP(L58,Products!$A$2:$G$49,2,0)</f>
        <v>Excelsa</v>
      </c>
      <c r="N58" s="4" t="str">
        <f>VLOOKUP(L58,Products!$A$2:$G$49,3,0)</f>
        <v>Dark</v>
      </c>
      <c r="O58" s="25">
        <v>3</v>
      </c>
      <c r="P58" s="5">
        <f>INDEX([1]products!$A$1:$G$49,MATCH([1]orders!$D58,[1]products!$A$1:$A$49,0),MATCH([1]orders!K$1,[1]products!$A$1:$G$1,0))</f>
        <v>0.2</v>
      </c>
      <c r="Q58" s="6">
        <f>INDEX([1]products!$A$1:$G$49,MATCH([1]orders!$D58,[1]products!$A$1:$A$49,0),MATCH([1]orders!L$1,[1]products!$A$1:$G$1,0))</f>
        <v>3.645</v>
      </c>
      <c r="R58" s="6">
        <f t="shared" si="0"/>
        <v>10.935</v>
      </c>
      <c r="S58">
        <f>VLOOKUP(L58,Products!$A$2:$G$49,7,0)</f>
        <v>0.40095000000000003</v>
      </c>
      <c r="T58">
        <f t="shared" si="3"/>
        <v>1.2028500000000002</v>
      </c>
      <c r="U58" s="33">
        <f t="shared" si="4"/>
        <v>11.000000000000002</v>
      </c>
    </row>
    <row r="59" spans="1:21" x14ac:dyDescent="0.25">
      <c r="A59" s="1" t="s">
        <v>135</v>
      </c>
      <c r="B59" s="28">
        <v>44759</v>
      </c>
      <c r="C59" s="21" t="str">
        <f t="shared" si="1"/>
        <v>2022</v>
      </c>
      <c r="D59" s="19" t="str">
        <f t="shared" si="2"/>
        <v>July</v>
      </c>
      <c r="E59" s="3" t="s">
        <v>136</v>
      </c>
      <c r="F59" s="3" t="str">
        <f>VLOOKUP(E59,Customers!$A$2:$I$1001,2,0)</f>
        <v>Rozele Relton</v>
      </c>
      <c r="G59" s="3" t="str">
        <f>VLOOKUP(E59,Customers!$A$2:$I$1001,3,0)</f>
        <v>rrelton1l@stanford.edu</v>
      </c>
      <c r="H59" s="3" t="str">
        <f>VLOOKUP(E59,Customers!$A$2:$I$1001,4,0)</f>
        <v>+1 (850) 626-1181</v>
      </c>
      <c r="I59" s="25" t="str">
        <f>VLOOKUP(E59,Customers!$A$2:$I$1001,6,0)</f>
        <v>Pensacola</v>
      </c>
      <c r="J59" s="25" t="str">
        <f>VLOOKUP(E59,Customers!$A$2:$I$1001,7,0)</f>
        <v>United States</v>
      </c>
      <c r="K59" s="23" t="str">
        <f>VLOOKUP(E59,Customers!$A$2:$I$1001,9,0)</f>
        <v>No</v>
      </c>
      <c r="L59" s="4" t="s">
        <v>137</v>
      </c>
      <c r="M59" s="4" t="str">
        <f>VLOOKUP(L59,Products!$A$2:$G$49,2,0)</f>
        <v>Excelsa</v>
      </c>
      <c r="N59" s="4" t="str">
        <f>VLOOKUP(L59,Products!$A$2:$G$49,3,0)</f>
        <v>Light</v>
      </c>
      <c r="O59" s="25">
        <v>4</v>
      </c>
      <c r="P59" s="5">
        <f>INDEX([1]products!$A$1:$G$49,MATCH([1]orders!$D59,[1]products!$A$1:$A$49,0),MATCH([1]orders!K$1,[1]products!$A$1:$G$1,0))</f>
        <v>1</v>
      </c>
      <c r="Q59" s="6">
        <f>INDEX([1]products!$A$1:$G$49,MATCH([1]orders!$D59,[1]products!$A$1:$A$49,0),MATCH([1]orders!L$1,[1]products!$A$1:$G$1,0))</f>
        <v>14.85</v>
      </c>
      <c r="R59" s="6">
        <f t="shared" si="0"/>
        <v>59.4</v>
      </c>
      <c r="S59">
        <f>VLOOKUP(L59,Products!$A$2:$G$49,7,0)</f>
        <v>1.6335</v>
      </c>
      <c r="T59">
        <f t="shared" si="3"/>
        <v>6.5339999999999998</v>
      </c>
      <c r="U59" s="33">
        <f t="shared" si="4"/>
        <v>11</v>
      </c>
    </row>
    <row r="60" spans="1:21" x14ac:dyDescent="0.25">
      <c r="A60" s="1" t="s">
        <v>138</v>
      </c>
      <c r="B60" s="28">
        <v>44624</v>
      </c>
      <c r="C60" s="21" t="str">
        <f t="shared" si="1"/>
        <v>2022</v>
      </c>
      <c r="D60" s="19" t="str">
        <f t="shared" si="2"/>
        <v>March</v>
      </c>
      <c r="E60" s="3" t="s">
        <v>139</v>
      </c>
      <c r="F60" s="3" t="str">
        <f>VLOOKUP(E60,Customers!$A$2:$I$1001,2,0)</f>
        <v>Willa Rolling</v>
      </c>
      <c r="G60" s="3" t="str">
        <f>VLOOKUP(E60,Customers!$A$2:$I$1001,3,0)</f>
        <v>UNKNOWN</v>
      </c>
      <c r="H60" s="3" t="str">
        <f>VLOOKUP(E60,Customers!$A$2:$I$1001,4,0)</f>
        <v>+1 (813) 759-3534</v>
      </c>
      <c r="I60" s="25" t="str">
        <f>VLOOKUP(E60,Customers!$A$2:$I$1001,6,0)</f>
        <v>Zephyrhills</v>
      </c>
      <c r="J60" s="25" t="str">
        <f>VLOOKUP(E60,Customers!$A$2:$I$1001,7,0)</f>
        <v>United States</v>
      </c>
      <c r="K60" s="23" t="str">
        <f>VLOOKUP(E60,Customers!$A$2:$I$1001,9,0)</f>
        <v>Yes</v>
      </c>
      <c r="L60" s="4" t="s">
        <v>109</v>
      </c>
      <c r="M60" s="4" t="str">
        <f>VLOOKUP(L60,Products!$A$2:$G$49,2,0)</f>
        <v>Liberica</v>
      </c>
      <c r="N60" s="4" t="str">
        <f>VLOOKUP(L60,Products!$A$2:$G$49,3,0)</f>
        <v>Dark</v>
      </c>
      <c r="O60" s="25">
        <v>3</v>
      </c>
      <c r="P60" s="5">
        <f>INDEX([1]products!$A$1:$G$49,MATCH([1]orders!$D60,[1]products!$A$1:$A$49,0),MATCH([1]orders!K$1,[1]products!$A$1:$G$1,0))</f>
        <v>2.5</v>
      </c>
      <c r="Q60" s="6">
        <f>INDEX([1]products!$A$1:$G$49,MATCH([1]orders!$D60,[1]products!$A$1:$A$49,0),MATCH([1]orders!L$1,[1]products!$A$1:$G$1,0))</f>
        <v>29.784999999999997</v>
      </c>
      <c r="R60" s="6">
        <f t="shared" si="0"/>
        <v>89.35499999999999</v>
      </c>
      <c r="S60">
        <f>VLOOKUP(L60,Products!$A$2:$G$49,7,0)</f>
        <v>3.8720499999999998</v>
      </c>
      <c r="T60">
        <f t="shared" si="3"/>
        <v>11.616149999999999</v>
      </c>
      <c r="U60" s="33">
        <f t="shared" si="4"/>
        <v>13</v>
      </c>
    </row>
    <row r="61" spans="1:21" x14ac:dyDescent="0.25">
      <c r="A61" s="1" t="s">
        <v>140</v>
      </c>
      <c r="B61" s="28">
        <v>44537</v>
      </c>
      <c r="C61" s="21" t="str">
        <f t="shared" si="1"/>
        <v>2021</v>
      </c>
      <c r="D61" s="19" t="str">
        <f t="shared" si="2"/>
        <v>December</v>
      </c>
      <c r="E61" s="3" t="s">
        <v>141</v>
      </c>
      <c r="F61" s="3" t="str">
        <f>VLOOKUP(E61,Customers!$A$2:$I$1001,2,0)</f>
        <v>Stanislaus Gilroy</v>
      </c>
      <c r="G61" s="3" t="str">
        <f>VLOOKUP(E61,Customers!$A$2:$I$1001,3,0)</f>
        <v>sgilroy1n@eepurl.com</v>
      </c>
      <c r="H61" s="3" t="str">
        <f>VLOOKUP(E61,Customers!$A$2:$I$1001,4,0)</f>
        <v>UNKNOWN</v>
      </c>
      <c r="I61" s="25" t="str">
        <f>VLOOKUP(E61,Customers!$A$2:$I$1001,6,0)</f>
        <v>Saint Paul</v>
      </c>
      <c r="J61" s="25" t="str">
        <f>VLOOKUP(E61,Customers!$A$2:$I$1001,7,0)</f>
        <v>United States</v>
      </c>
      <c r="K61" s="23" t="str">
        <f>VLOOKUP(E61,Customers!$A$2:$I$1001,9,0)</f>
        <v>Yes</v>
      </c>
      <c r="L61" s="4" t="s">
        <v>78</v>
      </c>
      <c r="M61" s="4" t="str">
        <f>VLOOKUP(L61,Products!$A$2:$G$49,2,0)</f>
        <v>Liberica</v>
      </c>
      <c r="N61" s="4" t="str">
        <f>VLOOKUP(L61,Products!$A$2:$G$49,3,0)</f>
        <v>Medium</v>
      </c>
      <c r="O61" s="25">
        <v>3</v>
      </c>
      <c r="P61" s="5">
        <f>INDEX([1]products!$A$1:$G$49,MATCH([1]orders!$D61,[1]products!$A$1:$A$49,0),MATCH([1]orders!K$1,[1]products!$A$1:$G$1,0))</f>
        <v>0.5</v>
      </c>
      <c r="Q61" s="6">
        <f>INDEX([1]products!$A$1:$G$49,MATCH([1]orders!$D61,[1]products!$A$1:$A$49,0),MATCH([1]orders!L$1,[1]products!$A$1:$G$1,0))</f>
        <v>8.73</v>
      </c>
      <c r="R61" s="6">
        <f t="shared" si="0"/>
        <v>26.19</v>
      </c>
      <c r="S61">
        <f>VLOOKUP(L61,Products!$A$2:$G$49,7,0)</f>
        <v>1.1349</v>
      </c>
      <c r="T61">
        <f t="shared" si="3"/>
        <v>3.4047000000000001</v>
      </c>
      <c r="U61" s="33">
        <f t="shared" si="4"/>
        <v>13</v>
      </c>
    </row>
    <row r="62" spans="1:21" x14ac:dyDescent="0.25">
      <c r="A62" s="1" t="s">
        <v>142</v>
      </c>
      <c r="B62" s="28">
        <v>44252</v>
      </c>
      <c r="C62" s="21" t="str">
        <f t="shared" si="1"/>
        <v>2021</v>
      </c>
      <c r="D62" s="19" t="str">
        <f t="shared" si="2"/>
        <v>February</v>
      </c>
      <c r="E62" s="3" t="s">
        <v>143</v>
      </c>
      <c r="F62" s="3" t="str">
        <f>VLOOKUP(E62,Customers!$A$2:$I$1001,2,0)</f>
        <v>Correy Cottingham</v>
      </c>
      <c r="G62" s="3" t="str">
        <f>VLOOKUP(E62,Customers!$A$2:$I$1001,3,0)</f>
        <v>ccottingham1o@wikipedia.org</v>
      </c>
      <c r="H62" s="3" t="str">
        <f>VLOOKUP(E62,Customers!$A$2:$I$1001,4,0)</f>
        <v>+1 (260) 764-1820</v>
      </c>
      <c r="I62" s="25" t="str">
        <f>VLOOKUP(E62,Customers!$A$2:$I$1001,6,0)</f>
        <v>Fort Wayne</v>
      </c>
      <c r="J62" s="25" t="str">
        <f>VLOOKUP(E62,Customers!$A$2:$I$1001,7,0)</f>
        <v>United States</v>
      </c>
      <c r="K62" s="23" t="str">
        <f>VLOOKUP(E62,Customers!$A$2:$I$1001,9,0)</f>
        <v>No</v>
      </c>
      <c r="L62" s="4" t="s">
        <v>118</v>
      </c>
      <c r="M62" s="4" t="str">
        <f>VLOOKUP(L62,Products!$A$2:$G$49,2,0)</f>
        <v>Arabica</v>
      </c>
      <c r="N62" s="4" t="str">
        <f>VLOOKUP(L62,Products!$A$2:$G$49,3,0)</f>
        <v>Dark</v>
      </c>
      <c r="O62" s="25">
        <v>5</v>
      </c>
      <c r="P62" s="5">
        <f>INDEX([1]products!$A$1:$G$49,MATCH([1]orders!$D62,[1]products!$A$1:$A$49,0),MATCH([1]orders!K$1,[1]products!$A$1:$G$1,0))</f>
        <v>2.5</v>
      </c>
      <c r="Q62" s="6">
        <f>INDEX([1]products!$A$1:$G$49,MATCH([1]orders!$D62,[1]products!$A$1:$A$49,0),MATCH([1]orders!L$1,[1]products!$A$1:$G$1,0))</f>
        <v>22.884999999999998</v>
      </c>
      <c r="R62" s="6">
        <f t="shared" si="0"/>
        <v>114.42499999999998</v>
      </c>
      <c r="S62">
        <f>VLOOKUP(L62,Products!$A$2:$G$49,7,0)</f>
        <v>2.0596499999999995</v>
      </c>
      <c r="T62">
        <f t="shared" si="3"/>
        <v>10.298249999999998</v>
      </c>
      <c r="U62" s="33">
        <f t="shared" si="4"/>
        <v>9</v>
      </c>
    </row>
    <row r="63" spans="1:21" x14ac:dyDescent="0.25">
      <c r="A63" s="1" t="s">
        <v>144</v>
      </c>
      <c r="B63" s="28">
        <v>43521</v>
      </c>
      <c r="C63" s="21" t="str">
        <f t="shared" si="1"/>
        <v>2019</v>
      </c>
      <c r="D63" s="19" t="str">
        <f t="shared" si="2"/>
        <v>February</v>
      </c>
      <c r="E63" s="3" t="s">
        <v>145</v>
      </c>
      <c r="F63" s="3" t="str">
        <f>VLOOKUP(E63,Customers!$A$2:$I$1001,2,0)</f>
        <v>Pammi Endacott</v>
      </c>
      <c r="G63" s="3" t="str">
        <f>VLOOKUP(E63,Customers!$A$2:$I$1001,3,0)</f>
        <v>UNKNOWN</v>
      </c>
      <c r="H63" s="3" t="str">
        <f>VLOOKUP(E63,Customers!$A$2:$I$1001,4,0)</f>
        <v>+44 (177) 260-5076</v>
      </c>
      <c r="I63" s="25" t="str">
        <f>VLOOKUP(E63,Customers!$A$2:$I$1001,6,0)</f>
        <v>Wootton</v>
      </c>
      <c r="J63" s="25" t="str">
        <f>VLOOKUP(E63,Customers!$A$2:$I$1001,7,0)</f>
        <v>United Kingdom</v>
      </c>
      <c r="K63" s="23" t="str">
        <f>VLOOKUP(E63,Customers!$A$2:$I$1001,9,0)</f>
        <v>Yes</v>
      </c>
      <c r="L63" s="4" t="s">
        <v>146</v>
      </c>
      <c r="M63" s="4" t="str">
        <f>VLOOKUP(L63,Products!$A$2:$G$49,2,0)</f>
        <v>Robusta</v>
      </c>
      <c r="N63" s="4" t="str">
        <f>VLOOKUP(L63,Products!$A$2:$G$49,3,0)</f>
        <v>Dark</v>
      </c>
      <c r="O63" s="25">
        <v>5</v>
      </c>
      <c r="P63" s="5">
        <f>INDEX([1]products!$A$1:$G$49,MATCH([1]orders!$D63,[1]products!$A$1:$A$49,0),MATCH([1]orders!K$1,[1]products!$A$1:$G$1,0))</f>
        <v>0.5</v>
      </c>
      <c r="Q63" s="6">
        <f>INDEX([1]products!$A$1:$G$49,MATCH([1]orders!$D63,[1]products!$A$1:$A$49,0),MATCH([1]orders!L$1,[1]products!$A$1:$G$1,0))</f>
        <v>5.3699999999999992</v>
      </c>
      <c r="R63" s="6">
        <f t="shared" si="0"/>
        <v>26.849999999999994</v>
      </c>
      <c r="S63">
        <f>VLOOKUP(L63,Products!$A$2:$G$49,7,0)</f>
        <v>0.32219999999999993</v>
      </c>
      <c r="T63">
        <f t="shared" si="3"/>
        <v>1.6109999999999998</v>
      </c>
      <c r="U63" s="33">
        <f t="shared" si="4"/>
        <v>6.0000000000000009</v>
      </c>
    </row>
    <row r="64" spans="1:21" x14ac:dyDescent="0.25">
      <c r="A64" s="1" t="s">
        <v>147</v>
      </c>
      <c r="B64" s="28">
        <v>43505</v>
      </c>
      <c r="C64" s="21" t="str">
        <f t="shared" si="1"/>
        <v>2019</v>
      </c>
      <c r="D64" s="19" t="str">
        <f t="shared" si="2"/>
        <v>February</v>
      </c>
      <c r="E64" s="3" t="s">
        <v>148</v>
      </c>
      <c r="F64" s="3" t="str">
        <f>VLOOKUP(E64,Customers!$A$2:$I$1001,2,0)</f>
        <v>Nona Linklater</v>
      </c>
      <c r="G64" s="3" t="str">
        <f>VLOOKUP(E64,Customers!$A$2:$I$1001,3,0)</f>
        <v>UNKNOWN</v>
      </c>
      <c r="H64" s="3" t="str">
        <f>VLOOKUP(E64,Customers!$A$2:$I$1001,4,0)</f>
        <v>+1 (239) 347-9766</v>
      </c>
      <c r="I64" s="25" t="str">
        <f>VLOOKUP(E64,Customers!$A$2:$I$1001,6,0)</f>
        <v>Naples</v>
      </c>
      <c r="J64" s="25" t="str">
        <f>VLOOKUP(E64,Customers!$A$2:$I$1001,7,0)</f>
        <v>United States</v>
      </c>
      <c r="K64" s="23" t="str">
        <f>VLOOKUP(E64,Customers!$A$2:$I$1001,9,0)</f>
        <v>Yes</v>
      </c>
      <c r="L64" s="4" t="s">
        <v>19</v>
      </c>
      <c r="M64" s="4" t="str">
        <f>VLOOKUP(L64,Products!$A$2:$G$49,2,0)</f>
        <v>Liberica</v>
      </c>
      <c r="N64" s="4" t="str">
        <f>VLOOKUP(L64,Products!$A$2:$G$49,3,0)</f>
        <v>Light</v>
      </c>
      <c r="O64" s="25">
        <v>5</v>
      </c>
      <c r="P64" s="5">
        <f>INDEX([1]products!$A$1:$G$49,MATCH([1]orders!$D64,[1]products!$A$1:$A$49,0),MATCH([1]orders!K$1,[1]products!$A$1:$G$1,0))</f>
        <v>0.2</v>
      </c>
      <c r="Q64" s="6">
        <f>INDEX([1]products!$A$1:$G$49,MATCH([1]orders!$D64,[1]products!$A$1:$A$49,0),MATCH([1]orders!L$1,[1]products!$A$1:$G$1,0))</f>
        <v>4.7549999999999999</v>
      </c>
      <c r="R64" s="6">
        <f t="shared" si="0"/>
        <v>23.774999999999999</v>
      </c>
      <c r="S64">
        <f>VLOOKUP(L64,Products!$A$2:$G$49,7,0)</f>
        <v>0.61814999999999998</v>
      </c>
      <c r="T64">
        <f t="shared" si="3"/>
        <v>3.0907499999999999</v>
      </c>
      <c r="U64" s="33">
        <f t="shared" si="4"/>
        <v>13</v>
      </c>
    </row>
    <row r="65" spans="1:21" x14ac:dyDescent="0.25">
      <c r="A65" s="1" t="s">
        <v>149</v>
      </c>
      <c r="B65" s="28">
        <v>43868</v>
      </c>
      <c r="C65" s="21" t="str">
        <f t="shared" si="1"/>
        <v>2020</v>
      </c>
      <c r="D65" s="19" t="str">
        <f t="shared" si="2"/>
        <v>February</v>
      </c>
      <c r="E65" s="3" t="s">
        <v>150</v>
      </c>
      <c r="F65" s="3" t="str">
        <f>VLOOKUP(E65,Customers!$A$2:$I$1001,2,0)</f>
        <v>Annadiane Dykes</v>
      </c>
      <c r="G65" s="3" t="str">
        <f>VLOOKUP(E65,Customers!$A$2:$I$1001,3,0)</f>
        <v>adykes1r@eventbrite.com</v>
      </c>
      <c r="H65" s="3" t="str">
        <f>VLOOKUP(E65,Customers!$A$2:$I$1001,4,0)</f>
        <v>+1 (312) 111-6203</v>
      </c>
      <c r="I65" s="25" t="str">
        <f>VLOOKUP(E65,Customers!$A$2:$I$1001,6,0)</f>
        <v>Chicago</v>
      </c>
      <c r="J65" s="25" t="str">
        <f>VLOOKUP(E65,Customers!$A$2:$I$1001,7,0)</f>
        <v>United States</v>
      </c>
      <c r="K65" s="23" t="str">
        <f>VLOOKUP(E65,Customers!$A$2:$I$1001,9,0)</f>
        <v>No</v>
      </c>
      <c r="L65" s="4" t="s">
        <v>67</v>
      </c>
      <c r="M65" s="4" t="str">
        <f>VLOOKUP(L65,Products!$A$2:$G$49,2,0)</f>
        <v>Arabica</v>
      </c>
      <c r="N65" s="4" t="str">
        <f>VLOOKUP(L65,Products!$A$2:$G$49,3,0)</f>
        <v>Medium</v>
      </c>
      <c r="O65" s="25">
        <v>1</v>
      </c>
      <c r="P65" s="5">
        <f>INDEX([1]products!$A$1:$G$49,MATCH([1]orders!$D65,[1]products!$A$1:$A$49,0),MATCH([1]orders!K$1,[1]products!$A$1:$G$1,0))</f>
        <v>0.5</v>
      </c>
      <c r="Q65" s="6">
        <f>INDEX([1]products!$A$1:$G$49,MATCH([1]orders!$D65,[1]products!$A$1:$A$49,0),MATCH([1]orders!L$1,[1]products!$A$1:$G$1,0))</f>
        <v>6.75</v>
      </c>
      <c r="R65" s="6">
        <f t="shared" si="0"/>
        <v>6.75</v>
      </c>
      <c r="S65">
        <f>VLOOKUP(L65,Products!$A$2:$G$49,7,0)</f>
        <v>0.60749999999999993</v>
      </c>
      <c r="T65">
        <f t="shared" si="3"/>
        <v>0.60749999999999993</v>
      </c>
      <c r="U65" s="33">
        <f t="shared" si="4"/>
        <v>8.9999999999999982</v>
      </c>
    </row>
    <row r="66" spans="1:21" x14ac:dyDescent="0.25">
      <c r="A66" s="1" t="s">
        <v>151</v>
      </c>
      <c r="B66" s="28">
        <v>43913</v>
      </c>
      <c r="C66" s="21" t="str">
        <f t="shared" si="1"/>
        <v>2020</v>
      </c>
      <c r="D66" s="19" t="str">
        <f t="shared" si="2"/>
        <v>March</v>
      </c>
      <c r="E66" s="3" t="s">
        <v>152</v>
      </c>
      <c r="F66" s="3" t="str">
        <f>VLOOKUP(E66,Customers!$A$2:$I$1001,2,0)</f>
        <v>Felecia Dodgson</v>
      </c>
      <c r="G66" s="3" t="str">
        <f>VLOOKUP(E66,Customers!$A$2:$I$1001,3,0)</f>
        <v>UNKNOWN</v>
      </c>
      <c r="H66" s="3" t="str">
        <f>VLOOKUP(E66,Customers!$A$2:$I$1001,4,0)</f>
        <v>+1 (973) 434-8662</v>
      </c>
      <c r="I66" s="25" t="str">
        <f>VLOOKUP(E66,Customers!$A$2:$I$1001,6,0)</f>
        <v>Newark</v>
      </c>
      <c r="J66" s="25" t="str">
        <f>VLOOKUP(E66,Customers!$A$2:$I$1001,7,0)</f>
        <v>United States</v>
      </c>
      <c r="K66" s="23" t="str">
        <f>VLOOKUP(E66,Customers!$A$2:$I$1001,9,0)</f>
        <v>Yes</v>
      </c>
      <c r="L66" s="4" t="s">
        <v>22</v>
      </c>
      <c r="M66" s="4" t="str">
        <f>VLOOKUP(L66,Products!$A$2:$G$49,2,0)</f>
        <v>Robusta</v>
      </c>
      <c r="N66" s="4" t="str">
        <f>VLOOKUP(L66,Products!$A$2:$G$49,3,0)</f>
        <v>Medium</v>
      </c>
      <c r="O66" s="25">
        <v>6</v>
      </c>
      <c r="P66" s="5">
        <f>INDEX([1]products!$A$1:$G$49,MATCH([1]orders!$D66,[1]products!$A$1:$A$49,0),MATCH([1]orders!K$1,[1]products!$A$1:$G$1,0))</f>
        <v>0.5</v>
      </c>
      <c r="Q66" s="6">
        <f>INDEX([1]products!$A$1:$G$49,MATCH([1]orders!$D66,[1]products!$A$1:$A$49,0),MATCH([1]orders!L$1,[1]products!$A$1:$G$1,0))</f>
        <v>5.97</v>
      </c>
      <c r="R66" s="6">
        <f t="shared" ref="R66:R129" si="5">O66*Q66</f>
        <v>35.82</v>
      </c>
      <c r="S66">
        <f>VLOOKUP(L66,Products!$A$2:$G$49,7,0)</f>
        <v>0.35819999999999996</v>
      </c>
      <c r="T66">
        <f t="shared" si="3"/>
        <v>2.1491999999999996</v>
      </c>
      <c r="U66" s="33">
        <f t="shared" si="4"/>
        <v>5.9999999999999982</v>
      </c>
    </row>
    <row r="67" spans="1:21" x14ac:dyDescent="0.25">
      <c r="A67" s="1" t="s">
        <v>153</v>
      </c>
      <c r="B67" s="28">
        <v>44626</v>
      </c>
      <c r="C67" s="21" t="str">
        <f t="shared" ref="C67:C130" si="6">TEXT(B67,"yyyy")</f>
        <v>2022</v>
      </c>
      <c r="D67" s="19" t="str">
        <f t="shared" ref="D67:D130" si="7">TEXT(B67,"mmmm")</f>
        <v>March</v>
      </c>
      <c r="E67" s="3" t="s">
        <v>154</v>
      </c>
      <c r="F67" s="3" t="str">
        <f>VLOOKUP(E67,Customers!$A$2:$I$1001,2,0)</f>
        <v>Angelia Cockrem</v>
      </c>
      <c r="G67" s="3" t="str">
        <f>VLOOKUP(E67,Customers!$A$2:$I$1001,3,0)</f>
        <v>acockrem1t@engadget.com</v>
      </c>
      <c r="H67" s="3" t="str">
        <f>VLOOKUP(E67,Customers!$A$2:$I$1001,4,0)</f>
        <v>+1 (571) 316-8217</v>
      </c>
      <c r="I67" s="25" t="str">
        <f>VLOOKUP(E67,Customers!$A$2:$I$1001,6,0)</f>
        <v>Vienna</v>
      </c>
      <c r="J67" s="25" t="str">
        <f>VLOOKUP(E67,Customers!$A$2:$I$1001,7,0)</f>
        <v>United States</v>
      </c>
      <c r="K67" s="23" t="str">
        <f>VLOOKUP(E67,Customers!$A$2:$I$1001,9,0)</f>
        <v>Yes</v>
      </c>
      <c r="L67" s="4" t="s">
        <v>35</v>
      </c>
      <c r="M67" s="4" t="str">
        <f>VLOOKUP(L67,Products!$A$2:$G$49,2,0)</f>
        <v>Robusta</v>
      </c>
      <c r="N67" s="4" t="str">
        <f>VLOOKUP(L67,Products!$A$2:$G$49,3,0)</f>
        <v>Dark</v>
      </c>
      <c r="O67" s="25">
        <v>4</v>
      </c>
      <c r="P67" s="5">
        <f>INDEX([1]products!$A$1:$G$49,MATCH([1]orders!$D67,[1]products!$A$1:$A$49,0),MATCH([1]orders!K$1,[1]products!$A$1:$G$1,0))</f>
        <v>2.5</v>
      </c>
      <c r="Q67" s="6">
        <f>INDEX([1]products!$A$1:$G$49,MATCH([1]orders!$D67,[1]products!$A$1:$A$49,0),MATCH([1]orders!L$1,[1]products!$A$1:$G$1,0))</f>
        <v>20.584999999999997</v>
      </c>
      <c r="R67" s="6">
        <f t="shared" si="5"/>
        <v>82.339999999999989</v>
      </c>
      <c r="S67">
        <f>VLOOKUP(L67,Products!$A$2:$G$49,7,0)</f>
        <v>1.2350999999999999</v>
      </c>
      <c r="T67">
        <f t="shared" ref="T67:T130" si="8">O67*S67</f>
        <v>4.9403999999999995</v>
      </c>
      <c r="U67" s="33">
        <f t="shared" ref="U67:U130" si="9">T67/R67*100</f>
        <v>6.0000000000000009</v>
      </c>
    </row>
    <row r="68" spans="1:21" x14ac:dyDescent="0.25">
      <c r="A68" s="1" t="s">
        <v>155</v>
      </c>
      <c r="B68" s="28">
        <v>44666</v>
      </c>
      <c r="C68" s="21" t="str">
        <f t="shared" si="6"/>
        <v>2022</v>
      </c>
      <c r="D68" s="19" t="str">
        <f t="shared" si="7"/>
        <v>April</v>
      </c>
      <c r="E68" s="3" t="s">
        <v>156</v>
      </c>
      <c r="F68" s="3" t="str">
        <f>VLOOKUP(E68,Customers!$A$2:$I$1001,2,0)</f>
        <v>Belvia Umpleby</v>
      </c>
      <c r="G68" s="3" t="str">
        <f>VLOOKUP(E68,Customers!$A$2:$I$1001,3,0)</f>
        <v>bumpleby1u@soundcloud.com</v>
      </c>
      <c r="H68" s="3" t="str">
        <f>VLOOKUP(E68,Customers!$A$2:$I$1001,4,0)</f>
        <v>+1 (682) 627-0888</v>
      </c>
      <c r="I68" s="25" t="str">
        <f>VLOOKUP(E68,Customers!$A$2:$I$1001,6,0)</f>
        <v>Fort Worth</v>
      </c>
      <c r="J68" s="25" t="str">
        <f>VLOOKUP(E68,Customers!$A$2:$I$1001,7,0)</f>
        <v>United States</v>
      </c>
      <c r="K68" s="23" t="str">
        <f>VLOOKUP(E68,Customers!$A$2:$I$1001,9,0)</f>
        <v>Yes</v>
      </c>
      <c r="L68" s="4" t="s">
        <v>157</v>
      </c>
      <c r="M68" s="4" t="str">
        <f>VLOOKUP(L68,Products!$A$2:$G$49,2,0)</f>
        <v>Robusta</v>
      </c>
      <c r="N68" s="4" t="str">
        <f>VLOOKUP(L68,Products!$A$2:$G$49,3,0)</f>
        <v>Light</v>
      </c>
      <c r="O68" s="25">
        <v>1</v>
      </c>
      <c r="P68" s="5">
        <f>INDEX([1]products!$A$1:$G$49,MATCH([1]orders!$D68,[1]products!$A$1:$A$49,0),MATCH([1]orders!K$1,[1]products!$A$1:$G$1,0))</f>
        <v>0.5</v>
      </c>
      <c r="Q68" s="6">
        <f>INDEX([1]products!$A$1:$G$49,MATCH([1]orders!$D68,[1]products!$A$1:$A$49,0),MATCH([1]orders!L$1,[1]products!$A$1:$G$1,0))</f>
        <v>7.169999999999999</v>
      </c>
      <c r="R68" s="6">
        <f t="shared" si="5"/>
        <v>7.169999999999999</v>
      </c>
      <c r="S68">
        <f>VLOOKUP(L68,Products!$A$2:$G$49,7,0)</f>
        <v>0.43019999999999992</v>
      </c>
      <c r="T68">
        <f t="shared" si="8"/>
        <v>0.43019999999999992</v>
      </c>
      <c r="U68" s="33">
        <f t="shared" si="9"/>
        <v>6</v>
      </c>
    </row>
    <row r="69" spans="1:21" x14ac:dyDescent="0.25">
      <c r="A69" s="1" t="s">
        <v>158</v>
      </c>
      <c r="B69" s="28">
        <v>44519</v>
      </c>
      <c r="C69" s="21" t="str">
        <f t="shared" si="6"/>
        <v>2021</v>
      </c>
      <c r="D69" s="19" t="str">
        <f t="shared" si="7"/>
        <v>November</v>
      </c>
      <c r="E69" s="3" t="s">
        <v>159</v>
      </c>
      <c r="F69" s="3" t="str">
        <f>VLOOKUP(E69,Customers!$A$2:$I$1001,2,0)</f>
        <v>Nat Saleway</v>
      </c>
      <c r="G69" s="3" t="str">
        <f>VLOOKUP(E69,Customers!$A$2:$I$1001,3,0)</f>
        <v>nsaleway1v@dedecms.com</v>
      </c>
      <c r="H69" s="3" t="str">
        <f>VLOOKUP(E69,Customers!$A$2:$I$1001,4,0)</f>
        <v>+1 (323) 473-0294</v>
      </c>
      <c r="I69" s="25" t="str">
        <f>VLOOKUP(E69,Customers!$A$2:$I$1001,6,0)</f>
        <v>Burbank</v>
      </c>
      <c r="J69" s="25" t="str">
        <f>VLOOKUP(E69,Customers!$A$2:$I$1001,7,0)</f>
        <v>United States</v>
      </c>
      <c r="K69" s="23" t="str">
        <f>VLOOKUP(E69,Customers!$A$2:$I$1001,9,0)</f>
        <v>No</v>
      </c>
      <c r="L69" s="4" t="s">
        <v>19</v>
      </c>
      <c r="M69" s="4" t="str">
        <f>VLOOKUP(L69,Products!$A$2:$G$49,2,0)</f>
        <v>Liberica</v>
      </c>
      <c r="N69" s="4" t="str">
        <f>VLOOKUP(L69,Products!$A$2:$G$49,3,0)</f>
        <v>Light</v>
      </c>
      <c r="O69" s="25">
        <v>2</v>
      </c>
      <c r="P69" s="5">
        <f>INDEX([1]products!$A$1:$G$49,MATCH([1]orders!$D69,[1]products!$A$1:$A$49,0),MATCH([1]orders!K$1,[1]products!$A$1:$G$1,0))</f>
        <v>0.2</v>
      </c>
      <c r="Q69" s="6">
        <f>INDEX([1]products!$A$1:$G$49,MATCH([1]orders!$D69,[1]products!$A$1:$A$49,0),MATCH([1]orders!L$1,[1]products!$A$1:$G$1,0))</f>
        <v>4.7549999999999999</v>
      </c>
      <c r="R69" s="6">
        <f t="shared" si="5"/>
        <v>9.51</v>
      </c>
      <c r="S69">
        <f>VLOOKUP(L69,Products!$A$2:$G$49,7,0)</f>
        <v>0.61814999999999998</v>
      </c>
      <c r="T69">
        <f t="shared" si="8"/>
        <v>1.2363</v>
      </c>
      <c r="U69" s="33">
        <f t="shared" si="9"/>
        <v>13</v>
      </c>
    </row>
    <row r="70" spans="1:21" x14ac:dyDescent="0.25">
      <c r="A70" s="1" t="s">
        <v>160</v>
      </c>
      <c r="B70" s="28">
        <v>43754</v>
      </c>
      <c r="C70" s="21" t="str">
        <f t="shared" si="6"/>
        <v>2019</v>
      </c>
      <c r="D70" s="19" t="str">
        <f t="shared" si="7"/>
        <v>October</v>
      </c>
      <c r="E70" s="3" t="s">
        <v>161</v>
      </c>
      <c r="F70" s="3" t="str">
        <f>VLOOKUP(E70,Customers!$A$2:$I$1001,2,0)</f>
        <v>Hayward Goulter</v>
      </c>
      <c r="G70" s="3" t="str">
        <f>VLOOKUP(E70,Customers!$A$2:$I$1001,3,0)</f>
        <v>hgoulter1w@abc.net.au</v>
      </c>
      <c r="H70" s="3" t="str">
        <f>VLOOKUP(E70,Customers!$A$2:$I$1001,4,0)</f>
        <v>+1 (423) 764-7751</v>
      </c>
      <c r="I70" s="25" t="str">
        <f>VLOOKUP(E70,Customers!$A$2:$I$1001,6,0)</f>
        <v>Kingsport</v>
      </c>
      <c r="J70" s="25" t="str">
        <f>VLOOKUP(E70,Customers!$A$2:$I$1001,7,0)</f>
        <v>United States</v>
      </c>
      <c r="K70" s="23" t="str">
        <f>VLOOKUP(E70,Customers!$A$2:$I$1001,9,0)</f>
        <v>No</v>
      </c>
      <c r="L70" s="4" t="s">
        <v>162</v>
      </c>
      <c r="M70" s="4" t="str">
        <f>VLOOKUP(L70,Products!$A$2:$G$49,2,0)</f>
        <v>Robusta</v>
      </c>
      <c r="N70" s="4" t="str">
        <f>VLOOKUP(L70,Products!$A$2:$G$49,3,0)</f>
        <v>Medium</v>
      </c>
      <c r="O70" s="25">
        <v>1</v>
      </c>
      <c r="P70" s="5">
        <f>INDEX([1]products!$A$1:$G$49,MATCH([1]orders!$D70,[1]products!$A$1:$A$49,0),MATCH([1]orders!K$1,[1]products!$A$1:$G$1,0))</f>
        <v>0.2</v>
      </c>
      <c r="Q70" s="6">
        <f>INDEX([1]products!$A$1:$G$49,MATCH([1]orders!$D70,[1]products!$A$1:$A$49,0),MATCH([1]orders!L$1,[1]products!$A$1:$G$1,0))</f>
        <v>2.9849999999999999</v>
      </c>
      <c r="R70" s="6">
        <f t="shared" si="5"/>
        <v>2.9849999999999999</v>
      </c>
      <c r="S70">
        <f>VLOOKUP(L70,Products!$A$2:$G$49,7,0)</f>
        <v>0.17909999999999998</v>
      </c>
      <c r="T70">
        <f t="shared" si="8"/>
        <v>0.17909999999999998</v>
      </c>
      <c r="U70" s="33">
        <f t="shared" si="9"/>
        <v>6</v>
      </c>
    </row>
    <row r="71" spans="1:21" x14ac:dyDescent="0.25">
      <c r="A71" s="1" t="s">
        <v>163</v>
      </c>
      <c r="B71" s="28">
        <v>43795</v>
      </c>
      <c r="C71" s="21" t="str">
        <f t="shared" si="6"/>
        <v>2019</v>
      </c>
      <c r="D71" s="19" t="str">
        <f t="shared" si="7"/>
        <v>November</v>
      </c>
      <c r="E71" s="3" t="s">
        <v>164</v>
      </c>
      <c r="F71" s="3" t="str">
        <f>VLOOKUP(E71,Customers!$A$2:$I$1001,2,0)</f>
        <v>Gay Rizzello</v>
      </c>
      <c r="G71" s="3" t="str">
        <f>VLOOKUP(E71,Customers!$A$2:$I$1001,3,0)</f>
        <v>grizzello1x@symantec.com</v>
      </c>
      <c r="H71" s="3" t="str">
        <f>VLOOKUP(E71,Customers!$A$2:$I$1001,4,0)</f>
        <v>+44 (247) 225-8003</v>
      </c>
      <c r="I71" s="25" t="str">
        <f>VLOOKUP(E71,Customers!$A$2:$I$1001,6,0)</f>
        <v>Liverpool</v>
      </c>
      <c r="J71" s="25" t="str">
        <f>VLOOKUP(E71,Customers!$A$2:$I$1001,7,0)</f>
        <v>United Kingdom</v>
      </c>
      <c r="K71" s="23" t="str">
        <f>VLOOKUP(E71,Customers!$A$2:$I$1001,9,0)</f>
        <v>Yes</v>
      </c>
      <c r="L71" s="4" t="s">
        <v>2</v>
      </c>
      <c r="M71" s="4" t="str">
        <f>VLOOKUP(L71,Products!$A$2:$G$49,2,0)</f>
        <v>Robusta</v>
      </c>
      <c r="N71" s="4" t="str">
        <f>VLOOKUP(L71,Products!$A$2:$G$49,3,0)</f>
        <v>Medium</v>
      </c>
      <c r="O71" s="25">
        <v>6</v>
      </c>
      <c r="P71" s="5">
        <f>INDEX([1]products!$A$1:$G$49,MATCH([1]orders!$D71,[1]products!$A$1:$A$49,0),MATCH([1]orders!K$1,[1]products!$A$1:$G$1,0))</f>
        <v>1</v>
      </c>
      <c r="Q71" s="6">
        <f>INDEX([1]products!$A$1:$G$49,MATCH([1]orders!$D71,[1]products!$A$1:$A$49,0),MATCH([1]orders!L$1,[1]products!$A$1:$G$1,0))</f>
        <v>9.9499999999999993</v>
      </c>
      <c r="R71" s="6">
        <f t="shared" si="5"/>
        <v>59.699999999999996</v>
      </c>
      <c r="S71">
        <f>VLOOKUP(L71,Products!$A$2:$G$49,7,0)</f>
        <v>0.59699999999999998</v>
      </c>
      <c r="T71">
        <f t="shared" si="8"/>
        <v>3.5819999999999999</v>
      </c>
      <c r="U71" s="33">
        <f t="shared" si="9"/>
        <v>6.0000000000000009</v>
      </c>
    </row>
    <row r="72" spans="1:21" x14ac:dyDescent="0.25">
      <c r="A72" s="1" t="s">
        <v>165</v>
      </c>
      <c r="B72" s="28">
        <v>43646</v>
      </c>
      <c r="C72" s="21" t="str">
        <f t="shared" si="6"/>
        <v>2019</v>
      </c>
      <c r="D72" s="19" t="str">
        <f t="shared" si="7"/>
        <v>June</v>
      </c>
      <c r="E72" s="3" t="s">
        <v>166</v>
      </c>
      <c r="F72" s="3" t="str">
        <f>VLOOKUP(E72,Customers!$A$2:$I$1001,2,0)</f>
        <v>Shannon List</v>
      </c>
      <c r="G72" s="3" t="str">
        <f>VLOOKUP(E72,Customers!$A$2:$I$1001,3,0)</f>
        <v>slist1y@mapquest.com</v>
      </c>
      <c r="H72" s="3" t="str">
        <f>VLOOKUP(E72,Customers!$A$2:$I$1001,4,0)</f>
        <v>+1 (614) 279-9816</v>
      </c>
      <c r="I72" s="25" t="str">
        <f>VLOOKUP(E72,Customers!$A$2:$I$1001,6,0)</f>
        <v>Columbus</v>
      </c>
      <c r="J72" s="25" t="str">
        <f>VLOOKUP(E72,Customers!$A$2:$I$1001,7,0)</f>
        <v>United States</v>
      </c>
      <c r="K72" s="23" t="str">
        <f>VLOOKUP(E72,Customers!$A$2:$I$1001,9,0)</f>
        <v>No</v>
      </c>
      <c r="L72" s="4" t="s">
        <v>30</v>
      </c>
      <c r="M72" s="4" t="str">
        <f>VLOOKUP(L72,Products!$A$2:$G$49,2,0)</f>
        <v>Excelsa</v>
      </c>
      <c r="N72" s="4" t="str">
        <f>VLOOKUP(L72,Products!$A$2:$G$49,3,0)</f>
        <v>Light</v>
      </c>
      <c r="O72" s="25">
        <v>4</v>
      </c>
      <c r="P72" s="5">
        <f>INDEX([1]products!$A$1:$G$49,MATCH([1]orders!$D72,[1]products!$A$1:$A$49,0),MATCH([1]orders!K$1,[1]products!$A$1:$G$1,0))</f>
        <v>2.5</v>
      </c>
      <c r="Q72" s="6">
        <f>INDEX([1]products!$A$1:$G$49,MATCH([1]orders!$D72,[1]products!$A$1:$A$49,0),MATCH([1]orders!L$1,[1]products!$A$1:$G$1,0))</f>
        <v>34.154999999999994</v>
      </c>
      <c r="R72" s="6">
        <f t="shared" si="5"/>
        <v>136.61999999999998</v>
      </c>
      <c r="S72">
        <f>VLOOKUP(L72,Products!$A$2:$G$49,7,0)</f>
        <v>3.7570499999999996</v>
      </c>
      <c r="T72">
        <f t="shared" si="8"/>
        <v>15.028199999999998</v>
      </c>
      <c r="U72" s="33">
        <f t="shared" si="9"/>
        <v>11</v>
      </c>
    </row>
    <row r="73" spans="1:21" x14ac:dyDescent="0.25">
      <c r="A73" s="1" t="s">
        <v>167</v>
      </c>
      <c r="B73" s="28">
        <v>44200</v>
      </c>
      <c r="C73" s="21" t="str">
        <f t="shared" si="6"/>
        <v>2021</v>
      </c>
      <c r="D73" s="19" t="str">
        <f t="shared" si="7"/>
        <v>January</v>
      </c>
      <c r="E73" s="3" t="s">
        <v>168</v>
      </c>
      <c r="F73" s="3" t="str">
        <f>VLOOKUP(E73,Customers!$A$2:$I$1001,2,0)</f>
        <v>Shirlene Edmondson</v>
      </c>
      <c r="G73" s="3" t="str">
        <f>VLOOKUP(E73,Customers!$A$2:$I$1001,3,0)</f>
        <v>sedmondson1z@theguardian.com</v>
      </c>
      <c r="H73" s="3" t="str">
        <f>VLOOKUP(E73,Customers!$A$2:$I$1001,4,0)</f>
        <v>+353 (248) 428-7978</v>
      </c>
      <c r="I73" s="25" t="str">
        <f>VLOOKUP(E73,Customers!$A$2:$I$1001,6,0)</f>
        <v>Newmarket on Fergus</v>
      </c>
      <c r="J73" s="25" t="str">
        <f>VLOOKUP(E73,Customers!$A$2:$I$1001,7,0)</f>
        <v>Ireland</v>
      </c>
      <c r="K73" s="23" t="str">
        <f>VLOOKUP(E73,Customers!$A$2:$I$1001,9,0)</f>
        <v>No</v>
      </c>
      <c r="L73" s="4" t="s">
        <v>19</v>
      </c>
      <c r="M73" s="4" t="str">
        <f>VLOOKUP(L73,Products!$A$2:$G$49,2,0)</f>
        <v>Liberica</v>
      </c>
      <c r="N73" s="4" t="str">
        <f>VLOOKUP(L73,Products!$A$2:$G$49,3,0)</f>
        <v>Light</v>
      </c>
      <c r="O73" s="25">
        <v>2</v>
      </c>
      <c r="P73" s="5">
        <f>INDEX([1]products!$A$1:$G$49,MATCH([1]orders!$D73,[1]products!$A$1:$A$49,0),MATCH([1]orders!K$1,[1]products!$A$1:$G$1,0))</f>
        <v>0.2</v>
      </c>
      <c r="Q73" s="6">
        <f>INDEX([1]products!$A$1:$G$49,MATCH([1]orders!$D73,[1]products!$A$1:$A$49,0),MATCH([1]orders!L$1,[1]products!$A$1:$G$1,0))</f>
        <v>4.7549999999999999</v>
      </c>
      <c r="R73" s="6">
        <f t="shared" si="5"/>
        <v>9.51</v>
      </c>
      <c r="S73">
        <f>VLOOKUP(L73,Products!$A$2:$G$49,7,0)</f>
        <v>0.61814999999999998</v>
      </c>
      <c r="T73">
        <f t="shared" si="8"/>
        <v>1.2363</v>
      </c>
      <c r="U73" s="33">
        <f t="shared" si="9"/>
        <v>13</v>
      </c>
    </row>
    <row r="74" spans="1:21" x14ac:dyDescent="0.25">
      <c r="A74" s="1" t="s">
        <v>169</v>
      </c>
      <c r="B74" s="28">
        <v>44131</v>
      </c>
      <c r="C74" s="21" t="str">
        <f t="shared" si="6"/>
        <v>2020</v>
      </c>
      <c r="D74" s="19" t="str">
        <f t="shared" si="7"/>
        <v>October</v>
      </c>
      <c r="E74" s="3" t="s">
        <v>170</v>
      </c>
      <c r="F74" s="3" t="str">
        <f>VLOOKUP(E74,Customers!$A$2:$I$1001,2,0)</f>
        <v>Aurlie McCarl</v>
      </c>
      <c r="G74" s="3" t="str">
        <f>VLOOKUP(E74,Customers!$A$2:$I$1001,3,0)</f>
        <v>UNKNOWN</v>
      </c>
      <c r="H74" s="3" t="str">
        <f>VLOOKUP(E74,Customers!$A$2:$I$1001,4,0)</f>
        <v>+1 (504) 209-2724</v>
      </c>
      <c r="I74" s="25" t="str">
        <f>VLOOKUP(E74,Customers!$A$2:$I$1001,6,0)</f>
        <v>New Orleans</v>
      </c>
      <c r="J74" s="25" t="str">
        <f>VLOOKUP(E74,Customers!$A$2:$I$1001,7,0)</f>
        <v>United States</v>
      </c>
      <c r="K74" s="23" t="str">
        <f>VLOOKUP(E74,Customers!$A$2:$I$1001,9,0)</f>
        <v>No</v>
      </c>
      <c r="L74" s="4" t="s">
        <v>171</v>
      </c>
      <c r="M74" s="4" t="str">
        <f>VLOOKUP(L74,Products!$A$2:$G$49,2,0)</f>
        <v>Arabica</v>
      </c>
      <c r="N74" s="4" t="str">
        <f>VLOOKUP(L74,Products!$A$2:$G$49,3,0)</f>
        <v>Medium</v>
      </c>
      <c r="O74" s="25">
        <v>3</v>
      </c>
      <c r="P74" s="5">
        <f>INDEX([1]products!$A$1:$G$49,MATCH([1]orders!$D74,[1]products!$A$1:$A$49,0),MATCH([1]orders!K$1,[1]products!$A$1:$G$1,0))</f>
        <v>2.5</v>
      </c>
      <c r="Q74" s="6">
        <f>INDEX([1]products!$A$1:$G$49,MATCH([1]orders!$D74,[1]products!$A$1:$A$49,0),MATCH([1]orders!L$1,[1]products!$A$1:$G$1,0))</f>
        <v>25.874999999999996</v>
      </c>
      <c r="R74" s="6">
        <f t="shared" si="5"/>
        <v>77.624999999999986</v>
      </c>
      <c r="S74">
        <f>VLOOKUP(L74,Products!$A$2:$G$49,7,0)</f>
        <v>2.3287499999999994</v>
      </c>
      <c r="T74">
        <f t="shared" si="8"/>
        <v>6.9862499999999983</v>
      </c>
      <c r="U74" s="33">
        <f t="shared" si="9"/>
        <v>9</v>
      </c>
    </row>
    <row r="75" spans="1:21" x14ac:dyDescent="0.25">
      <c r="A75" s="1" t="s">
        <v>172</v>
      </c>
      <c r="B75" s="28">
        <v>44362</v>
      </c>
      <c r="C75" s="21" t="str">
        <f t="shared" si="6"/>
        <v>2021</v>
      </c>
      <c r="D75" s="19" t="str">
        <f t="shared" si="7"/>
        <v>June</v>
      </c>
      <c r="E75" s="3" t="s">
        <v>173</v>
      </c>
      <c r="F75" s="3" t="str">
        <f>VLOOKUP(E75,Customers!$A$2:$I$1001,2,0)</f>
        <v>Alikee Carryer</v>
      </c>
      <c r="G75" s="3" t="str">
        <f>VLOOKUP(E75,Customers!$A$2:$I$1001,3,0)</f>
        <v>UNKNOWN</v>
      </c>
      <c r="H75" s="3" t="str">
        <f>VLOOKUP(E75,Customers!$A$2:$I$1001,4,0)</f>
        <v>+1 (704) 799-5219</v>
      </c>
      <c r="I75" s="25" t="str">
        <f>VLOOKUP(E75,Customers!$A$2:$I$1001,6,0)</f>
        <v>Charlotte</v>
      </c>
      <c r="J75" s="25" t="str">
        <f>VLOOKUP(E75,Customers!$A$2:$I$1001,7,0)</f>
        <v>United States</v>
      </c>
      <c r="K75" s="23" t="str">
        <f>VLOOKUP(E75,Customers!$A$2:$I$1001,9,0)</f>
        <v>Yes</v>
      </c>
      <c r="L75" s="4" t="s">
        <v>77</v>
      </c>
      <c r="M75" s="4" t="str">
        <f>VLOOKUP(L75,Products!$A$2:$G$49,2,0)</f>
        <v>Liberica</v>
      </c>
      <c r="N75" s="4" t="str">
        <f>VLOOKUP(L75,Products!$A$2:$G$49,3,0)</f>
        <v>Medium</v>
      </c>
      <c r="O75" s="25">
        <v>5</v>
      </c>
      <c r="P75" s="5">
        <f>INDEX([1]products!$A$1:$G$49,MATCH([1]orders!$D75,[1]products!$A$1:$A$49,0),MATCH([1]orders!K$1,[1]products!$A$1:$G$1,0))</f>
        <v>0.2</v>
      </c>
      <c r="Q75" s="6">
        <f>INDEX([1]products!$A$1:$G$49,MATCH([1]orders!$D75,[1]products!$A$1:$A$49,0),MATCH([1]orders!L$1,[1]products!$A$1:$G$1,0))</f>
        <v>4.3650000000000002</v>
      </c>
      <c r="R75" s="6">
        <f t="shared" si="5"/>
        <v>21.825000000000003</v>
      </c>
      <c r="S75">
        <f>VLOOKUP(L75,Products!$A$2:$G$49,7,0)</f>
        <v>0.56745000000000001</v>
      </c>
      <c r="T75">
        <f t="shared" si="8"/>
        <v>2.83725</v>
      </c>
      <c r="U75" s="33">
        <f t="shared" si="9"/>
        <v>12.999999999999998</v>
      </c>
    </row>
    <row r="76" spans="1:21" x14ac:dyDescent="0.25">
      <c r="A76" s="1" t="s">
        <v>174</v>
      </c>
      <c r="B76" s="28">
        <v>44396</v>
      </c>
      <c r="C76" s="21" t="str">
        <f t="shared" si="6"/>
        <v>2021</v>
      </c>
      <c r="D76" s="19" t="str">
        <f t="shared" si="7"/>
        <v>July</v>
      </c>
      <c r="E76" s="3" t="s">
        <v>175</v>
      </c>
      <c r="F76" s="3" t="str">
        <f>VLOOKUP(E76,Customers!$A$2:$I$1001,2,0)</f>
        <v>Jennifer Rangall</v>
      </c>
      <c r="G76" s="3" t="str">
        <f>VLOOKUP(E76,Customers!$A$2:$I$1001,3,0)</f>
        <v>jrangall22@newsvine.com</v>
      </c>
      <c r="H76" s="3" t="str">
        <f>VLOOKUP(E76,Customers!$A$2:$I$1001,4,0)</f>
        <v>+1 (781) 512-6637</v>
      </c>
      <c r="I76" s="25" t="str">
        <f>VLOOKUP(E76,Customers!$A$2:$I$1001,6,0)</f>
        <v>Springfield</v>
      </c>
      <c r="J76" s="25" t="str">
        <f>VLOOKUP(E76,Customers!$A$2:$I$1001,7,0)</f>
        <v>United States</v>
      </c>
      <c r="K76" s="23" t="str">
        <f>VLOOKUP(E76,Customers!$A$2:$I$1001,9,0)</f>
        <v>Yes</v>
      </c>
      <c r="L76" s="4" t="s">
        <v>176</v>
      </c>
      <c r="M76" s="4" t="str">
        <f>VLOOKUP(L76,Products!$A$2:$G$49,2,0)</f>
        <v>Excelsa</v>
      </c>
      <c r="N76" s="4" t="str">
        <f>VLOOKUP(L76,Products!$A$2:$G$49,3,0)</f>
        <v>Light</v>
      </c>
      <c r="O76" s="25">
        <v>2</v>
      </c>
      <c r="P76" s="5">
        <f>INDEX([1]products!$A$1:$G$49,MATCH([1]orders!$D76,[1]products!$A$1:$A$49,0),MATCH([1]orders!K$1,[1]products!$A$1:$G$1,0))</f>
        <v>0.5</v>
      </c>
      <c r="Q76" s="6">
        <f>INDEX([1]products!$A$1:$G$49,MATCH([1]orders!$D76,[1]products!$A$1:$A$49,0),MATCH([1]orders!L$1,[1]products!$A$1:$G$1,0))</f>
        <v>8.91</v>
      </c>
      <c r="R76" s="6">
        <f t="shared" si="5"/>
        <v>17.82</v>
      </c>
      <c r="S76">
        <f>VLOOKUP(L76,Products!$A$2:$G$49,7,0)</f>
        <v>0.98009999999999997</v>
      </c>
      <c r="T76">
        <f t="shared" si="8"/>
        <v>1.9601999999999999</v>
      </c>
      <c r="U76" s="33">
        <f t="shared" si="9"/>
        <v>11</v>
      </c>
    </row>
    <row r="77" spans="1:21" x14ac:dyDescent="0.25">
      <c r="A77" s="1" t="s">
        <v>177</v>
      </c>
      <c r="B77" s="28">
        <v>44400</v>
      </c>
      <c r="C77" s="21" t="str">
        <f t="shared" si="6"/>
        <v>2021</v>
      </c>
      <c r="D77" s="19" t="str">
        <f t="shared" si="7"/>
        <v>July</v>
      </c>
      <c r="E77" s="3" t="s">
        <v>178</v>
      </c>
      <c r="F77" s="3" t="str">
        <f>VLOOKUP(E77,Customers!$A$2:$I$1001,2,0)</f>
        <v>Kipper Boorn</v>
      </c>
      <c r="G77" s="3" t="str">
        <f>VLOOKUP(E77,Customers!$A$2:$I$1001,3,0)</f>
        <v>kboorn23@ezinearticles.com</v>
      </c>
      <c r="H77" s="3" t="str">
        <f>VLOOKUP(E77,Customers!$A$2:$I$1001,4,0)</f>
        <v>+353 (359) 134-1550</v>
      </c>
      <c r="I77" s="25" t="str">
        <f>VLOOKUP(E77,Customers!$A$2:$I$1001,6,0)</f>
        <v>Listowel</v>
      </c>
      <c r="J77" s="25" t="str">
        <f>VLOOKUP(E77,Customers!$A$2:$I$1001,7,0)</f>
        <v>Ireland</v>
      </c>
      <c r="K77" s="23" t="str">
        <f>VLOOKUP(E77,Customers!$A$2:$I$1001,9,0)</f>
        <v>Yes</v>
      </c>
      <c r="L77" s="4" t="s">
        <v>179</v>
      </c>
      <c r="M77" s="4" t="str">
        <f>VLOOKUP(L77,Products!$A$2:$G$49,2,0)</f>
        <v>Robusta</v>
      </c>
      <c r="N77" s="4" t="str">
        <f>VLOOKUP(L77,Products!$A$2:$G$49,3,0)</f>
        <v>Dark</v>
      </c>
      <c r="O77" s="25">
        <v>6</v>
      </c>
      <c r="P77" s="5">
        <f>INDEX([1]products!$A$1:$G$49,MATCH([1]orders!$D77,[1]products!$A$1:$A$49,0),MATCH([1]orders!K$1,[1]products!$A$1:$G$1,0))</f>
        <v>1</v>
      </c>
      <c r="Q77" s="6">
        <f>INDEX([1]products!$A$1:$G$49,MATCH([1]orders!$D77,[1]products!$A$1:$A$49,0),MATCH([1]orders!L$1,[1]products!$A$1:$G$1,0))</f>
        <v>8.9499999999999993</v>
      </c>
      <c r="R77" s="6">
        <f t="shared" si="5"/>
        <v>53.699999999999996</v>
      </c>
      <c r="S77">
        <f>VLOOKUP(L77,Products!$A$2:$G$49,7,0)</f>
        <v>0.53699999999999992</v>
      </c>
      <c r="T77">
        <f t="shared" si="8"/>
        <v>3.2219999999999995</v>
      </c>
      <c r="U77" s="33">
        <f t="shared" si="9"/>
        <v>6</v>
      </c>
    </row>
    <row r="78" spans="1:21" x14ac:dyDescent="0.25">
      <c r="A78" s="1" t="s">
        <v>180</v>
      </c>
      <c r="B78" s="28">
        <v>43855</v>
      </c>
      <c r="C78" s="21" t="str">
        <f t="shared" si="6"/>
        <v>2020</v>
      </c>
      <c r="D78" s="19" t="str">
        <f t="shared" si="7"/>
        <v>January</v>
      </c>
      <c r="E78" s="3" t="s">
        <v>181</v>
      </c>
      <c r="F78" s="3" t="str">
        <f>VLOOKUP(E78,Customers!$A$2:$I$1001,2,0)</f>
        <v>Melania Beadle</v>
      </c>
      <c r="G78" s="3" t="str">
        <f>VLOOKUP(E78,Customers!$A$2:$I$1001,3,0)</f>
        <v>UNKNOWN</v>
      </c>
      <c r="H78" s="3" t="str">
        <f>VLOOKUP(E78,Customers!$A$2:$I$1001,4,0)</f>
        <v>+353 (569) 458-9673</v>
      </c>
      <c r="I78" s="25" t="str">
        <f>VLOOKUP(E78,Customers!$A$2:$I$1001,6,0)</f>
        <v>Moycullen</v>
      </c>
      <c r="J78" s="25" t="str">
        <f>VLOOKUP(E78,Customers!$A$2:$I$1001,7,0)</f>
        <v>Ireland</v>
      </c>
      <c r="K78" s="23" t="str">
        <f>VLOOKUP(E78,Customers!$A$2:$I$1001,9,0)</f>
        <v>Yes</v>
      </c>
      <c r="L78" s="4" t="s">
        <v>182</v>
      </c>
      <c r="M78" s="4" t="str">
        <f>VLOOKUP(L78,Products!$A$2:$G$49,2,0)</f>
        <v>Robusta</v>
      </c>
      <c r="N78" s="4" t="str">
        <f>VLOOKUP(L78,Products!$A$2:$G$49,3,0)</f>
        <v>Light</v>
      </c>
      <c r="O78" s="25">
        <v>1</v>
      </c>
      <c r="P78" s="5">
        <f>INDEX([1]products!$A$1:$G$49,MATCH([1]orders!$D78,[1]products!$A$1:$A$49,0),MATCH([1]orders!K$1,[1]products!$A$1:$G$1,0))</f>
        <v>0.2</v>
      </c>
      <c r="Q78" s="6">
        <f>INDEX([1]products!$A$1:$G$49,MATCH([1]orders!$D78,[1]products!$A$1:$A$49,0),MATCH([1]orders!L$1,[1]products!$A$1:$G$1,0))</f>
        <v>3.5849999999999995</v>
      </c>
      <c r="R78" s="6">
        <f t="shared" si="5"/>
        <v>3.5849999999999995</v>
      </c>
      <c r="S78">
        <f>VLOOKUP(L78,Products!$A$2:$G$49,7,0)</f>
        <v>0.21509999999999996</v>
      </c>
      <c r="T78">
        <f t="shared" si="8"/>
        <v>0.21509999999999996</v>
      </c>
      <c r="U78" s="33">
        <f t="shared" si="9"/>
        <v>6</v>
      </c>
    </row>
    <row r="79" spans="1:21" x14ac:dyDescent="0.25">
      <c r="A79" s="1" t="s">
        <v>183</v>
      </c>
      <c r="B79" s="28">
        <v>43594</v>
      </c>
      <c r="C79" s="21" t="str">
        <f t="shared" si="6"/>
        <v>2019</v>
      </c>
      <c r="D79" s="19" t="str">
        <f t="shared" si="7"/>
        <v>May</v>
      </c>
      <c r="E79" s="3" t="s">
        <v>184</v>
      </c>
      <c r="F79" s="3" t="str">
        <f>VLOOKUP(E79,Customers!$A$2:$I$1001,2,0)</f>
        <v>Colene Elgey</v>
      </c>
      <c r="G79" s="3" t="str">
        <f>VLOOKUP(E79,Customers!$A$2:$I$1001,3,0)</f>
        <v>celgey25@webs.com</v>
      </c>
      <c r="H79" s="3" t="str">
        <f>VLOOKUP(E79,Customers!$A$2:$I$1001,4,0)</f>
        <v>+1 (432) 261-0702</v>
      </c>
      <c r="I79" s="25" t="str">
        <f>VLOOKUP(E79,Customers!$A$2:$I$1001,6,0)</f>
        <v>Midland</v>
      </c>
      <c r="J79" s="25" t="str">
        <f>VLOOKUP(E79,Customers!$A$2:$I$1001,7,0)</f>
        <v>United States</v>
      </c>
      <c r="K79" s="23" t="str">
        <f>VLOOKUP(E79,Customers!$A$2:$I$1001,9,0)</f>
        <v>No</v>
      </c>
      <c r="L79" s="4" t="s">
        <v>51</v>
      </c>
      <c r="M79" s="4" t="str">
        <f>VLOOKUP(L79,Products!$A$2:$G$49,2,0)</f>
        <v>Excelsa</v>
      </c>
      <c r="N79" s="4" t="str">
        <f>VLOOKUP(L79,Products!$A$2:$G$49,3,0)</f>
        <v>Dark</v>
      </c>
      <c r="O79" s="25">
        <v>2</v>
      </c>
      <c r="P79" s="5">
        <f>INDEX([1]products!$A$1:$G$49,MATCH([1]orders!$D79,[1]products!$A$1:$A$49,0),MATCH([1]orders!K$1,[1]products!$A$1:$G$1,0))</f>
        <v>0.2</v>
      </c>
      <c r="Q79" s="6">
        <f>INDEX([1]products!$A$1:$G$49,MATCH([1]orders!$D79,[1]products!$A$1:$A$49,0),MATCH([1]orders!L$1,[1]products!$A$1:$G$1,0))</f>
        <v>3.645</v>
      </c>
      <c r="R79" s="6">
        <f t="shared" si="5"/>
        <v>7.29</v>
      </c>
      <c r="S79">
        <f>VLOOKUP(L79,Products!$A$2:$G$49,7,0)</f>
        <v>0.40095000000000003</v>
      </c>
      <c r="T79">
        <f t="shared" si="8"/>
        <v>0.80190000000000006</v>
      </c>
      <c r="U79" s="33">
        <f t="shared" si="9"/>
        <v>11</v>
      </c>
    </row>
    <row r="80" spans="1:21" x14ac:dyDescent="0.25">
      <c r="A80" s="1" t="s">
        <v>185</v>
      </c>
      <c r="B80" s="28">
        <v>43920</v>
      </c>
      <c r="C80" s="21" t="str">
        <f t="shared" si="6"/>
        <v>2020</v>
      </c>
      <c r="D80" s="19" t="str">
        <f t="shared" si="7"/>
        <v>March</v>
      </c>
      <c r="E80" s="3" t="s">
        <v>186</v>
      </c>
      <c r="F80" s="3" t="str">
        <f>VLOOKUP(E80,Customers!$A$2:$I$1001,2,0)</f>
        <v>Lothaire Mizzi</v>
      </c>
      <c r="G80" s="3" t="str">
        <f>VLOOKUP(E80,Customers!$A$2:$I$1001,3,0)</f>
        <v>lmizzi26@rakuten.co.jp</v>
      </c>
      <c r="H80" s="3" t="str">
        <f>VLOOKUP(E80,Customers!$A$2:$I$1001,4,0)</f>
        <v>+1 (214) 719-8530</v>
      </c>
      <c r="I80" s="25" t="str">
        <f>VLOOKUP(E80,Customers!$A$2:$I$1001,6,0)</f>
        <v>Dallas</v>
      </c>
      <c r="J80" s="25" t="str">
        <f>VLOOKUP(E80,Customers!$A$2:$I$1001,7,0)</f>
        <v>United States</v>
      </c>
      <c r="K80" s="23" t="str">
        <f>VLOOKUP(E80,Customers!$A$2:$I$1001,9,0)</f>
        <v>Yes</v>
      </c>
      <c r="L80" s="4" t="s">
        <v>67</v>
      </c>
      <c r="M80" s="4" t="str">
        <f>VLOOKUP(L80,Products!$A$2:$G$49,2,0)</f>
        <v>Arabica</v>
      </c>
      <c r="N80" s="4" t="str">
        <f>VLOOKUP(L80,Products!$A$2:$G$49,3,0)</f>
        <v>Medium</v>
      </c>
      <c r="O80" s="25">
        <v>6</v>
      </c>
      <c r="P80" s="5">
        <f>INDEX([1]products!$A$1:$G$49,MATCH([1]orders!$D80,[1]products!$A$1:$A$49,0),MATCH([1]orders!K$1,[1]products!$A$1:$G$1,0))</f>
        <v>0.5</v>
      </c>
      <c r="Q80" s="6">
        <f>INDEX([1]products!$A$1:$G$49,MATCH([1]orders!$D80,[1]products!$A$1:$A$49,0),MATCH([1]orders!L$1,[1]products!$A$1:$G$1,0))</f>
        <v>6.75</v>
      </c>
      <c r="R80" s="6">
        <f t="shared" si="5"/>
        <v>40.5</v>
      </c>
      <c r="S80">
        <f>VLOOKUP(L80,Products!$A$2:$G$49,7,0)</f>
        <v>0.60749999999999993</v>
      </c>
      <c r="T80">
        <f t="shared" si="8"/>
        <v>3.6449999999999996</v>
      </c>
      <c r="U80" s="33">
        <f t="shared" si="9"/>
        <v>8.9999999999999982</v>
      </c>
    </row>
    <row r="81" spans="1:21" x14ac:dyDescent="0.25">
      <c r="A81" s="1" t="s">
        <v>187</v>
      </c>
      <c r="B81" s="28">
        <v>44633</v>
      </c>
      <c r="C81" s="21" t="str">
        <f t="shared" si="6"/>
        <v>2022</v>
      </c>
      <c r="D81" s="19" t="str">
        <f t="shared" si="7"/>
        <v>March</v>
      </c>
      <c r="E81" s="3" t="s">
        <v>188</v>
      </c>
      <c r="F81" s="3" t="str">
        <f>VLOOKUP(E81,Customers!$A$2:$I$1001,2,0)</f>
        <v>Cletis Giacomazzo</v>
      </c>
      <c r="G81" s="3" t="str">
        <f>VLOOKUP(E81,Customers!$A$2:$I$1001,3,0)</f>
        <v>cgiacomazzo27@jigsy.com</v>
      </c>
      <c r="H81" s="3" t="str">
        <f>VLOOKUP(E81,Customers!$A$2:$I$1001,4,0)</f>
        <v>+1 (571) 703-2064</v>
      </c>
      <c r="I81" s="25" t="str">
        <f>VLOOKUP(E81,Customers!$A$2:$I$1001,6,0)</f>
        <v>Dulles</v>
      </c>
      <c r="J81" s="25" t="str">
        <f>VLOOKUP(E81,Customers!$A$2:$I$1001,7,0)</f>
        <v>United States</v>
      </c>
      <c r="K81" s="23" t="str">
        <f>VLOOKUP(E81,Customers!$A$2:$I$1001,9,0)</f>
        <v>No</v>
      </c>
      <c r="L81" s="4" t="s">
        <v>189</v>
      </c>
      <c r="M81" s="4" t="str">
        <f>VLOOKUP(L81,Products!$A$2:$G$49,2,0)</f>
        <v>Robusta</v>
      </c>
      <c r="N81" s="4" t="str">
        <f>VLOOKUP(L81,Products!$A$2:$G$49,3,0)</f>
        <v>Light</v>
      </c>
      <c r="O81" s="25">
        <v>4</v>
      </c>
      <c r="P81" s="5">
        <f>INDEX([1]products!$A$1:$G$49,MATCH([1]orders!$D81,[1]products!$A$1:$A$49,0),MATCH([1]orders!K$1,[1]products!$A$1:$G$1,0))</f>
        <v>1</v>
      </c>
      <c r="Q81" s="6">
        <f>INDEX([1]products!$A$1:$G$49,MATCH([1]orders!$D81,[1]products!$A$1:$A$49,0),MATCH([1]orders!L$1,[1]products!$A$1:$G$1,0))</f>
        <v>11.95</v>
      </c>
      <c r="R81" s="6">
        <f t="shared" si="5"/>
        <v>47.8</v>
      </c>
      <c r="S81">
        <f>VLOOKUP(L81,Products!$A$2:$G$49,7,0)</f>
        <v>0.71699999999999997</v>
      </c>
      <c r="T81">
        <f t="shared" si="8"/>
        <v>2.8679999999999999</v>
      </c>
      <c r="U81" s="33">
        <f t="shared" si="9"/>
        <v>6</v>
      </c>
    </row>
    <row r="82" spans="1:21" x14ac:dyDescent="0.25">
      <c r="A82" s="1" t="s">
        <v>190</v>
      </c>
      <c r="B82" s="28">
        <v>43572</v>
      </c>
      <c r="C82" s="21" t="str">
        <f t="shared" si="6"/>
        <v>2019</v>
      </c>
      <c r="D82" s="19" t="str">
        <f t="shared" si="7"/>
        <v>April</v>
      </c>
      <c r="E82" s="3" t="s">
        <v>191</v>
      </c>
      <c r="F82" s="3" t="str">
        <f>VLOOKUP(E82,Customers!$A$2:$I$1001,2,0)</f>
        <v>Ami Arnow</v>
      </c>
      <c r="G82" s="3" t="str">
        <f>VLOOKUP(E82,Customers!$A$2:$I$1001,3,0)</f>
        <v>aarnow28@arizona.edu</v>
      </c>
      <c r="H82" s="3" t="str">
        <f>VLOOKUP(E82,Customers!$A$2:$I$1001,4,0)</f>
        <v>+1 (650) 238-1964</v>
      </c>
      <c r="I82" s="25" t="str">
        <f>VLOOKUP(E82,Customers!$A$2:$I$1001,6,0)</f>
        <v>Oakland</v>
      </c>
      <c r="J82" s="25" t="str">
        <f>VLOOKUP(E82,Customers!$A$2:$I$1001,7,0)</f>
        <v>United States</v>
      </c>
      <c r="K82" s="23" t="str">
        <f>VLOOKUP(E82,Customers!$A$2:$I$1001,9,0)</f>
        <v>Yes</v>
      </c>
      <c r="L82" s="4" t="s">
        <v>192</v>
      </c>
      <c r="M82" s="4" t="str">
        <f>VLOOKUP(L82,Products!$A$2:$G$49,2,0)</f>
        <v>Arabica</v>
      </c>
      <c r="N82" s="4" t="str">
        <f>VLOOKUP(L82,Products!$A$2:$G$49,3,0)</f>
        <v>Light</v>
      </c>
      <c r="O82" s="25">
        <v>5</v>
      </c>
      <c r="P82" s="5">
        <f>INDEX([1]products!$A$1:$G$49,MATCH([1]orders!$D82,[1]products!$A$1:$A$49,0),MATCH([1]orders!K$1,[1]products!$A$1:$G$1,0))</f>
        <v>0.5</v>
      </c>
      <c r="Q82" s="6">
        <f>INDEX([1]products!$A$1:$G$49,MATCH([1]orders!$D82,[1]products!$A$1:$A$49,0),MATCH([1]orders!L$1,[1]products!$A$1:$G$1,0))</f>
        <v>7.77</v>
      </c>
      <c r="R82" s="6">
        <f t="shared" si="5"/>
        <v>38.849999999999994</v>
      </c>
      <c r="S82">
        <f>VLOOKUP(L82,Products!$A$2:$G$49,7,0)</f>
        <v>0.69929999999999992</v>
      </c>
      <c r="T82">
        <f t="shared" si="8"/>
        <v>3.4964999999999997</v>
      </c>
      <c r="U82" s="33">
        <f t="shared" si="9"/>
        <v>9.0000000000000018</v>
      </c>
    </row>
    <row r="83" spans="1:21" x14ac:dyDescent="0.25">
      <c r="A83" s="1" t="s">
        <v>193</v>
      </c>
      <c r="B83" s="28">
        <v>43763</v>
      </c>
      <c r="C83" s="21" t="str">
        <f t="shared" si="6"/>
        <v>2019</v>
      </c>
      <c r="D83" s="19" t="str">
        <f t="shared" si="7"/>
        <v>October</v>
      </c>
      <c r="E83" s="3" t="s">
        <v>194</v>
      </c>
      <c r="F83" s="3" t="str">
        <f>VLOOKUP(E83,Customers!$A$2:$I$1001,2,0)</f>
        <v>Sheppard Yann</v>
      </c>
      <c r="G83" s="3" t="str">
        <f>VLOOKUP(E83,Customers!$A$2:$I$1001,3,0)</f>
        <v>syann29@senate.gov</v>
      </c>
      <c r="H83" s="3" t="str">
        <f>VLOOKUP(E83,Customers!$A$2:$I$1001,4,0)</f>
        <v>+1 (719) 803-5276</v>
      </c>
      <c r="I83" s="25" t="str">
        <f>VLOOKUP(E83,Customers!$A$2:$I$1001,6,0)</f>
        <v>Colorado Springs</v>
      </c>
      <c r="J83" s="25" t="str">
        <f>VLOOKUP(E83,Customers!$A$2:$I$1001,7,0)</f>
        <v>United States</v>
      </c>
      <c r="K83" s="23" t="str">
        <f>VLOOKUP(E83,Customers!$A$2:$I$1001,9,0)</f>
        <v>Yes</v>
      </c>
      <c r="L83" s="4" t="s">
        <v>104</v>
      </c>
      <c r="M83" s="4" t="str">
        <f>VLOOKUP(L83,Products!$A$2:$G$49,2,0)</f>
        <v>Liberica</v>
      </c>
      <c r="N83" s="4" t="str">
        <f>VLOOKUP(L83,Products!$A$2:$G$49,3,0)</f>
        <v>Light</v>
      </c>
      <c r="O83" s="25">
        <v>3</v>
      </c>
      <c r="P83" s="5">
        <f>INDEX([1]products!$A$1:$G$49,MATCH([1]orders!$D83,[1]products!$A$1:$A$49,0),MATCH([1]orders!K$1,[1]products!$A$1:$G$1,0))</f>
        <v>2.5</v>
      </c>
      <c r="Q83" s="6">
        <f>INDEX([1]products!$A$1:$G$49,MATCH([1]orders!$D83,[1]products!$A$1:$A$49,0),MATCH([1]orders!L$1,[1]products!$A$1:$G$1,0))</f>
        <v>36.454999999999998</v>
      </c>
      <c r="R83" s="6">
        <f t="shared" si="5"/>
        <v>109.36499999999999</v>
      </c>
      <c r="S83">
        <f>VLOOKUP(L83,Products!$A$2:$G$49,7,0)</f>
        <v>4.7391499999999995</v>
      </c>
      <c r="T83">
        <f t="shared" si="8"/>
        <v>14.217449999999999</v>
      </c>
      <c r="U83" s="33">
        <f t="shared" si="9"/>
        <v>13</v>
      </c>
    </row>
    <row r="84" spans="1:21" x14ac:dyDescent="0.25">
      <c r="A84" s="1" t="s">
        <v>195</v>
      </c>
      <c r="B84" s="28">
        <v>43721</v>
      </c>
      <c r="C84" s="21" t="str">
        <f t="shared" si="6"/>
        <v>2019</v>
      </c>
      <c r="D84" s="19" t="str">
        <f t="shared" si="7"/>
        <v>September</v>
      </c>
      <c r="E84" s="3" t="s">
        <v>196</v>
      </c>
      <c r="F84" s="3" t="str">
        <f>VLOOKUP(E84,Customers!$A$2:$I$1001,2,0)</f>
        <v>Bunny Naulls</v>
      </c>
      <c r="G84" s="3" t="str">
        <f>VLOOKUP(E84,Customers!$A$2:$I$1001,3,0)</f>
        <v>bnaulls2a@tiny.cc</v>
      </c>
      <c r="H84" s="3" t="str">
        <f>VLOOKUP(E84,Customers!$A$2:$I$1001,4,0)</f>
        <v>+353 (809) 128-0755</v>
      </c>
      <c r="I84" s="25" t="str">
        <f>VLOOKUP(E84,Customers!$A$2:$I$1001,6,0)</f>
        <v>Adare</v>
      </c>
      <c r="J84" s="25" t="str">
        <f>VLOOKUP(E84,Customers!$A$2:$I$1001,7,0)</f>
        <v>Ireland</v>
      </c>
      <c r="K84" s="23" t="str">
        <f>VLOOKUP(E84,Customers!$A$2:$I$1001,9,0)</f>
        <v>Yes</v>
      </c>
      <c r="L84" s="4" t="s">
        <v>197</v>
      </c>
      <c r="M84" s="4" t="str">
        <f>VLOOKUP(L84,Products!$A$2:$G$49,2,0)</f>
        <v>Liberica</v>
      </c>
      <c r="N84" s="4" t="str">
        <f>VLOOKUP(L84,Products!$A$2:$G$49,3,0)</f>
        <v>Medium</v>
      </c>
      <c r="O84" s="25">
        <v>3</v>
      </c>
      <c r="P84" s="5">
        <f>INDEX([1]products!$A$1:$G$49,MATCH([1]orders!$D84,[1]products!$A$1:$A$49,0),MATCH([1]orders!K$1,[1]products!$A$1:$G$1,0))</f>
        <v>2.5</v>
      </c>
      <c r="Q84" s="6">
        <f>INDEX([1]products!$A$1:$G$49,MATCH([1]orders!$D84,[1]products!$A$1:$A$49,0),MATCH([1]orders!L$1,[1]products!$A$1:$G$1,0))</f>
        <v>33.464999999999996</v>
      </c>
      <c r="R84" s="6">
        <f t="shared" si="5"/>
        <v>100.39499999999998</v>
      </c>
      <c r="S84">
        <f>VLOOKUP(L84,Products!$A$2:$G$49,7,0)</f>
        <v>4.3504499999999995</v>
      </c>
      <c r="T84">
        <f t="shared" si="8"/>
        <v>13.051349999999999</v>
      </c>
      <c r="U84" s="33">
        <f t="shared" si="9"/>
        <v>13</v>
      </c>
    </row>
    <row r="85" spans="1:21" x14ac:dyDescent="0.25">
      <c r="A85" s="1" t="s">
        <v>198</v>
      </c>
      <c r="B85" s="28">
        <v>43933</v>
      </c>
      <c r="C85" s="21" t="str">
        <f t="shared" si="6"/>
        <v>2020</v>
      </c>
      <c r="D85" s="19" t="str">
        <f t="shared" si="7"/>
        <v>April</v>
      </c>
      <c r="E85" s="3" t="s">
        <v>199</v>
      </c>
      <c r="F85" s="3" t="str">
        <f>VLOOKUP(E85,Customers!$A$2:$I$1001,2,0)</f>
        <v>Hally Lorait</v>
      </c>
      <c r="G85" s="3" t="str">
        <f>VLOOKUP(E85,Customers!$A$2:$I$1001,3,0)</f>
        <v>UNKNOWN</v>
      </c>
      <c r="H85" s="3" t="str">
        <f>VLOOKUP(E85,Customers!$A$2:$I$1001,4,0)</f>
        <v>+1 (716) 869-3749</v>
      </c>
      <c r="I85" s="25" t="str">
        <f>VLOOKUP(E85,Customers!$A$2:$I$1001,6,0)</f>
        <v>Buffalo</v>
      </c>
      <c r="J85" s="25" t="str">
        <f>VLOOKUP(E85,Customers!$A$2:$I$1001,7,0)</f>
        <v>United States</v>
      </c>
      <c r="K85" s="23" t="str">
        <f>VLOOKUP(E85,Customers!$A$2:$I$1001,9,0)</f>
        <v>Yes</v>
      </c>
      <c r="L85" s="4" t="s">
        <v>35</v>
      </c>
      <c r="M85" s="4" t="str">
        <f>VLOOKUP(L85,Products!$A$2:$G$49,2,0)</f>
        <v>Robusta</v>
      </c>
      <c r="N85" s="4" t="str">
        <f>VLOOKUP(L85,Products!$A$2:$G$49,3,0)</f>
        <v>Dark</v>
      </c>
      <c r="O85" s="25">
        <v>4</v>
      </c>
      <c r="P85" s="5">
        <f>INDEX([1]products!$A$1:$G$49,MATCH([1]orders!$D85,[1]products!$A$1:$A$49,0),MATCH([1]orders!K$1,[1]products!$A$1:$G$1,0))</f>
        <v>2.5</v>
      </c>
      <c r="Q85" s="6">
        <f>INDEX([1]products!$A$1:$G$49,MATCH([1]orders!$D85,[1]products!$A$1:$A$49,0),MATCH([1]orders!L$1,[1]products!$A$1:$G$1,0))</f>
        <v>20.584999999999997</v>
      </c>
      <c r="R85" s="6">
        <f t="shared" si="5"/>
        <v>82.339999999999989</v>
      </c>
      <c r="S85">
        <f>VLOOKUP(L85,Products!$A$2:$G$49,7,0)</f>
        <v>1.2350999999999999</v>
      </c>
      <c r="T85">
        <f t="shared" si="8"/>
        <v>4.9403999999999995</v>
      </c>
      <c r="U85" s="33">
        <f t="shared" si="9"/>
        <v>6.0000000000000009</v>
      </c>
    </row>
    <row r="86" spans="1:21" x14ac:dyDescent="0.25">
      <c r="A86" s="1" t="s">
        <v>200</v>
      </c>
      <c r="B86" s="28">
        <v>43783</v>
      </c>
      <c r="C86" s="21" t="str">
        <f t="shared" si="6"/>
        <v>2019</v>
      </c>
      <c r="D86" s="19" t="str">
        <f t="shared" si="7"/>
        <v>November</v>
      </c>
      <c r="E86" s="3" t="s">
        <v>201</v>
      </c>
      <c r="F86" s="3" t="str">
        <f>VLOOKUP(E86,Customers!$A$2:$I$1001,2,0)</f>
        <v>Zaccaria Sherewood</v>
      </c>
      <c r="G86" s="3" t="str">
        <f>VLOOKUP(E86,Customers!$A$2:$I$1001,3,0)</f>
        <v>zsherewood2c@apache.org</v>
      </c>
      <c r="H86" s="3" t="str">
        <f>VLOOKUP(E86,Customers!$A$2:$I$1001,4,0)</f>
        <v>+1 (209) 433-7924</v>
      </c>
      <c r="I86" s="25" t="str">
        <f>VLOOKUP(E86,Customers!$A$2:$I$1001,6,0)</f>
        <v>Fresno</v>
      </c>
      <c r="J86" s="25" t="str">
        <f>VLOOKUP(E86,Customers!$A$2:$I$1001,7,0)</f>
        <v>United States</v>
      </c>
      <c r="K86" s="23" t="str">
        <f>VLOOKUP(E86,Customers!$A$2:$I$1001,9,0)</f>
        <v>No</v>
      </c>
      <c r="L86" s="4" t="s">
        <v>83</v>
      </c>
      <c r="M86" s="4" t="str">
        <f>VLOOKUP(L86,Products!$A$2:$G$49,2,0)</f>
        <v>Liberica</v>
      </c>
      <c r="N86" s="4" t="str">
        <f>VLOOKUP(L86,Products!$A$2:$G$49,3,0)</f>
        <v>Light</v>
      </c>
      <c r="O86" s="25">
        <v>1</v>
      </c>
      <c r="P86" s="5">
        <f>INDEX([1]products!$A$1:$G$49,MATCH([1]orders!$D86,[1]products!$A$1:$A$49,0),MATCH([1]orders!K$1,[1]products!$A$1:$G$1,0))</f>
        <v>0.5</v>
      </c>
      <c r="Q86" s="6">
        <f>INDEX([1]products!$A$1:$G$49,MATCH([1]orders!$D86,[1]products!$A$1:$A$49,0),MATCH([1]orders!L$1,[1]products!$A$1:$G$1,0))</f>
        <v>9.51</v>
      </c>
      <c r="R86" s="6">
        <f t="shared" si="5"/>
        <v>9.51</v>
      </c>
      <c r="S86">
        <f>VLOOKUP(L86,Products!$A$2:$G$49,7,0)</f>
        <v>1.2363</v>
      </c>
      <c r="T86">
        <f t="shared" si="8"/>
        <v>1.2363</v>
      </c>
      <c r="U86" s="33">
        <f t="shared" si="9"/>
        <v>13</v>
      </c>
    </row>
    <row r="87" spans="1:21" x14ac:dyDescent="0.25">
      <c r="A87" s="1" t="s">
        <v>202</v>
      </c>
      <c r="B87" s="28">
        <v>43664</v>
      </c>
      <c r="C87" s="21" t="str">
        <f t="shared" si="6"/>
        <v>2019</v>
      </c>
      <c r="D87" s="19" t="str">
        <f t="shared" si="7"/>
        <v>July</v>
      </c>
      <c r="E87" s="3" t="s">
        <v>203</v>
      </c>
      <c r="F87" s="3" t="str">
        <f>VLOOKUP(E87,Customers!$A$2:$I$1001,2,0)</f>
        <v>Jeffrey Dufaire</v>
      </c>
      <c r="G87" s="3" t="str">
        <f>VLOOKUP(E87,Customers!$A$2:$I$1001,3,0)</f>
        <v>jdufaire2d@fc2.com</v>
      </c>
      <c r="H87" s="3" t="str">
        <f>VLOOKUP(E87,Customers!$A$2:$I$1001,4,0)</f>
        <v>UNKNOWN</v>
      </c>
      <c r="I87" s="25" t="str">
        <f>VLOOKUP(E87,Customers!$A$2:$I$1001,6,0)</f>
        <v>Fort Worth</v>
      </c>
      <c r="J87" s="25" t="str">
        <f>VLOOKUP(E87,Customers!$A$2:$I$1001,7,0)</f>
        <v>United States</v>
      </c>
      <c r="K87" s="23" t="str">
        <f>VLOOKUP(E87,Customers!$A$2:$I$1001,9,0)</f>
        <v>No</v>
      </c>
      <c r="L87" s="4" t="s">
        <v>204</v>
      </c>
      <c r="M87" s="4" t="str">
        <f>VLOOKUP(L87,Products!$A$2:$G$49,2,0)</f>
        <v>Arabica</v>
      </c>
      <c r="N87" s="4" t="str">
        <f>VLOOKUP(L87,Products!$A$2:$G$49,3,0)</f>
        <v>Light</v>
      </c>
      <c r="O87" s="25">
        <v>3</v>
      </c>
      <c r="P87" s="5">
        <f>INDEX([1]products!$A$1:$G$49,MATCH([1]orders!$D87,[1]products!$A$1:$A$49,0),MATCH([1]orders!K$1,[1]products!$A$1:$G$1,0))</f>
        <v>2.5</v>
      </c>
      <c r="Q87" s="6">
        <f>INDEX([1]products!$A$1:$G$49,MATCH([1]orders!$D87,[1]products!$A$1:$A$49,0),MATCH([1]orders!L$1,[1]products!$A$1:$G$1,0))</f>
        <v>29.784999999999997</v>
      </c>
      <c r="R87" s="6">
        <f t="shared" si="5"/>
        <v>89.35499999999999</v>
      </c>
      <c r="S87">
        <f>VLOOKUP(L87,Products!$A$2:$G$49,7,0)</f>
        <v>2.6806499999999995</v>
      </c>
      <c r="T87">
        <f t="shared" si="8"/>
        <v>8.0419499999999982</v>
      </c>
      <c r="U87" s="33">
        <f t="shared" si="9"/>
        <v>8.9999999999999982</v>
      </c>
    </row>
    <row r="88" spans="1:21" x14ac:dyDescent="0.25">
      <c r="A88" s="1" t="s">
        <v>202</v>
      </c>
      <c r="B88" s="28">
        <v>43664</v>
      </c>
      <c r="C88" s="21" t="str">
        <f t="shared" si="6"/>
        <v>2019</v>
      </c>
      <c r="D88" s="19" t="str">
        <f t="shared" si="7"/>
        <v>July</v>
      </c>
      <c r="E88" s="3" t="s">
        <v>203</v>
      </c>
      <c r="F88" s="3" t="str">
        <f>VLOOKUP(E88,Customers!$A$2:$I$1001,2,0)</f>
        <v>Jeffrey Dufaire</v>
      </c>
      <c r="G88" s="3" t="str">
        <f>VLOOKUP(E88,Customers!$A$2:$I$1001,3,0)</f>
        <v>jdufaire2d@fc2.com</v>
      </c>
      <c r="H88" s="3" t="str">
        <f>VLOOKUP(E88,Customers!$A$2:$I$1001,4,0)</f>
        <v>UNKNOWN</v>
      </c>
      <c r="I88" s="25" t="str">
        <f>VLOOKUP(E88,Customers!$A$2:$I$1001,6,0)</f>
        <v>Fort Worth</v>
      </c>
      <c r="J88" s="25" t="str">
        <f>VLOOKUP(E88,Customers!$A$2:$I$1001,7,0)</f>
        <v>United States</v>
      </c>
      <c r="K88" s="23" t="str">
        <f>VLOOKUP(E88,Customers!$A$2:$I$1001,9,0)</f>
        <v>No</v>
      </c>
      <c r="L88" s="4" t="s">
        <v>54</v>
      </c>
      <c r="M88" s="4" t="str">
        <f>VLOOKUP(L88,Products!$A$2:$G$49,2,0)</f>
        <v>Arabica</v>
      </c>
      <c r="N88" s="4" t="str">
        <f>VLOOKUP(L88,Products!$A$2:$G$49,3,0)</f>
        <v>Dark</v>
      </c>
      <c r="O88" s="25">
        <v>4</v>
      </c>
      <c r="P88" s="5">
        <f>INDEX([1]products!$A$1:$G$49,MATCH([1]orders!$D88,[1]products!$A$1:$A$49,0),MATCH([1]orders!K$1,[1]products!$A$1:$G$1,0))</f>
        <v>0.2</v>
      </c>
      <c r="Q88" s="6">
        <f>INDEX([1]products!$A$1:$G$49,MATCH([1]orders!$D88,[1]products!$A$1:$A$49,0),MATCH([1]orders!L$1,[1]products!$A$1:$G$1,0))</f>
        <v>2.9849999999999999</v>
      </c>
      <c r="R88" s="6">
        <f t="shared" si="5"/>
        <v>11.94</v>
      </c>
      <c r="S88">
        <f>VLOOKUP(L88,Products!$A$2:$G$49,7,0)</f>
        <v>0.26865</v>
      </c>
      <c r="T88">
        <f t="shared" si="8"/>
        <v>1.0746</v>
      </c>
      <c r="U88" s="33">
        <f t="shared" si="9"/>
        <v>9.0000000000000018</v>
      </c>
    </row>
    <row r="89" spans="1:21" x14ac:dyDescent="0.25">
      <c r="A89" s="1" t="s">
        <v>205</v>
      </c>
      <c r="B89" s="28">
        <v>44289</v>
      </c>
      <c r="C89" s="21" t="str">
        <f t="shared" si="6"/>
        <v>2021</v>
      </c>
      <c r="D89" s="19" t="str">
        <f t="shared" si="7"/>
        <v>April</v>
      </c>
      <c r="E89" s="3" t="s">
        <v>206</v>
      </c>
      <c r="F89" s="3" t="str">
        <f>VLOOKUP(E89,Customers!$A$2:$I$1001,2,0)</f>
        <v>Beitris Keaveney</v>
      </c>
      <c r="G89" s="3" t="str">
        <f>VLOOKUP(E89,Customers!$A$2:$I$1001,3,0)</f>
        <v>bkeaveney2f@netlog.com</v>
      </c>
      <c r="H89" s="3" t="str">
        <f>VLOOKUP(E89,Customers!$A$2:$I$1001,4,0)</f>
        <v>UNKNOWN</v>
      </c>
      <c r="I89" s="25" t="str">
        <f>VLOOKUP(E89,Customers!$A$2:$I$1001,6,0)</f>
        <v>Beaumont</v>
      </c>
      <c r="J89" s="25" t="str">
        <f>VLOOKUP(E89,Customers!$A$2:$I$1001,7,0)</f>
        <v>United States</v>
      </c>
      <c r="K89" s="23" t="str">
        <f>VLOOKUP(E89,Customers!$A$2:$I$1001,9,0)</f>
        <v>No</v>
      </c>
      <c r="L89" s="4" t="s">
        <v>61</v>
      </c>
      <c r="M89" s="4" t="str">
        <f>VLOOKUP(L89,Products!$A$2:$G$49,2,0)</f>
        <v>Arabica</v>
      </c>
      <c r="N89" s="4" t="str">
        <f>VLOOKUP(L89,Products!$A$2:$G$49,3,0)</f>
        <v>Medium</v>
      </c>
      <c r="O89" s="25">
        <v>3</v>
      </c>
      <c r="P89" s="5">
        <f>INDEX([1]products!$A$1:$G$49,MATCH([1]orders!$D89,[1]products!$A$1:$A$49,0),MATCH([1]orders!K$1,[1]products!$A$1:$G$1,0))</f>
        <v>1</v>
      </c>
      <c r="Q89" s="6">
        <f>INDEX([1]products!$A$1:$G$49,MATCH([1]orders!$D89,[1]products!$A$1:$A$49,0),MATCH([1]orders!L$1,[1]products!$A$1:$G$1,0))</f>
        <v>11.25</v>
      </c>
      <c r="R89" s="6">
        <f t="shared" si="5"/>
        <v>33.75</v>
      </c>
      <c r="S89">
        <f>VLOOKUP(L89,Products!$A$2:$G$49,7,0)</f>
        <v>1.0125</v>
      </c>
      <c r="T89">
        <f t="shared" si="8"/>
        <v>3.0374999999999996</v>
      </c>
      <c r="U89" s="33">
        <f t="shared" si="9"/>
        <v>8.9999999999999982</v>
      </c>
    </row>
    <row r="90" spans="1:21" x14ac:dyDescent="0.25">
      <c r="A90" s="1" t="s">
        <v>207</v>
      </c>
      <c r="B90" s="28">
        <v>44284</v>
      </c>
      <c r="C90" s="21" t="str">
        <f t="shared" si="6"/>
        <v>2021</v>
      </c>
      <c r="D90" s="19" t="str">
        <f t="shared" si="7"/>
        <v>March</v>
      </c>
      <c r="E90" s="3" t="s">
        <v>208</v>
      </c>
      <c r="F90" s="3" t="str">
        <f>VLOOKUP(E90,Customers!$A$2:$I$1001,2,0)</f>
        <v>Elna Grise</v>
      </c>
      <c r="G90" s="3" t="str">
        <f>VLOOKUP(E90,Customers!$A$2:$I$1001,3,0)</f>
        <v>egrise2g@cargocollective.com</v>
      </c>
      <c r="H90" s="3" t="str">
        <f>VLOOKUP(E90,Customers!$A$2:$I$1001,4,0)</f>
        <v>UNKNOWN</v>
      </c>
      <c r="I90" s="25" t="str">
        <f>VLOOKUP(E90,Customers!$A$2:$I$1001,6,0)</f>
        <v>Reno</v>
      </c>
      <c r="J90" s="25" t="str">
        <f>VLOOKUP(E90,Customers!$A$2:$I$1001,7,0)</f>
        <v>United States</v>
      </c>
      <c r="K90" s="23" t="str">
        <f>VLOOKUP(E90,Customers!$A$2:$I$1001,9,0)</f>
        <v>No</v>
      </c>
      <c r="L90" s="4" t="s">
        <v>189</v>
      </c>
      <c r="M90" s="4" t="str">
        <f>VLOOKUP(L90,Products!$A$2:$G$49,2,0)</f>
        <v>Robusta</v>
      </c>
      <c r="N90" s="4" t="str">
        <f>VLOOKUP(L90,Products!$A$2:$G$49,3,0)</f>
        <v>Light</v>
      </c>
      <c r="O90" s="25">
        <v>3</v>
      </c>
      <c r="P90" s="5">
        <f>INDEX([1]products!$A$1:$G$49,MATCH([1]orders!$D90,[1]products!$A$1:$A$49,0),MATCH([1]orders!K$1,[1]products!$A$1:$G$1,0))</f>
        <v>1</v>
      </c>
      <c r="Q90" s="6">
        <f>INDEX([1]products!$A$1:$G$49,MATCH([1]orders!$D90,[1]products!$A$1:$A$49,0),MATCH([1]orders!L$1,[1]products!$A$1:$G$1,0))</f>
        <v>11.95</v>
      </c>
      <c r="R90" s="6">
        <f t="shared" si="5"/>
        <v>35.849999999999994</v>
      </c>
      <c r="S90">
        <f>VLOOKUP(L90,Products!$A$2:$G$49,7,0)</f>
        <v>0.71699999999999997</v>
      </c>
      <c r="T90">
        <f t="shared" si="8"/>
        <v>2.1509999999999998</v>
      </c>
      <c r="U90" s="33">
        <f t="shared" si="9"/>
        <v>6.0000000000000009</v>
      </c>
    </row>
    <row r="91" spans="1:21" x14ac:dyDescent="0.25">
      <c r="A91" s="1" t="s">
        <v>209</v>
      </c>
      <c r="B91" s="28">
        <v>44545</v>
      </c>
      <c r="C91" s="21" t="str">
        <f t="shared" si="6"/>
        <v>2021</v>
      </c>
      <c r="D91" s="19" t="str">
        <f t="shared" si="7"/>
        <v>December</v>
      </c>
      <c r="E91" s="3" t="s">
        <v>210</v>
      </c>
      <c r="F91" s="3" t="str">
        <f>VLOOKUP(E91,Customers!$A$2:$I$1001,2,0)</f>
        <v>Torie Gottelier</v>
      </c>
      <c r="G91" s="3" t="str">
        <f>VLOOKUP(E91,Customers!$A$2:$I$1001,3,0)</f>
        <v>tgottelier2h@vistaprint.com</v>
      </c>
      <c r="H91" s="3" t="str">
        <f>VLOOKUP(E91,Customers!$A$2:$I$1001,4,0)</f>
        <v>+1 (816) 743-8492</v>
      </c>
      <c r="I91" s="25" t="str">
        <f>VLOOKUP(E91,Customers!$A$2:$I$1001,6,0)</f>
        <v>Kansas City</v>
      </c>
      <c r="J91" s="25" t="str">
        <f>VLOOKUP(E91,Customers!$A$2:$I$1001,7,0)</f>
        <v>United States</v>
      </c>
      <c r="K91" s="23" t="str">
        <f>VLOOKUP(E91,Customers!$A$2:$I$1001,9,0)</f>
        <v>No</v>
      </c>
      <c r="L91" s="4" t="s">
        <v>6</v>
      </c>
      <c r="M91" s="4" t="str">
        <f>VLOOKUP(L91,Products!$A$2:$G$49,2,0)</f>
        <v>Arabica</v>
      </c>
      <c r="N91" s="4" t="str">
        <f>VLOOKUP(L91,Products!$A$2:$G$49,3,0)</f>
        <v>Light</v>
      </c>
      <c r="O91" s="25">
        <v>6</v>
      </c>
      <c r="P91" s="5">
        <f>INDEX([1]products!$A$1:$G$49,MATCH([1]orders!$D91,[1]products!$A$1:$A$49,0),MATCH([1]orders!K$1,[1]products!$A$1:$G$1,0))</f>
        <v>1</v>
      </c>
      <c r="Q91" s="6">
        <f>INDEX([1]products!$A$1:$G$49,MATCH([1]orders!$D91,[1]products!$A$1:$A$49,0),MATCH([1]orders!L$1,[1]products!$A$1:$G$1,0))</f>
        <v>12.95</v>
      </c>
      <c r="R91" s="6">
        <f t="shared" si="5"/>
        <v>77.699999999999989</v>
      </c>
      <c r="S91">
        <f>VLOOKUP(L91,Products!$A$2:$G$49,7,0)</f>
        <v>1.1655</v>
      </c>
      <c r="T91">
        <f t="shared" si="8"/>
        <v>6.9930000000000003</v>
      </c>
      <c r="U91" s="33">
        <f t="shared" si="9"/>
        <v>9.0000000000000018</v>
      </c>
    </row>
    <row r="92" spans="1:21" x14ac:dyDescent="0.25">
      <c r="A92" s="1" t="s">
        <v>211</v>
      </c>
      <c r="B92" s="28">
        <v>43971</v>
      </c>
      <c r="C92" s="21" t="str">
        <f t="shared" si="6"/>
        <v>2020</v>
      </c>
      <c r="D92" s="19" t="str">
        <f t="shared" si="7"/>
        <v>May</v>
      </c>
      <c r="E92" s="3" t="s">
        <v>212</v>
      </c>
      <c r="F92" s="3" t="str">
        <f>VLOOKUP(E92,Customers!$A$2:$I$1001,2,0)</f>
        <v>Loydie Langlais</v>
      </c>
      <c r="G92" s="3" t="str">
        <f>VLOOKUP(E92,Customers!$A$2:$I$1001,3,0)</f>
        <v>UNKNOWN</v>
      </c>
      <c r="H92" s="3" t="str">
        <f>VLOOKUP(E92,Customers!$A$2:$I$1001,4,0)</f>
        <v>+353 (576) 222-5069</v>
      </c>
      <c r="I92" s="25" t="str">
        <f>VLOOKUP(E92,Customers!$A$2:$I$1001,6,0)</f>
        <v>Crumlin</v>
      </c>
      <c r="J92" s="25" t="str">
        <f>VLOOKUP(E92,Customers!$A$2:$I$1001,7,0)</f>
        <v>Ireland</v>
      </c>
      <c r="K92" s="23" t="str">
        <f>VLOOKUP(E92,Customers!$A$2:$I$1001,9,0)</f>
        <v>Yes</v>
      </c>
      <c r="L92" s="4" t="s">
        <v>6</v>
      </c>
      <c r="M92" s="4" t="str">
        <f>VLOOKUP(L92,Products!$A$2:$G$49,2,0)</f>
        <v>Arabica</v>
      </c>
      <c r="N92" s="4" t="str">
        <f>VLOOKUP(L92,Products!$A$2:$G$49,3,0)</f>
        <v>Light</v>
      </c>
      <c r="O92" s="25">
        <v>4</v>
      </c>
      <c r="P92" s="5">
        <f>INDEX([1]products!$A$1:$G$49,MATCH([1]orders!$D92,[1]products!$A$1:$A$49,0),MATCH([1]orders!K$1,[1]products!$A$1:$G$1,0))</f>
        <v>1</v>
      </c>
      <c r="Q92" s="6">
        <f>INDEX([1]products!$A$1:$G$49,MATCH([1]orders!$D92,[1]products!$A$1:$A$49,0),MATCH([1]orders!L$1,[1]products!$A$1:$G$1,0))</f>
        <v>12.95</v>
      </c>
      <c r="R92" s="6">
        <f t="shared" si="5"/>
        <v>51.8</v>
      </c>
      <c r="S92">
        <f>VLOOKUP(L92,Products!$A$2:$G$49,7,0)</f>
        <v>1.1655</v>
      </c>
      <c r="T92">
        <f t="shared" si="8"/>
        <v>4.6619999999999999</v>
      </c>
      <c r="U92" s="33">
        <f t="shared" si="9"/>
        <v>9</v>
      </c>
    </row>
    <row r="93" spans="1:21" x14ac:dyDescent="0.25">
      <c r="A93" s="1" t="s">
        <v>213</v>
      </c>
      <c r="B93" s="28">
        <v>44137</v>
      </c>
      <c r="C93" s="21" t="str">
        <f t="shared" si="6"/>
        <v>2020</v>
      </c>
      <c r="D93" s="19" t="str">
        <f t="shared" si="7"/>
        <v>November</v>
      </c>
      <c r="E93" s="3" t="s">
        <v>214</v>
      </c>
      <c r="F93" s="3" t="str">
        <f>VLOOKUP(E93,Customers!$A$2:$I$1001,2,0)</f>
        <v>Adham Greenhead</v>
      </c>
      <c r="G93" s="3" t="str">
        <f>VLOOKUP(E93,Customers!$A$2:$I$1001,3,0)</f>
        <v>agreenhead2j@dailymail.co.uk</v>
      </c>
      <c r="H93" s="3" t="str">
        <f>VLOOKUP(E93,Customers!$A$2:$I$1001,4,0)</f>
        <v>+1 (951) 797-0738</v>
      </c>
      <c r="I93" s="25" t="str">
        <f>VLOOKUP(E93,Customers!$A$2:$I$1001,6,0)</f>
        <v>Corona</v>
      </c>
      <c r="J93" s="25" t="str">
        <f>VLOOKUP(E93,Customers!$A$2:$I$1001,7,0)</f>
        <v>United States</v>
      </c>
      <c r="K93" s="23" t="str">
        <f>VLOOKUP(E93,Customers!$A$2:$I$1001,9,0)</f>
        <v>No</v>
      </c>
      <c r="L93" s="4" t="s">
        <v>171</v>
      </c>
      <c r="M93" s="4" t="str">
        <f>VLOOKUP(L93,Products!$A$2:$G$49,2,0)</f>
        <v>Arabica</v>
      </c>
      <c r="N93" s="4" t="str">
        <f>VLOOKUP(L93,Products!$A$2:$G$49,3,0)</f>
        <v>Medium</v>
      </c>
      <c r="O93" s="25">
        <v>4</v>
      </c>
      <c r="P93" s="5">
        <f>INDEX([1]products!$A$1:$G$49,MATCH([1]orders!$D93,[1]products!$A$1:$A$49,0),MATCH([1]orders!K$1,[1]products!$A$1:$G$1,0))</f>
        <v>2.5</v>
      </c>
      <c r="Q93" s="6">
        <f>INDEX([1]products!$A$1:$G$49,MATCH([1]orders!$D93,[1]products!$A$1:$A$49,0),MATCH([1]orders!L$1,[1]products!$A$1:$G$1,0))</f>
        <v>25.874999999999996</v>
      </c>
      <c r="R93" s="6">
        <f t="shared" si="5"/>
        <v>103.49999999999999</v>
      </c>
      <c r="S93">
        <f>VLOOKUP(L93,Products!$A$2:$G$49,7,0)</f>
        <v>2.3287499999999994</v>
      </c>
      <c r="T93">
        <f t="shared" si="8"/>
        <v>9.3149999999999977</v>
      </c>
      <c r="U93" s="33">
        <f t="shared" si="9"/>
        <v>9</v>
      </c>
    </row>
    <row r="94" spans="1:21" x14ac:dyDescent="0.25">
      <c r="A94" s="1" t="s">
        <v>215</v>
      </c>
      <c r="B94" s="28">
        <v>44037</v>
      </c>
      <c r="C94" s="21" t="str">
        <f t="shared" si="6"/>
        <v>2020</v>
      </c>
      <c r="D94" s="19" t="str">
        <f t="shared" si="7"/>
        <v>July</v>
      </c>
      <c r="E94" s="3" t="s">
        <v>216</v>
      </c>
      <c r="F94" s="3" t="str">
        <f>VLOOKUP(E94,Customers!$A$2:$I$1001,2,0)</f>
        <v>Hamish MacSherry</v>
      </c>
      <c r="G94" s="3" t="str">
        <f>VLOOKUP(E94,Customers!$A$2:$I$1001,3,0)</f>
        <v>UNKNOWN</v>
      </c>
      <c r="H94" s="3" t="str">
        <f>VLOOKUP(E94,Customers!$A$2:$I$1001,4,0)</f>
        <v>+1 (512) 430-4374</v>
      </c>
      <c r="I94" s="25" t="str">
        <f>VLOOKUP(E94,Customers!$A$2:$I$1001,6,0)</f>
        <v>Austin</v>
      </c>
      <c r="J94" s="25" t="str">
        <f>VLOOKUP(E94,Customers!$A$2:$I$1001,7,0)</f>
        <v>United States</v>
      </c>
      <c r="K94" s="23" t="str">
        <f>VLOOKUP(E94,Customers!$A$2:$I$1001,9,0)</f>
        <v>Yes</v>
      </c>
      <c r="L94" s="4" t="s">
        <v>137</v>
      </c>
      <c r="M94" s="4" t="str">
        <f>VLOOKUP(L94,Products!$A$2:$G$49,2,0)</f>
        <v>Excelsa</v>
      </c>
      <c r="N94" s="4" t="str">
        <f>VLOOKUP(L94,Products!$A$2:$G$49,3,0)</f>
        <v>Light</v>
      </c>
      <c r="O94" s="25">
        <v>3</v>
      </c>
      <c r="P94" s="5">
        <f>INDEX([1]products!$A$1:$G$49,MATCH([1]orders!$D94,[1]products!$A$1:$A$49,0),MATCH([1]orders!K$1,[1]products!$A$1:$G$1,0))</f>
        <v>1</v>
      </c>
      <c r="Q94" s="6">
        <f>INDEX([1]products!$A$1:$G$49,MATCH([1]orders!$D94,[1]products!$A$1:$A$49,0),MATCH([1]orders!L$1,[1]products!$A$1:$G$1,0))</f>
        <v>14.85</v>
      </c>
      <c r="R94" s="6">
        <f t="shared" si="5"/>
        <v>44.55</v>
      </c>
      <c r="S94">
        <f>VLOOKUP(L94,Products!$A$2:$G$49,7,0)</f>
        <v>1.6335</v>
      </c>
      <c r="T94">
        <f t="shared" si="8"/>
        <v>4.9005000000000001</v>
      </c>
      <c r="U94" s="33">
        <f t="shared" si="9"/>
        <v>11.000000000000002</v>
      </c>
    </row>
    <row r="95" spans="1:21" x14ac:dyDescent="0.25">
      <c r="A95" s="1" t="s">
        <v>217</v>
      </c>
      <c r="B95" s="28">
        <v>43538</v>
      </c>
      <c r="C95" s="21" t="str">
        <f t="shared" si="6"/>
        <v>2019</v>
      </c>
      <c r="D95" s="19" t="str">
        <f t="shared" si="7"/>
        <v>March</v>
      </c>
      <c r="E95" s="3" t="s">
        <v>218</v>
      </c>
      <c r="F95" s="3" t="str">
        <f>VLOOKUP(E95,Customers!$A$2:$I$1001,2,0)</f>
        <v>Else Langcaster</v>
      </c>
      <c r="G95" s="3" t="str">
        <f>VLOOKUP(E95,Customers!$A$2:$I$1001,3,0)</f>
        <v>elangcaster2l@spotify.com</v>
      </c>
      <c r="H95" s="3" t="str">
        <f>VLOOKUP(E95,Customers!$A$2:$I$1001,4,0)</f>
        <v>+44 (547) 590-3103</v>
      </c>
      <c r="I95" s="25" t="str">
        <f>VLOOKUP(E95,Customers!$A$2:$I$1001,6,0)</f>
        <v>Normanton</v>
      </c>
      <c r="J95" s="25" t="str">
        <f>VLOOKUP(E95,Customers!$A$2:$I$1001,7,0)</f>
        <v>United Kingdom</v>
      </c>
      <c r="K95" s="23" t="str">
        <f>VLOOKUP(E95,Customers!$A$2:$I$1001,9,0)</f>
        <v>Yes</v>
      </c>
      <c r="L95" s="4" t="s">
        <v>176</v>
      </c>
      <c r="M95" s="4" t="str">
        <f>VLOOKUP(L95,Products!$A$2:$G$49,2,0)</f>
        <v>Excelsa</v>
      </c>
      <c r="N95" s="4" t="str">
        <f>VLOOKUP(L95,Products!$A$2:$G$49,3,0)</f>
        <v>Light</v>
      </c>
      <c r="O95" s="25">
        <v>4</v>
      </c>
      <c r="P95" s="5">
        <f>INDEX([1]products!$A$1:$G$49,MATCH([1]orders!$D95,[1]products!$A$1:$A$49,0),MATCH([1]orders!K$1,[1]products!$A$1:$G$1,0))</f>
        <v>0.5</v>
      </c>
      <c r="Q95" s="6">
        <f>INDEX([1]products!$A$1:$G$49,MATCH([1]orders!$D95,[1]products!$A$1:$A$49,0),MATCH([1]orders!L$1,[1]products!$A$1:$G$1,0))</f>
        <v>8.91</v>
      </c>
      <c r="R95" s="6">
        <f t="shared" si="5"/>
        <v>35.64</v>
      </c>
      <c r="S95">
        <f>VLOOKUP(L95,Products!$A$2:$G$49,7,0)</f>
        <v>0.98009999999999997</v>
      </c>
      <c r="T95">
        <f t="shared" si="8"/>
        <v>3.9203999999999999</v>
      </c>
      <c r="U95" s="33">
        <f t="shared" si="9"/>
        <v>11</v>
      </c>
    </row>
    <row r="96" spans="1:21" x14ac:dyDescent="0.25">
      <c r="A96" s="1" t="s">
        <v>219</v>
      </c>
      <c r="B96" s="28">
        <v>44014</v>
      </c>
      <c r="C96" s="21" t="str">
        <f t="shared" si="6"/>
        <v>2020</v>
      </c>
      <c r="D96" s="19" t="str">
        <f t="shared" si="7"/>
        <v>July</v>
      </c>
      <c r="E96" s="3" t="s">
        <v>220</v>
      </c>
      <c r="F96" s="3" t="str">
        <f>VLOOKUP(E96,Customers!$A$2:$I$1001,2,0)</f>
        <v>Rudy Farquharson</v>
      </c>
      <c r="G96" s="3" t="str">
        <f>VLOOKUP(E96,Customers!$A$2:$I$1001,3,0)</f>
        <v>UNKNOWN</v>
      </c>
      <c r="H96" s="3" t="str">
        <f>VLOOKUP(E96,Customers!$A$2:$I$1001,4,0)</f>
        <v>UNKNOWN</v>
      </c>
      <c r="I96" s="25" t="str">
        <f>VLOOKUP(E96,Customers!$A$2:$I$1001,6,0)</f>
        <v>Charlesland</v>
      </c>
      <c r="J96" s="25" t="str">
        <f>VLOOKUP(E96,Customers!$A$2:$I$1001,7,0)</f>
        <v>Ireland</v>
      </c>
      <c r="K96" s="23" t="str">
        <f>VLOOKUP(E96,Customers!$A$2:$I$1001,9,0)</f>
        <v>Yes</v>
      </c>
      <c r="L96" s="4" t="s">
        <v>54</v>
      </c>
      <c r="M96" s="4" t="str">
        <f>VLOOKUP(L96,Products!$A$2:$G$49,2,0)</f>
        <v>Arabica</v>
      </c>
      <c r="N96" s="4" t="str">
        <f>VLOOKUP(L96,Products!$A$2:$G$49,3,0)</f>
        <v>Dark</v>
      </c>
      <c r="O96" s="25">
        <v>6</v>
      </c>
      <c r="P96" s="5">
        <f>INDEX([1]products!$A$1:$G$49,MATCH([1]orders!$D96,[1]products!$A$1:$A$49,0),MATCH([1]orders!K$1,[1]products!$A$1:$G$1,0))</f>
        <v>0.2</v>
      </c>
      <c r="Q96" s="6">
        <f>INDEX([1]products!$A$1:$G$49,MATCH([1]orders!$D96,[1]products!$A$1:$A$49,0),MATCH([1]orders!L$1,[1]products!$A$1:$G$1,0))</f>
        <v>2.9849999999999999</v>
      </c>
      <c r="R96" s="6">
        <f t="shared" si="5"/>
        <v>17.91</v>
      </c>
      <c r="S96">
        <f>VLOOKUP(L96,Products!$A$2:$G$49,7,0)</f>
        <v>0.26865</v>
      </c>
      <c r="T96">
        <f t="shared" si="8"/>
        <v>1.6118999999999999</v>
      </c>
      <c r="U96" s="33">
        <f t="shared" si="9"/>
        <v>9</v>
      </c>
    </row>
    <row r="97" spans="1:21" x14ac:dyDescent="0.25">
      <c r="A97" s="1" t="s">
        <v>221</v>
      </c>
      <c r="B97" s="28">
        <v>43816</v>
      </c>
      <c r="C97" s="21" t="str">
        <f t="shared" si="6"/>
        <v>2019</v>
      </c>
      <c r="D97" s="19" t="str">
        <f t="shared" si="7"/>
        <v>December</v>
      </c>
      <c r="E97" s="3" t="s">
        <v>222</v>
      </c>
      <c r="F97" s="3" t="str">
        <f>VLOOKUP(E97,Customers!$A$2:$I$1001,2,0)</f>
        <v>Norene Magauran</v>
      </c>
      <c r="G97" s="3" t="str">
        <f>VLOOKUP(E97,Customers!$A$2:$I$1001,3,0)</f>
        <v>nmagauran2n@51.la</v>
      </c>
      <c r="H97" s="3" t="str">
        <f>VLOOKUP(E97,Customers!$A$2:$I$1001,4,0)</f>
        <v>UNKNOWN</v>
      </c>
      <c r="I97" s="25" t="str">
        <f>VLOOKUP(E97,Customers!$A$2:$I$1001,6,0)</f>
        <v>Fresno</v>
      </c>
      <c r="J97" s="25" t="str">
        <f>VLOOKUP(E97,Customers!$A$2:$I$1001,7,0)</f>
        <v>United States</v>
      </c>
      <c r="K97" s="23" t="str">
        <f>VLOOKUP(E97,Customers!$A$2:$I$1001,9,0)</f>
        <v>No</v>
      </c>
      <c r="L97" s="4" t="s">
        <v>171</v>
      </c>
      <c r="M97" s="4" t="str">
        <f>VLOOKUP(L97,Products!$A$2:$G$49,2,0)</f>
        <v>Arabica</v>
      </c>
      <c r="N97" s="4" t="str">
        <f>VLOOKUP(L97,Products!$A$2:$G$49,3,0)</f>
        <v>Medium</v>
      </c>
      <c r="O97" s="25">
        <v>6</v>
      </c>
      <c r="P97" s="5">
        <f>INDEX([1]products!$A$1:$G$49,MATCH([1]orders!$D97,[1]products!$A$1:$A$49,0),MATCH([1]orders!K$1,[1]products!$A$1:$G$1,0))</f>
        <v>2.5</v>
      </c>
      <c r="Q97" s="6">
        <f>INDEX([1]products!$A$1:$G$49,MATCH([1]orders!$D97,[1]products!$A$1:$A$49,0),MATCH([1]orders!L$1,[1]products!$A$1:$G$1,0))</f>
        <v>25.874999999999996</v>
      </c>
      <c r="R97" s="6">
        <f t="shared" si="5"/>
        <v>155.24999999999997</v>
      </c>
      <c r="S97">
        <f>VLOOKUP(L97,Products!$A$2:$G$49,7,0)</f>
        <v>2.3287499999999994</v>
      </c>
      <c r="T97">
        <f t="shared" si="8"/>
        <v>13.972499999999997</v>
      </c>
      <c r="U97" s="33">
        <f t="shared" si="9"/>
        <v>9</v>
      </c>
    </row>
    <row r="98" spans="1:21" x14ac:dyDescent="0.25">
      <c r="A98" s="1" t="s">
        <v>223</v>
      </c>
      <c r="B98" s="28">
        <v>44171</v>
      </c>
      <c r="C98" s="21" t="str">
        <f t="shared" si="6"/>
        <v>2020</v>
      </c>
      <c r="D98" s="19" t="str">
        <f t="shared" si="7"/>
        <v>December</v>
      </c>
      <c r="E98" s="3" t="s">
        <v>224</v>
      </c>
      <c r="F98" s="3" t="str">
        <f>VLOOKUP(E98,Customers!$A$2:$I$1001,2,0)</f>
        <v>Vicki Kirdsch</v>
      </c>
      <c r="G98" s="3" t="str">
        <f>VLOOKUP(E98,Customers!$A$2:$I$1001,3,0)</f>
        <v>vkirdsch2o@google.fr</v>
      </c>
      <c r="H98" s="3" t="str">
        <f>VLOOKUP(E98,Customers!$A$2:$I$1001,4,0)</f>
        <v>UNKNOWN</v>
      </c>
      <c r="I98" s="25" t="str">
        <f>VLOOKUP(E98,Customers!$A$2:$I$1001,6,0)</f>
        <v>Saint Louis</v>
      </c>
      <c r="J98" s="25" t="str">
        <f>VLOOKUP(E98,Customers!$A$2:$I$1001,7,0)</f>
        <v>United States</v>
      </c>
      <c r="K98" s="23" t="str">
        <f>VLOOKUP(E98,Customers!$A$2:$I$1001,9,0)</f>
        <v>No</v>
      </c>
      <c r="L98" s="4" t="s">
        <v>54</v>
      </c>
      <c r="M98" s="4" t="str">
        <f>VLOOKUP(L98,Products!$A$2:$G$49,2,0)</f>
        <v>Arabica</v>
      </c>
      <c r="N98" s="4" t="str">
        <f>VLOOKUP(L98,Products!$A$2:$G$49,3,0)</f>
        <v>Dark</v>
      </c>
      <c r="O98" s="25">
        <v>2</v>
      </c>
      <c r="P98" s="5">
        <f>INDEX([1]products!$A$1:$G$49,MATCH([1]orders!$D98,[1]products!$A$1:$A$49,0),MATCH([1]orders!K$1,[1]products!$A$1:$G$1,0))</f>
        <v>0.2</v>
      </c>
      <c r="Q98" s="6">
        <f>INDEX([1]products!$A$1:$G$49,MATCH([1]orders!$D98,[1]products!$A$1:$A$49,0),MATCH([1]orders!L$1,[1]products!$A$1:$G$1,0))</f>
        <v>2.9849999999999999</v>
      </c>
      <c r="R98" s="6">
        <f t="shared" si="5"/>
        <v>5.97</v>
      </c>
      <c r="S98">
        <f>VLOOKUP(L98,Products!$A$2:$G$49,7,0)</f>
        <v>0.26865</v>
      </c>
      <c r="T98">
        <f t="shared" si="8"/>
        <v>0.5373</v>
      </c>
      <c r="U98" s="33">
        <f t="shared" si="9"/>
        <v>9.0000000000000018</v>
      </c>
    </row>
    <row r="99" spans="1:21" x14ac:dyDescent="0.25">
      <c r="A99" s="1" t="s">
        <v>225</v>
      </c>
      <c r="B99" s="28">
        <v>44259</v>
      </c>
      <c r="C99" s="21" t="str">
        <f t="shared" si="6"/>
        <v>2021</v>
      </c>
      <c r="D99" s="19" t="str">
        <f t="shared" si="7"/>
        <v>March</v>
      </c>
      <c r="E99" s="3" t="s">
        <v>226</v>
      </c>
      <c r="F99" s="3" t="str">
        <f>VLOOKUP(E99,Customers!$A$2:$I$1001,2,0)</f>
        <v>Ilysa Whapple</v>
      </c>
      <c r="G99" s="3" t="str">
        <f>VLOOKUP(E99,Customers!$A$2:$I$1001,3,0)</f>
        <v>iwhapple2p@com.com</v>
      </c>
      <c r="H99" s="3" t="str">
        <f>VLOOKUP(E99,Customers!$A$2:$I$1001,4,0)</f>
        <v>+1 (559) 522-1152</v>
      </c>
      <c r="I99" s="25" t="str">
        <f>VLOOKUP(E99,Customers!$A$2:$I$1001,6,0)</f>
        <v>Fresno</v>
      </c>
      <c r="J99" s="25" t="str">
        <f>VLOOKUP(E99,Customers!$A$2:$I$1001,7,0)</f>
        <v>United States</v>
      </c>
      <c r="K99" s="23" t="str">
        <f>VLOOKUP(E99,Customers!$A$2:$I$1001,9,0)</f>
        <v>No</v>
      </c>
      <c r="L99" s="4" t="s">
        <v>67</v>
      </c>
      <c r="M99" s="4" t="str">
        <f>VLOOKUP(L99,Products!$A$2:$G$49,2,0)</f>
        <v>Arabica</v>
      </c>
      <c r="N99" s="4" t="str">
        <f>VLOOKUP(L99,Products!$A$2:$G$49,3,0)</f>
        <v>Medium</v>
      </c>
      <c r="O99" s="25">
        <v>2</v>
      </c>
      <c r="P99" s="5">
        <f>INDEX([1]products!$A$1:$G$49,MATCH([1]orders!$D99,[1]products!$A$1:$A$49,0),MATCH([1]orders!K$1,[1]products!$A$1:$G$1,0))</f>
        <v>0.5</v>
      </c>
      <c r="Q99" s="6">
        <f>INDEX([1]products!$A$1:$G$49,MATCH([1]orders!$D99,[1]products!$A$1:$A$49,0),MATCH([1]orders!L$1,[1]products!$A$1:$G$1,0))</f>
        <v>6.75</v>
      </c>
      <c r="R99" s="6">
        <f t="shared" si="5"/>
        <v>13.5</v>
      </c>
      <c r="S99">
        <f>VLOOKUP(L99,Products!$A$2:$G$49,7,0)</f>
        <v>0.60749999999999993</v>
      </c>
      <c r="T99">
        <f t="shared" si="8"/>
        <v>1.2149999999999999</v>
      </c>
      <c r="U99" s="33">
        <f t="shared" si="9"/>
        <v>8.9999999999999982</v>
      </c>
    </row>
    <row r="100" spans="1:21" x14ac:dyDescent="0.25">
      <c r="A100" s="1" t="s">
        <v>227</v>
      </c>
      <c r="B100" s="28">
        <v>44394</v>
      </c>
      <c r="C100" s="21" t="str">
        <f t="shared" si="6"/>
        <v>2021</v>
      </c>
      <c r="D100" s="19" t="str">
        <f t="shared" si="7"/>
        <v>July</v>
      </c>
      <c r="E100" s="3" t="s">
        <v>228</v>
      </c>
      <c r="F100" s="3" t="str">
        <f>VLOOKUP(E100,Customers!$A$2:$I$1001,2,0)</f>
        <v>Ruy Cancellieri</v>
      </c>
      <c r="G100" s="3" t="str">
        <f>VLOOKUP(E100,Customers!$A$2:$I$1001,3,0)</f>
        <v>UNKNOWN</v>
      </c>
      <c r="H100" s="3" t="str">
        <f>VLOOKUP(E100,Customers!$A$2:$I$1001,4,0)</f>
        <v>+353 (338) 743-8327</v>
      </c>
      <c r="I100" s="25" t="str">
        <f>VLOOKUP(E100,Customers!$A$2:$I$1001,6,0)</f>
        <v>Confey</v>
      </c>
      <c r="J100" s="25" t="str">
        <f>VLOOKUP(E100,Customers!$A$2:$I$1001,7,0)</f>
        <v>Ireland</v>
      </c>
      <c r="K100" s="23" t="str">
        <f>VLOOKUP(E100,Customers!$A$2:$I$1001,9,0)</f>
        <v>No</v>
      </c>
      <c r="L100" s="4" t="s">
        <v>54</v>
      </c>
      <c r="M100" s="4" t="str">
        <f>VLOOKUP(L100,Products!$A$2:$G$49,2,0)</f>
        <v>Arabica</v>
      </c>
      <c r="N100" s="4" t="str">
        <f>VLOOKUP(L100,Products!$A$2:$G$49,3,0)</f>
        <v>Dark</v>
      </c>
      <c r="O100" s="25">
        <v>1</v>
      </c>
      <c r="P100" s="5">
        <f>INDEX([1]products!$A$1:$G$49,MATCH([1]orders!$D100,[1]products!$A$1:$A$49,0),MATCH([1]orders!K$1,[1]products!$A$1:$G$1,0))</f>
        <v>0.2</v>
      </c>
      <c r="Q100" s="6">
        <f>INDEX([1]products!$A$1:$G$49,MATCH([1]orders!$D100,[1]products!$A$1:$A$49,0),MATCH([1]orders!L$1,[1]products!$A$1:$G$1,0))</f>
        <v>2.9849999999999999</v>
      </c>
      <c r="R100" s="6">
        <f t="shared" si="5"/>
        <v>2.9849999999999999</v>
      </c>
      <c r="S100">
        <f>VLOOKUP(L100,Products!$A$2:$G$49,7,0)</f>
        <v>0.26865</v>
      </c>
      <c r="T100">
        <f t="shared" si="8"/>
        <v>0.26865</v>
      </c>
      <c r="U100" s="33">
        <f t="shared" si="9"/>
        <v>9.0000000000000018</v>
      </c>
    </row>
    <row r="101" spans="1:21" x14ac:dyDescent="0.25">
      <c r="A101" s="1" t="s">
        <v>229</v>
      </c>
      <c r="B101" s="28">
        <v>44139</v>
      </c>
      <c r="C101" s="21" t="str">
        <f t="shared" si="6"/>
        <v>2020</v>
      </c>
      <c r="D101" s="19" t="str">
        <f t="shared" si="7"/>
        <v>November</v>
      </c>
      <c r="E101" s="3" t="s">
        <v>230</v>
      </c>
      <c r="F101" s="3" t="str">
        <f>VLOOKUP(E101,Customers!$A$2:$I$1001,2,0)</f>
        <v>Aube Follett</v>
      </c>
      <c r="G101" s="3" t="str">
        <f>VLOOKUP(E101,Customers!$A$2:$I$1001,3,0)</f>
        <v>UNKNOWN</v>
      </c>
      <c r="H101" s="3" t="str">
        <f>VLOOKUP(E101,Customers!$A$2:$I$1001,4,0)</f>
        <v>+1 (614) 370-6392</v>
      </c>
      <c r="I101" s="25" t="str">
        <f>VLOOKUP(E101,Customers!$A$2:$I$1001,6,0)</f>
        <v>Columbus</v>
      </c>
      <c r="J101" s="25" t="str">
        <f>VLOOKUP(E101,Customers!$A$2:$I$1001,7,0)</f>
        <v>United States</v>
      </c>
      <c r="K101" s="23" t="str">
        <f>VLOOKUP(E101,Customers!$A$2:$I$1001,9,0)</f>
        <v>Yes</v>
      </c>
      <c r="L101" s="4" t="s">
        <v>77</v>
      </c>
      <c r="M101" s="4" t="str">
        <f>VLOOKUP(L101,Products!$A$2:$G$49,2,0)</f>
        <v>Liberica</v>
      </c>
      <c r="N101" s="4" t="str">
        <f>VLOOKUP(L101,Products!$A$2:$G$49,3,0)</f>
        <v>Medium</v>
      </c>
      <c r="O101" s="25">
        <v>3</v>
      </c>
      <c r="P101" s="5">
        <f>INDEX([1]products!$A$1:$G$49,MATCH([1]orders!$D101,[1]products!$A$1:$A$49,0),MATCH([1]orders!K$1,[1]products!$A$1:$G$1,0))</f>
        <v>0.2</v>
      </c>
      <c r="Q101" s="6">
        <f>INDEX([1]products!$A$1:$G$49,MATCH([1]orders!$D101,[1]products!$A$1:$A$49,0),MATCH([1]orders!L$1,[1]products!$A$1:$G$1,0))</f>
        <v>4.3650000000000002</v>
      </c>
      <c r="R101" s="6">
        <f t="shared" si="5"/>
        <v>13.095000000000001</v>
      </c>
      <c r="S101">
        <f>VLOOKUP(L101,Products!$A$2:$G$49,7,0)</f>
        <v>0.56745000000000001</v>
      </c>
      <c r="T101">
        <f t="shared" si="8"/>
        <v>1.70235</v>
      </c>
      <c r="U101" s="33">
        <f t="shared" si="9"/>
        <v>13</v>
      </c>
    </row>
    <row r="102" spans="1:21" x14ac:dyDescent="0.25">
      <c r="A102" s="1" t="s">
        <v>231</v>
      </c>
      <c r="B102" s="28">
        <v>44291</v>
      </c>
      <c r="C102" s="21" t="str">
        <f t="shared" si="6"/>
        <v>2021</v>
      </c>
      <c r="D102" s="19" t="str">
        <f t="shared" si="7"/>
        <v>April</v>
      </c>
      <c r="E102" s="3" t="s">
        <v>232</v>
      </c>
      <c r="F102" s="3" t="str">
        <f>VLOOKUP(E102,Customers!$A$2:$I$1001,2,0)</f>
        <v>Rudiger Di Bartolomeo</v>
      </c>
      <c r="G102" s="3" t="str">
        <f>VLOOKUP(E102,Customers!$A$2:$I$1001,3,0)</f>
        <v>UNKNOWN</v>
      </c>
      <c r="H102" s="3" t="str">
        <f>VLOOKUP(E102,Customers!$A$2:$I$1001,4,0)</f>
        <v>+1 (209) 148-6668</v>
      </c>
      <c r="I102" s="25" t="str">
        <f>VLOOKUP(E102,Customers!$A$2:$I$1001,6,0)</f>
        <v>Stockton</v>
      </c>
      <c r="J102" s="25" t="str">
        <f>VLOOKUP(E102,Customers!$A$2:$I$1001,7,0)</f>
        <v>United States</v>
      </c>
      <c r="K102" s="23" t="str">
        <f>VLOOKUP(E102,Customers!$A$2:$I$1001,9,0)</f>
        <v>Yes</v>
      </c>
      <c r="L102" s="4" t="s">
        <v>115</v>
      </c>
      <c r="M102" s="4" t="str">
        <f>VLOOKUP(L102,Products!$A$2:$G$49,2,0)</f>
        <v>Arabica</v>
      </c>
      <c r="N102" s="4" t="str">
        <f>VLOOKUP(L102,Products!$A$2:$G$49,3,0)</f>
        <v>Light</v>
      </c>
      <c r="O102" s="25">
        <v>2</v>
      </c>
      <c r="P102" s="5">
        <f>INDEX([1]products!$A$1:$G$49,MATCH([1]orders!$D102,[1]products!$A$1:$A$49,0),MATCH([1]orders!K$1,[1]products!$A$1:$G$1,0))</f>
        <v>0.2</v>
      </c>
      <c r="Q102" s="6">
        <f>INDEX([1]products!$A$1:$G$49,MATCH([1]orders!$D102,[1]products!$A$1:$A$49,0),MATCH([1]orders!L$1,[1]products!$A$1:$G$1,0))</f>
        <v>3.8849999999999998</v>
      </c>
      <c r="R102" s="6">
        <f t="shared" si="5"/>
        <v>7.77</v>
      </c>
      <c r="S102">
        <f>VLOOKUP(L102,Products!$A$2:$G$49,7,0)</f>
        <v>0.34964999999999996</v>
      </c>
      <c r="T102">
        <f t="shared" si="8"/>
        <v>0.69929999999999992</v>
      </c>
      <c r="U102" s="33">
        <f t="shared" si="9"/>
        <v>9</v>
      </c>
    </row>
    <row r="103" spans="1:21" x14ac:dyDescent="0.25">
      <c r="A103" s="1" t="s">
        <v>233</v>
      </c>
      <c r="B103" s="28">
        <v>43891</v>
      </c>
      <c r="C103" s="21" t="str">
        <f t="shared" si="6"/>
        <v>2020</v>
      </c>
      <c r="D103" s="19" t="str">
        <f t="shared" si="7"/>
        <v>March</v>
      </c>
      <c r="E103" s="3" t="s">
        <v>234</v>
      </c>
      <c r="F103" s="3" t="str">
        <f>VLOOKUP(E103,Customers!$A$2:$I$1001,2,0)</f>
        <v>Nickey Youles</v>
      </c>
      <c r="G103" s="3" t="str">
        <f>VLOOKUP(E103,Customers!$A$2:$I$1001,3,0)</f>
        <v>nyoules2t@reference.com</v>
      </c>
      <c r="H103" s="3" t="str">
        <f>VLOOKUP(E103,Customers!$A$2:$I$1001,4,0)</f>
        <v>+353 (641) 846-7654</v>
      </c>
      <c r="I103" s="25" t="str">
        <f>VLOOKUP(E103,Customers!$A$2:$I$1001,6,0)</f>
        <v>Edgeworthstown</v>
      </c>
      <c r="J103" s="25" t="str">
        <f>VLOOKUP(E103,Customers!$A$2:$I$1001,7,0)</f>
        <v>Ireland</v>
      </c>
      <c r="K103" s="23" t="str">
        <f>VLOOKUP(E103,Customers!$A$2:$I$1001,9,0)</f>
        <v>Yes</v>
      </c>
      <c r="L103" s="4" t="s">
        <v>109</v>
      </c>
      <c r="M103" s="4" t="str">
        <f>VLOOKUP(L103,Products!$A$2:$G$49,2,0)</f>
        <v>Liberica</v>
      </c>
      <c r="N103" s="4" t="str">
        <f>VLOOKUP(L103,Products!$A$2:$G$49,3,0)</f>
        <v>Dark</v>
      </c>
      <c r="O103" s="25">
        <v>5</v>
      </c>
      <c r="P103" s="5">
        <f>INDEX([1]products!$A$1:$G$49,MATCH([1]orders!$D103,[1]products!$A$1:$A$49,0),MATCH([1]orders!K$1,[1]products!$A$1:$G$1,0))</f>
        <v>2.5</v>
      </c>
      <c r="Q103" s="6">
        <f>INDEX([1]products!$A$1:$G$49,MATCH([1]orders!$D103,[1]products!$A$1:$A$49,0),MATCH([1]orders!L$1,[1]products!$A$1:$G$1,0))</f>
        <v>29.784999999999997</v>
      </c>
      <c r="R103" s="6">
        <f t="shared" si="5"/>
        <v>148.92499999999998</v>
      </c>
      <c r="S103">
        <f>VLOOKUP(L103,Products!$A$2:$G$49,7,0)</f>
        <v>3.8720499999999998</v>
      </c>
      <c r="T103">
        <f t="shared" si="8"/>
        <v>19.360250000000001</v>
      </c>
      <c r="U103" s="33">
        <f t="shared" si="9"/>
        <v>13.000000000000004</v>
      </c>
    </row>
    <row r="104" spans="1:21" x14ac:dyDescent="0.25">
      <c r="A104" s="1" t="s">
        <v>235</v>
      </c>
      <c r="B104" s="28">
        <v>44488</v>
      </c>
      <c r="C104" s="21" t="str">
        <f t="shared" si="6"/>
        <v>2021</v>
      </c>
      <c r="D104" s="19" t="str">
        <f t="shared" si="7"/>
        <v>October</v>
      </c>
      <c r="E104" s="3" t="s">
        <v>236</v>
      </c>
      <c r="F104" s="3" t="str">
        <f>VLOOKUP(E104,Customers!$A$2:$I$1001,2,0)</f>
        <v>Dyanna Aizikovitz</v>
      </c>
      <c r="G104" s="3" t="str">
        <f>VLOOKUP(E104,Customers!$A$2:$I$1001,3,0)</f>
        <v>daizikovitz2u@answers.com</v>
      </c>
      <c r="H104" s="3" t="str">
        <f>VLOOKUP(E104,Customers!$A$2:$I$1001,4,0)</f>
        <v>+353 (766) 141-6317</v>
      </c>
      <c r="I104" s="25" t="str">
        <f>VLOOKUP(E104,Customers!$A$2:$I$1001,6,0)</f>
        <v>Leixlip</v>
      </c>
      <c r="J104" s="25" t="str">
        <f>VLOOKUP(E104,Customers!$A$2:$I$1001,7,0)</f>
        <v>Ireland</v>
      </c>
      <c r="K104" s="23" t="str">
        <f>VLOOKUP(E104,Customers!$A$2:$I$1001,9,0)</f>
        <v>Yes</v>
      </c>
      <c r="L104" s="4" t="s">
        <v>13</v>
      </c>
      <c r="M104" s="4" t="str">
        <f>VLOOKUP(L104,Products!$A$2:$G$49,2,0)</f>
        <v>Liberica</v>
      </c>
      <c r="N104" s="4" t="str">
        <f>VLOOKUP(L104,Products!$A$2:$G$49,3,0)</f>
        <v>Dark</v>
      </c>
      <c r="O104" s="25">
        <v>3</v>
      </c>
      <c r="P104" s="5">
        <f>INDEX([1]products!$A$1:$G$49,MATCH([1]orders!$D104,[1]products!$A$1:$A$49,0),MATCH([1]orders!K$1,[1]products!$A$1:$G$1,0))</f>
        <v>1</v>
      </c>
      <c r="Q104" s="6">
        <f>INDEX([1]products!$A$1:$G$49,MATCH([1]orders!$D104,[1]products!$A$1:$A$49,0),MATCH([1]orders!L$1,[1]products!$A$1:$G$1,0))</f>
        <v>12.95</v>
      </c>
      <c r="R104" s="6">
        <f t="shared" si="5"/>
        <v>38.849999999999994</v>
      </c>
      <c r="S104">
        <f>VLOOKUP(L104,Products!$A$2:$G$49,7,0)</f>
        <v>1.6835</v>
      </c>
      <c r="T104">
        <f t="shared" si="8"/>
        <v>5.0504999999999995</v>
      </c>
      <c r="U104" s="33">
        <f t="shared" si="9"/>
        <v>13</v>
      </c>
    </row>
    <row r="105" spans="1:21" x14ac:dyDescent="0.25">
      <c r="A105" s="1" t="s">
        <v>237</v>
      </c>
      <c r="B105" s="28">
        <v>44750</v>
      </c>
      <c r="C105" s="21" t="str">
        <f t="shared" si="6"/>
        <v>2022</v>
      </c>
      <c r="D105" s="19" t="str">
        <f t="shared" si="7"/>
        <v>July</v>
      </c>
      <c r="E105" s="3" t="s">
        <v>238</v>
      </c>
      <c r="F105" s="3" t="str">
        <f>VLOOKUP(E105,Customers!$A$2:$I$1001,2,0)</f>
        <v>Bram Revel</v>
      </c>
      <c r="G105" s="3" t="str">
        <f>VLOOKUP(E105,Customers!$A$2:$I$1001,3,0)</f>
        <v>brevel2v@fastcompany.com</v>
      </c>
      <c r="H105" s="3" t="str">
        <f>VLOOKUP(E105,Customers!$A$2:$I$1001,4,0)</f>
        <v>+1 (585) 775-6952</v>
      </c>
      <c r="I105" s="25" t="str">
        <f>VLOOKUP(E105,Customers!$A$2:$I$1001,6,0)</f>
        <v>Rochester</v>
      </c>
      <c r="J105" s="25" t="str">
        <f>VLOOKUP(E105,Customers!$A$2:$I$1001,7,0)</f>
        <v>United States</v>
      </c>
      <c r="K105" s="23" t="str">
        <f>VLOOKUP(E105,Customers!$A$2:$I$1001,9,0)</f>
        <v>No</v>
      </c>
      <c r="L105" s="4" t="s">
        <v>162</v>
      </c>
      <c r="M105" s="4" t="str">
        <f>VLOOKUP(L105,Products!$A$2:$G$49,2,0)</f>
        <v>Robusta</v>
      </c>
      <c r="N105" s="4" t="str">
        <f>VLOOKUP(L105,Products!$A$2:$G$49,3,0)</f>
        <v>Medium</v>
      </c>
      <c r="O105" s="25">
        <v>4</v>
      </c>
      <c r="P105" s="5">
        <f>INDEX([1]products!$A$1:$G$49,MATCH([1]orders!$D105,[1]products!$A$1:$A$49,0),MATCH([1]orders!K$1,[1]products!$A$1:$G$1,0))</f>
        <v>0.2</v>
      </c>
      <c r="Q105" s="6">
        <f>INDEX([1]products!$A$1:$G$49,MATCH([1]orders!$D105,[1]products!$A$1:$A$49,0),MATCH([1]orders!L$1,[1]products!$A$1:$G$1,0))</f>
        <v>2.9849999999999999</v>
      </c>
      <c r="R105" s="6">
        <f t="shared" si="5"/>
        <v>11.94</v>
      </c>
      <c r="S105">
        <f>VLOOKUP(L105,Products!$A$2:$G$49,7,0)</f>
        <v>0.17909999999999998</v>
      </c>
      <c r="T105">
        <f t="shared" si="8"/>
        <v>0.71639999999999993</v>
      </c>
      <c r="U105" s="33">
        <f t="shared" si="9"/>
        <v>6</v>
      </c>
    </row>
    <row r="106" spans="1:21" x14ac:dyDescent="0.25">
      <c r="A106" s="1" t="s">
        <v>239</v>
      </c>
      <c r="B106" s="28">
        <v>43694</v>
      </c>
      <c r="C106" s="21" t="str">
        <f t="shared" si="6"/>
        <v>2019</v>
      </c>
      <c r="D106" s="19" t="str">
        <f t="shared" si="7"/>
        <v>August</v>
      </c>
      <c r="E106" s="3" t="s">
        <v>240</v>
      </c>
      <c r="F106" s="3" t="str">
        <f>VLOOKUP(E106,Customers!$A$2:$I$1001,2,0)</f>
        <v>Emiline Priddis</v>
      </c>
      <c r="G106" s="3" t="str">
        <f>VLOOKUP(E106,Customers!$A$2:$I$1001,3,0)</f>
        <v>epriddis2w@nationalgeographic.com</v>
      </c>
      <c r="H106" s="3" t="str">
        <f>VLOOKUP(E106,Customers!$A$2:$I$1001,4,0)</f>
        <v>+1 (205) 133-0205</v>
      </c>
      <c r="I106" s="25" t="str">
        <f>VLOOKUP(E106,Customers!$A$2:$I$1001,6,0)</f>
        <v>Tuscaloosa</v>
      </c>
      <c r="J106" s="25" t="str">
        <f>VLOOKUP(E106,Customers!$A$2:$I$1001,7,0)</f>
        <v>United States</v>
      </c>
      <c r="K106" s="23" t="str">
        <f>VLOOKUP(E106,Customers!$A$2:$I$1001,9,0)</f>
        <v>No</v>
      </c>
      <c r="L106" s="4" t="s">
        <v>96</v>
      </c>
      <c r="M106" s="4" t="str">
        <f>VLOOKUP(L106,Products!$A$2:$G$49,2,0)</f>
        <v>Liberica</v>
      </c>
      <c r="N106" s="4" t="str">
        <f>VLOOKUP(L106,Products!$A$2:$G$49,3,0)</f>
        <v>Medium</v>
      </c>
      <c r="O106" s="25">
        <v>6</v>
      </c>
      <c r="P106" s="5">
        <f>INDEX([1]products!$A$1:$G$49,MATCH([1]orders!$D106,[1]products!$A$1:$A$49,0),MATCH([1]orders!K$1,[1]products!$A$1:$G$1,0))</f>
        <v>1</v>
      </c>
      <c r="Q106" s="6">
        <f>INDEX([1]products!$A$1:$G$49,MATCH([1]orders!$D106,[1]products!$A$1:$A$49,0),MATCH([1]orders!L$1,[1]products!$A$1:$G$1,0))</f>
        <v>14.55</v>
      </c>
      <c r="R106" s="6">
        <f t="shared" si="5"/>
        <v>87.300000000000011</v>
      </c>
      <c r="S106">
        <f>VLOOKUP(L106,Products!$A$2:$G$49,7,0)</f>
        <v>1.8915000000000002</v>
      </c>
      <c r="T106">
        <f t="shared" si="8"/>
        <v>11.349</v>
      </c>
      <c r="U106" s="33">
        <f t="shared" si="9"/>
        <v>12.999999999999998</v>
      </c>
    </row>
    <row r="107" spans="1:21" x14ac:dyDescent="0.25">
      <c r="A107" s="1" t="s">
        <v>241</v>
      </c>
      <c r="B107" s="28">
        <v>43982</v>
      </c>
      <c r="C107" s="21" t="str">
        <f t="shared" si="6"/>
        <v>2020</v>
      </c>
      <c r="D107" s="19" t="str">
        <f t="shared" si="7"/>
        <v>May</v>
      </c>
      <c r="E107" s="3" t="s">
        <v>242</v>
      </c>
      <c r="F107" s="3" t="str">
        <f>VLOOKUP(E107,Customers!$A$2:$I$1001,2,0)</f>
        <v>Queenie Veel</v>
      </c>
      <c r="G107" s="3" t="str">
        <f>VLOOKUP(E107,Customers!$A$2:$I$1001,3,0)</f>
        <v>qveel2x@jugem.jp</v>
      </c>
      <c r="H107" s="3" t="str">
        <f>VLOOKUP(E107,Customers!$A$2:$I$1001,4,0)</f>
        <v>+1 (713) 750-9202</v>
      </c>
      <c r="I107" s="25" t="str">
        <f>VLOOKUP(E107,Customers!$A$2:$I$1001,6,0)</f>
        <v>Houston</v>
      </c>
      <c r="J107" s="25" t="str">
        <f>VLOOKUP(E107,Customers!$A$2:$I$1001,7,0)</f>
        <v>United States</v>
      </c>
      <c r="K107" s="23" t="str">
        <f>VLOOKUP(E107,Customers!$A$2:$I$1001,9,0)</f>
        <v>Yes</v>
      </c>
      <c r="L107" s="4" t="s">
        <v>67</v>
      </c>
      <c r="M107" s="4" t="str">
        <f>VLOOKUP(L107,Products!$A$2:$G$49,2,0)</f>
        <v>Arabica</v>
      </c>
      <c r="N107" s="4" t="str">
        <f>VLOOKUP(L107,Products!$A$2:$G$49,3,0)</f>
        <v>Medium</v>
      </c>
      <c r="O107" s="25">
        <v>6</v>
      </c>
      <c r="P107" s="5">
        <f>INDEX([1]products!$A$1:$G$49,MATCH([1]orders!$D107,[1]products!$A$1:$A$49,0),MATCH([1]orders!K$1,[1]products!$A$1:$G$1,0))</f>
        <v>0.5</v>
      </c>
      <c r="Q107" s="6">
        <f>INDEX([1]products!$A$1:$G$49,MATCH([1]orders!$D107,[1]products!$A$1:$A$49,0),MATCH([1]orders!L$1,[1]products!$A$1:$G$1,0))</f>
        <v>6.75</v>
      </c>
      <c r="R107" s="6">
        <f t="shared" si="5"/>
        <v>40.5</v>
      </c>
      <c r="S107">
        <f>VLOOKUP(L107,Products!$A$2:$G$49,7,0)</f>
        <v>0.60749999999999993</v>
      </c>
      <c r="T107">
        <f t="shared" si="8"/>
        <v>3.6449999999999996</v>
      </c>
      <c r="U107" s="33">
        <f t="shared" si="9"/>
        <v>8.9999999999999982</v>
      </c>
    </row>
    <row r="108" spans="1:21" x14ac:dyDescent="0.25">
      <c r="A108" s="1" t="s">
        <v>243</v>
      </c>
      <c r="B108" s="28">
        <v>43956</v>
      </c>
      <c r="C108" s="21" t="str">
        <f t="shared" si="6"/>
        <v>2020</v>
      </c>
      <c r="D108" s="19" t="str">
        <f t="shared" si="7"/>
        <v>May</v>
      </c>
      <c r="E108" s="3" t="s">
        <v>244</v>
      </c>
      <c r="F108" s="3" t="str">
        <f>VLOOKUP(E108,Customers!$A$2:$I$1001,2,0)</f>
        <v>Lind Conyers</v>
      </c>
      <c r="G108" s="3" t="str">
        <f>VLOOKUP(E108,Customers!$A$2:$I$1001,3,0)</f>
        <v>lconyers2y@twitter.com</v>
      </c>
      <c r="H108" s="3" t="str">
        <f>VLOOKUP(E108,Customers!$A$2:$I$1001,4,0)</f>
        <v>+1 (915) 476-5712</v>
      </c>
      <c r="I108" s="25" t="str">
        <f>VLOOKUP(E108,Customers!$A$2:$I$1001,6,0)</f>
        <v>El Paso</v>
      </c>
      <c r="J108" s="25" t="str">
        <f>VLOOKUP(E108,Customers!$A$2:$I$1001,7,0)</f>
        <v>United States</v>
      </c>
      <c r="K108" s="23" t="str">
        <f>VLOOKUP(E108,Customers!$A$2:$I$1001,9,0)</f>
        <v>No</v>
      </c>
      <c r="L108" s="4" t="s">
        <v>245</v>
      </c>
      <c r="M108" s="4" t="str">
        <f>VLOOKUP(L108,Products!$A$2:$G$49,2,0)</f>
        <v>Excelsa</v>
      </c>
      <c r="N108" s="4" t="str">
        <f>VLOOKUP(L108,Products!$A$2:$G$49,3,0)</f>
        <v>Dark</v>
      </c>
      <c r="O108" s="25">
        <v>2</v>
      </c>
      <c r="P108" s="5">
        <f>INDEX([1]products!$A$1:$G$49,MATCH([1]orders!$D108,[1]products!$A$1:$A$49,0),MATCH([1]orders!K$1,[1]products!$A$1:$G$1,0))</f>
        <v>1</v>
      </c>
      <c r="Q108" s="6">
        <f>INDEX([1]products!$A$1:$G$49,MATCH([1]orders!$D108,[1]products!$A$1:$A$49,0),MATCH([1]orders!L$1,[1]products!$A$1:$G$1,0))</f>
        <v>12.15</v>
      </c>
      <c r="R108" s="6">
        <f t="shared" si="5"/>
        <v>24.3</v>
      </c>
      <c r="S108">
        <f>VLOOKUP(L108,Products!$A$2:$G$49,7,0)</f>
        <v>1.3365</v>
      </c>
      <c r="T108">
        <f t="shared" si="8"/>
        <v>2.673</v>
      </c>
      <c r="U108" s="33">
        <f t="shared" si="9"/>
        <v>11</v>
      </c>
    </row>
    <row r="109" spans="1:21" x14ac:dyDescent="0.25">
      <c r="A109" s="1" t="s">
        <v>246</v>
      </c>
      <c r="B109" s="28">
        <v>43569</v>
      </c>
      <c r="C109" s="21" t="str">
        <f t="shared" si="6"/>
        <v>2019</v>
      </c>
      <c r="D109" s="19" t="str">
        <f t="shared" si="7"/>
        <v>April</v>
      </c>
      <c r="E109" s="3" t="s">
        <v>247</v>
      </c>
      <c r="F109" s="3" t="str">
        <f>VLOOKUP(E109,Customers!$A$2:$I$1001,2,0)</f>
        <v>Pen Wye</v>
      </c>
      <c r="G109" s="3" t="str">
        <f>VLOOKUP(E109,Customers!$A$2:$I$1001,3,0)</f>
        <v>pwye2z@dagondesign.com</v>
      </c>
      <c r="H109" s="3" t="str">
        <f>VLOOKUP(E109,Customers!$A$2:$I$1001,4,0)</f>
        <v>+1 (719) 620-1128</v>
      </c>
      <c r="I109" s="25" t="str">
        <f>VLOOKUP(E109,Customers!$A$2:$I$1001,6,0)</f>
        <v>Colorado Springs</v>
      </c>
      <c r="J109" s="25" t="str">
        <f>VLOOKUP(E109,Customers!$A$2:$I$1001,7,0)</f>
        <v>United States</v>
      </c>
      <c r="K109" s="23" t="str">
        <f>VLOOKUP(E109,Customers!$A$2:$I$1001,9,0)</f>
        <v>Yes</v>
      </c>
      <c r="L109" s="4" t="s">
        <v>22</v>
      </c>
      <c r="M109" s="4" t="str">
        <f>VLOOKUP(L109,Products!$A$2:$G$49,2,0)</f>
        <v>Robusta</v>
      </c>
      <c r="N109" s="4" t="str">
        <f>VLOOKUP(L109,Products!$A$2:$G$49,3,0)</f>
        <v>Medium</v>
      </c>
      <c r="O109" s="25">
        <v>3</v>
      </c>
      <c r="P109" s="5">
        <f>INDEX([1]products!$A$1:$G$49,MATCH([1]orders!$D109,[1]products!$A$1:$A$49,0),MATCH([1]orders!K$1,[1]products!$A$1:$G$1,0))</f>
        <v>0.5</v>
      </c>
      <c r="Q109" s="6">
        <f>INDEX([1]products!$A$1:$G$49,MATCH([1]orders!$D109,[1]products!$A$1:$A$49,0),MATCH([1]orders!L$1,[1]products!$A$1:$G$1,0))</f>
        <v>5.97</v>
      </c>
      <c r="R109" s="6">
        <f t="shared" si="5"/>
        <v>17.91</v>
      </c>
      <c r="S109">
        <f>VLOOKUP(L109,Products!$A$2:$G$49,7,0)</f>
        <v>0.35819999999999996</v>
      </c>
      <c r="T109">
        <f t="shared" si="8"/>
        <v>1.0745999999999998</v>
      </c>
      <c r="U109" s="33">
        <f t="shared" si="9"/>
        <v>5.9999999999999982</v>
      </c>
    </row>
    <row r="110" spans="1:21" x14ac:dyDescent="0.25">
      <c r="A110" s="1" t="s">
        <v>248</v>
      </c>
      <c r="B110" s="28">
        <v>44041</v>
      </c>
      <c r="C110" s="21" t="str">
        <f t="shared" si="6"/>
        <v>2020</v>
      </c>
      <c r="D110" s="19" t="str">
        <f t="shared" si="7"/>
        <v>July</v>
      </c>
      <c r="E110" s="3" t="s">
        <v>249</v>
      </c>
      <c r="F110" s="3" t="str">
        <f>VLOOKUP(E110,Customers!$A$2:$I$1001,2,0)</f>
        <v>Isahella Hagland</v>
      </c>
      <c r="G110" s="3" t="str">
        <f>VLOOKUP(E110,Customers!$A$2:$I$1001,3,0)</f>
        <v>UNKNOWN</v>
      </c>
      <c r="H110" s="3" t="str">
        <f>VLOOKUP(E110,Customers!$A$2:$I$1001,4,0)</f>
        <v>+1 (260) 613-2279</v>
      </c>
      <c r="I110" s="25" t="str">
        <f>VLOOKUP(E110,Customers!$A$2:$I$1001,6,0)</f>
        <v>Fort Wayne</v>
      </c>
      <c r="J110" s="25" t="str">
        <f>VLOOKUP(E110,Customers!$A$2:$I$1001,7,0)</f>
        <v>United States</v>
      </c>
      <c r="K110" s="23" t="str">
        <f>VLOOKUP(E110,Customers!$A$2:$I$1001,9,0)</f>
        <v>No</v>
      </c>
      <c r="L110" s="4" t="s">
        <v>67</v>
      </c>
      <c r="M110" s="4" t="str">
        <f>VLOOKUP(L110,Products!$A$2:$G$49,2,0)</f>
        <v>Arabica</v>
      </c>
      <c r="N110" s="4" t="str">
        <f>VLOOKUP(L110,Products!$A$2:$G$49,3,0)</f>
        <v>Medium</v>
      </c>
      <c r="O110" s="25">
        <v>4</v>
      </c>
      <c r="P110" s="5">
        <f>INDEX([1]products!$A$1:$G$49,MATCH([1]orders!$D110,[1]products!$A$1:$A$49,0),MATCH([1]orders!K$1,[1]products!$A$1:$G$1,0))</f>
        <v>0.5</v>
      </c>
      <c r="Q110" s="6">
        <f>INDEX([1]products!$A$1:$G$49,MATCH([1]orders!$D110,[1]products!$A$1:$A$49,0),MATCH([1]orders!L$1,[1]products!$A$1:$G$1,0))</f>
        <v>6.75</v>
      </c>
      <c r="R110" s="6">
        <f t="shared" si="5"/>
        <v>27</v>
      </c>
      <c r="S110">
        <f>VLOOKUP(L110,Products!$A$2:$G$49,7,0)</f>
        <v>0.60749999999999993</v>
      </c>
      <c r="T110">
        <f t="shared" si="8"/>
        <v>2.4299999999999997</v>
      </c>
      <c r="U110" s="33">
        <f t="shared" si="9"/>
        <v>8.9999999999999982</v>
      </c>
    </row>
    <row r="111" spans="1:21" x14ac:dyDescent="0.25">
      <c r="A111" s="1" t="s">
        <v>250</v>
      </c>
      <c r="B111" s="28">
        <v>43811</v>
      </c>
      <c r="C111" s="21" t="str">
        <f t="shared" si="6"/>
        <v>2019</v>
      </c>
      <c r="D111" s="19" t="str">
        <f t="shared" si="7"/>
        <v>December</v>
      </c>
      <c r="E111" s="3" t="s">
        <v>251</v>
      </c>
      <c r="F111" s="3" t="str">
        <f>VLOOKUP(E111,Customers!$A$2:$I$1001,2,0)</f>
        <v>Terry Sheryn</v>
      </c>
      <c r="G111" s="3" t="str">
        <f>VLOOKUP(E111,Customers!$A$2:$I$1001,3,0)</f>
        <v>tsheryn31@mtv.com</v>
      </c>
      <c r="H111" s="3" t="str">
        <f>VLOOKUP(E111,Customers!$A$2:$I$1001,4,0)</f>
        <v>+1 (516) 826-3780</v>
      </c>
      <c r="I111" s="25" t="str">
        <f>VLOOKUP(E111,Customers!$A$2:$I$1001,6,0)</f>
        <v>Port Washington</v>
      </c>
      <c r="J111" s="25" t="str">
        <f>VLOOKUP(E111,Customers!$A$2:$I$1001,7,0)</f>
        <v>United States</v>
      </c>
      <c r="K111" s="23" t="str">
        <f>VLOOKUP(E111,Customers!$A$2:$I$1001,9,0)</f>
        <v>Yes</v>
      </c>
      <c r="L111" s="4" t="s">
        <v>123</v>
      </c>
      <c r="M111" s="4" t="str">
        <f>VLOOKUP(L111,Products!$A$2:$G$49,2,0)</f>
        <v>Liberica</v>
      </c>
      <c r="N111" s="4" t="str">
        <f>VLOOKUP(L111,Products!$A$2:$G$49,3,0)</f>
        <v>Dark</v>
      </c>
      <c r="O111" s="25">
        <v>1</v>
      </c>
      <c r="P111" s="5">
        <f>INDEX([1]products!$A$1:$G$49,MATCH([1]orders!$D111,[1]products!$A$1:$A$49,0),MATCH([1]orders!K$1,[1]products!$A$1:$G$1,0))</f>
        <v>0.5</v>
      </c>
      <c r="Q111" s="6">
        <f>INDEX([1]products!$A$1:$G$49,MATCH([1]orders!$D111,[1]products!$A$1:$A$49,0),MATCH([1]orders!L$1,[1]products!$A$1:$G$1,0))</f>
        <v>7.77</v>
      </c>
      <c r="R111" s="6">
        <f t="shared" si="5"/>
        <v>7.77</v>
      </c>
      <c r="S111">
        <f>VLOOKUP(L111,Products!$A$2:$G$49,7,0)</f>
        <v>1.0101</v>
      </c>
      <c r="T111">
        <f t="shared" si="8"/>
        <v>1.0101</v>
      </c>
      <c r="U111" s="33">
        <f t="shared" si="9"/>
        <v>13</v>
      </c>
    </row>
    <row r="112" spans="1:21" x14ac:dyDescent="0.25">
      <c r="A112" s="1" t="s">
        <v>252</v>
      </c>
      <c r="B112" s="28">
        <v>44727</v>
      </c>
      <c r="C112" s="21" t="str">
        <f t="shared" si="6"/>
        <v>2022</v>
      </c>
      <c r="D112" s="19" t="str">
        <f t="shared" si="7"/>
        <v>June</v>
      </c>
      <c r="E112" s="3" t="s">
        <v>253</v>
      </c>
      <c r="F112" s="3" t="str">
        <f>VLOOKUP(E112,Customers!$A$2:$I$1001,2,0)</f>
        <v>Marie-jeanne Redgrave</v>
      </c>
      <c r="G112" s="3" t="str">
        <f>VLOOKUP(E112,Customers!$A$2:$I$1001,3,0)</f>
        <v>mredgrave32@cargocollective.com</v>
      </c>
      <c r="H112" s="3" t="str">
        <f>VLOOKUP(E112,Customers!$A$2:$I$1001,4,0)</f>
        <v>+1 (413) 691-2892</v>
      </c>
      <c r="I112" s="25" t="str">
        <f>VLOOKUP(E112,Customers!$A$2:$I$1001,6,0)</f>
        <v>Springfield</v>
      </c>
      <c r="J112" s="25" t="str">
        <f>VLOOKUP(E112,Customers!$A$2:$I$1001,7,0)</f>
        <v>United States</v>
      </c>
      <c r="K112" s="23" t="str">
        <f>VLOOKUP(E112,Customers!$A$2:$I$1001,9,0)</f>
        <v>Yes</v>
      </c>
      <c r="L112" s="4" t="s">
        <v>254</v>
      </c>
      <c r="M112" s="4" t="str">
        <f>VLOOKUP(L112,Products!$A$2:$G$49,2,0)</f>
        <v>Excelsa</v>
      </c>
      <c r="N112" s="4" t="str">
        <f>VLOOKUP(L112,Products!$A$2:$G$49,3,0)</f>
        <v>Light</v>
      </c>
      <c r="O112" s="25">
        <v>3</v>
      </c>
      <c r="P112" s="5">
        <f>INDEX([1]products!$A$1:$G$49,MATCH([1]orders!$D112,[1]products!$A$1:$A$49,0),MATCH([1]orders!K$1,[1]products!$A$1:$G$1,0))</f>
        <v>0.2</v>
      </c>
      <c r="Q112" s="6">
        <f>INDEX([1]products!$A$1:$G$49,MATCH([1]orders!$D112,[1]products!$A$1:$A$49,0),MATCH([1]orders!L$1,[1]products!$A$1:$G$1,0))</f>
        <v>4.4550000000000001</v>
      </c>
      <c r="R112" s="6">
        <f t="shared" si="5"/>
        <v>13.365</v>
      </c>
      <c r="S112">
        <f>VLOOKUP(L112,Products!$A$2:$G$49,7,0)</f>
        <v>0.49004999999999999</v>
      </c>
      <c r="T112">
        <f t="shared" si="8"/>
        <v>1.4701499999999998</v>
      </c>
      <c r="U112" s="33">
        <f t="shared" si="9"/>
        <v>10.999999999999998</v>
      </c>
    </row>
    <row r="113" spans="1:21" x14ac:dyDescent="0.25">
      <c r="A113" s="1" t="s">
        <v>255</v>
      </c>
      <c r="B113" s="28">
        <v>43642</v>
      </c>
      <c r="C113" s="21" t="str">
        <f t="shared" si="6"/>
        <v>2019</v>
      </c>
      <c r="D113" s="19" t="str">
        <f t="shared" si="7"/>
        <v>June</v>
      </c>
      <c r="E113" s="3" t="s">
        <v>256</v>
      </c>
      <c r="F113" s="3" t="str">
        <f>VLOOKUP(E113,Customers!$A$2:$I$1001,2,0)</f>
        <v>Betty Fominov</v>
      </c>
      <c r="G113" s="3" t="str">
        <f>VLOOKUP(E113,Customers!$A$2:$I$1001,3,0)</f>
        <v>bfominov33@yale.edu</v>
      </c>
      <c r="H113" s="3" t="str">
        <f>VLOOKUP(E113,Customers!$A$2:$I$1001,4,0)</f>
        <v>UNKNOWN</v>
      </c>
      <c r="I113" s="25" t="str">
        <f>VLOOKUP(E113,Customers!$A$2:$I$1001,6,0)</f>
        <v>Pensacola</v>
      </c>
      <c r="J113" s="25" t="str">
        <f>VLOOKUP(E113,Customers!$A$2:$I$1001,7,0)</f>
        <v>United States</v>
      </c>
      <c r="K113" s="23" t="str">
        <f>VLOOKUP(E113,Customers!$A$2:$I$1001,9,0)</f>
        <v>No</v>
      </c>
      <c r="L113" s="4" t="s">
        <v>146</v>
      </c>
      <c r="M113" s="4" t="str">
        <f>VLOOKUP(L113,Products!$A$2:$G$49,2,0)</f>
        <v>Robusta</v>
      </c>
      <c r="N113" s="4" t="str">
        <f>VLOOKUP(L113,Products!$A$2:$G$49,3,0)</f>
        <v>Dark</v>
      </c>
      <c r="O113" s="25">
        <v>5</v>
      </c>
      <c r="P113" s="5">
        <f>INDEX([1]products!$A$1:$G$49,MATCH([1]orders!$D113,[1]products!$A$1:$A$49,0),MATCH([1]orders!K$1,[1]products!$A$1:$G$1,0))</f>
        <v>0.5</v>
      </c>
      <c r="Q113" s="6">
        <f>INDEX([1]products!$A$1:$G$49,MATCH([1]orders!$D113,[1]products!$A$1:$A$49,0),MATCH([1]orders!L$1,[1]products!$A$1:$G$1,0))</f>
        <v>5.3699999999999992</v>
      </c>
      <c r="R113" s="6">
        <f t="shared" si="5"/>
        <v>26.849999999999994</v>
      </c>
      <c r="S113">
        <f>VLOOKUP(L113,Products!$A$2:$G$49,7,0)</f>
        <v>0.32219999999999993</v>
      </c>
      <c r="T113">
        <f t="shared" si="8"/>
        <v>1.6109999999999998</v>
      </c>
      <c r="U113" s="33">
        <f t="shared" si="9"/>
        <v>6.0000000000000009</v>
      </c>
    </row>
    <row r="114" spans="1:21" x14ac:dyDescent="0.25">
      <c r="A114" s="1" t="s">
        <v>257</v>
      </c>
      <c r="B114" s="28">
        <v>44481</v>
      </c>
      <c r="C114" s="21" t="str">
        <f t="shared" si="6"/>
        <v>2021</v>
      </c>
      <c r="D114" s="19" t="str">
        <f t="shared" si="7"/>
        <v>October</v>
      </c>
      <c r="E114" s="3" t="s">
        <v>258</v>
      </c>
      <c r="F114" s="3" t="str">
        <f>VLOOKUP(E114,Customers!$A$2:$I$1001,2,0)</f>
        <v>Shawnee Critchlow</v>
      </c>
      <c r="G114" s="3" t="str">
        <f>VLOOKUP(E114,Customers!$A$2:$I$1001,3,0)</f>
        <v>scritchlow34@un.org</v>
      </c>
      <c r="H114" s="3" t="str">
        <f>VLOOKUP(E114,Customers!$A$2:$I$1001,4,0)</f>
        <v>+1 (804) 428-7292</v>
      </c>
      <c r="I114" s="25" t="str">
        <f>VLOOKUP(E114,Customers!$A$2:$I$1001,6,0)</f>
        <v>Richmond</v>
      </c>
      <c r="J114" s="25" t="str">
        <f>VLOOKUP(E114,Customers!$A$2:$I$1001,7,0)</f>
        <v>United States</v>
      </c>
      <c r="K114" s="23" t="str">
        <f>VLOOKUP(E114,Customers!$A$2:$I$1001,9,0)</f>
        <v>No</v>
      </c>
      <c r="L114" s="4" t="s">
        <v>61</v>
      </c>
      <c r="M114" s="4" t="str">
        <f>VLOOKUP(L114,Products!$A$2:$G$49,2,0)</f>
        <v>Arabica</v>
      </c>
      <c r="N114" s="4" t="str">
        <f>VLOOKUP(L114,Products!$A$2:$G$49,3,0)</f>
        <v>Medium</v>
      </c>
      <c r="O114" s="25">
        <v>1</v>
      </c>
      <c r="P114" s="5">
        <f>INDEX([1]products!$A$1:$G$49,MATCH([1]orders!$D114,[1]products!$A$1:$A$49,0),MATCH([1]orders!K$1,[1]products!$A$1:$G$1,0))</f>
        <v>1</v>
      </c>
      <c r="Q114" s="6">
        <f>INDEX([1]products!$A$1:$G$49,MATCH([1]orders!$D114,[1]products!$A$1:$A$49,0),MATCH([1]orders!L$1,[1]products!$A$1:$G$1,0))</f>
        <v>11.25</v>
      </c>
      <c r="R114" s="6">
        <f t="shared" si="5"/>
        <v>11.25</v>
      </c>
      <c r="S114">
        <f>VLOOKUP(L114,Products!$A$2:$G$49,7,0)</f>
        <v>1.0125</v>
      </c>
      <c r="T114">
        <f t="shared" si="8"/>
        <v>1.0125</v>
      </c>
      <c r="U114" s="33">
        <f t="shared" si="9"/>
        <v>9</v>
      </c>
    </row>
    <row r="115" spans="1:21" x14ac:dyDescent="0.25">
      <c r="A115" s="1" t="s">
        <v>259</v>
      </c>
      <c r="B115" s="28">
        <v>43556</v>
      </c>
      <c r="C115" s="21" t="str">
        <f t="shared" si="6"/>
        <v>2019</v>
      </c>
      <c r="D115" s="19" t="str">
        <f t="shared" si="7"/>
        <v>April</v>
      </c>
      <c r="E115" s="3" t="s">
        <v>260</v>
      </c>
      <c r="F115" s="3" t="str">
        <f>VLOOKUP(E115,Customers!$A$2:$I$1001,2,0)</f>
        <v>Merrel Steptow</v>
      </c>
      <c r="G115" s="3" t="str">
        <f>VLOOKUP(E115,Customers!$A$2:$I$1001,3,0)</f>
        <v>msteptow35@earthlink.net</v>
      </c>
      <c r="H115" s="3" t="str">
        <f>VLOOKUP(E115,Customers!$A$2:$I$1001,4,0)</f>
        <v>+353 (266) 235-5189</v>
      </c>
      <c r="I115" s="25" t="str">
        <f>VLOOKUP(E115,Customers!$A$2:$I$1001,6,0)</f>
        <v>Cherryville</v>
      </c>
      <c r="J115" s="25" t="str">
        <f>VLOOKUP(E115,Customers!$A$2:$I$1001,7,0)</f>
        <v>Ireland</v>
      </c>
      <c r="K115" s="23" t="str">
        <f>VLOOKUP(E115,Customers!$A$2:$I$1001,9,0)</f>
        <v>No</v>
      </c>
      <c r="L115" s="4" t="s">
        <v>96</v>
      </c>
      <c r="M115" s="4" t="str">
        <f>VLOOKUP(L115,Products!$A$2:$G$49,2,0)</f>
        <v>Liberica</v>
      </c>
      <c r="N115" s="4" t="str">
        <f>VLOOKUP(L115,Products!$A$2:$G$49,3,0)</f>
        <v>Medium</v>
      </c>
      <c r="O115" s="25">
        <v>1</v>
      </c>
      <c r="P115" s="5">
        <f>INDEX([1]products!$A$1:$G$49,MATCH([1]orders!$D115,[1]products!$A$1:$A$49,0),MATCH([1]orders!K$1,[1]products!$A$1:$G$1,0))</f>
        <v>1</v>
      </c>
      <c r="Q115" s="6">
        <f>INDEX([1]products!$A$1:$G$49,MATCH([1]orders!$D115,[1]products!$A$1:$A$49,0),MATCH([1]orders!L$1,[1]products!$A$1:$G$1,0))</f>
        <v>14.55</v>
      </c>
      <c r="R115" s="6">
        <f t="shared" si="5"/>
        <v>14.55</v>
      </c>
      <c r="S115">
        <f>VLOOKUP(L115,Products!$A$2:$G$49,7,0)</f>
        <v>1.8915000000000002</v>
      </c>
      <c r="T115">
        <f t="shared" si="8"/>
        <v>1.8915000000000002</v>
      </c>
      <c r="U115" s="33">
        <f t="shared" si="9"/>
        <v>13</v>
      </c>
    </row>
    <row r="116" spans="1:21" x14ac:dyDescent="0.25">
      <c r="A116" s="1" t="s">
        <v>261</v>
      </c>
      <c r="B116" s="28">
        <v>44265</v>
      </c>
      <c r="C116" s="21" t="str">
        <f t="shared" si="6"/>
        <v>2021</v>
      </c>
      <c r="D116" s="19" t="str">
        <f t="shared" si="7"/>
        <v>March</v>
      </c>
      <c r="E116" s="3" t="s">
        <v>262</v>
      </c>
      <c r="F116" s="3" t="str">
        <f>VLOOKUP(E116,Customers!$A$2:$I$1001,2,0)</f>
        <v>Carmina Hubbuck</v>
      </c>
      <c r="G116" s="3" t="str">
        <f>VLOOKUP(E116,Customers!$A$2:$I$1001,3,0)</f>
        <v>UNKNOWN</v>
      </c>
      <c r="H116" s="3" t="str">
        <f>VLOOKUP(E116,Customers!$A$2:$I$1001,4,0)</f>
        <v>+1 (304) 532-7229</v>
      </c>
      <c r="I116" s="25" t="str">
        <f>VLOOKUP(E116,Customers!$A$2:$I$1001,6,0)</f>
        <v>Huntington</v>
      </c>
      <c r="J116" s="25" t="str">
        <f>VLOOKUP(E116,Customers!$A$2:$I$1001,7,0)</f>
        <v>United States</v>
      </c>
      <c r="K116" s="23" t="str">
        <f>VLOOKUP(E116,Customers!$A$2:$I$1001,9,0)</f>
        <v>No</v>
      </c>
      <c r="L116" s="4" t="s">
        <v>182</v>
      </c>
      <c r="M116" s="4" t="str">
        <f>VLOOKUP(L116,Products!$A$2:$G$49,2,0)</f>
        <v>Robusta</v>
      </c>
      <c r="N116" s="4" t="str">
        <f>VLOOKUP(L116,Products!$A$2:$G$49,3,0)</f>
        <v>Light</v>
      </c>
      <c r="O116" s="25">
        <v>4</v>
      </c>
      <c r="P116" s="5">
        <f>INDEX([1]products!$A$1:$G$49,MATCH([1]orders!$D116,[1]products!$A$1:$A$49,0),MATCH([1]orders!K$1,[1]products!$A$1:$G$1,0))</f>
        <v>0.2</v>
      </c>
      <c r="Q116" s="6">
        <f>INDEX([1]products!$A$1:$G$49,MATCH([1]orders!$D116,[1]products!$A$1:$A$49,0),MATCH([1]orders!L$1,[1]products!$A$1:$G$1,0))</f>
        <v>3.5849999999999995</v>
      </c>
      <c r="R116" s="6">
        <f t="shared" si="5"/>
        <v>14.339999999999998</v>
      </c>
      <c r="S116">
        <f>VLOOKUP(L116,Products!$A$2:$G$49,7,0)</f>
        <v>0.21509999999999996</v>
      </c>
      <c r="T116">
        <f t="shared" si="8"/>
        <v>0.86039999999999983</v>
      </c>
      <c r="U116" s="33">
        <f t="shared" si="9"/>
        <v>6</v>
      </c>
    </row>
    <row r="117" spans="1:21" x14ac:dyDescent="0.25">
      <c r="A117" s="1" t="s">
        <v>263</v>
      </c>
      <c r="B117" s="28">
        <v>43693</v>
      </c>
      <c r="C117" s="21" t="str">
        <f t="shared" si="6"/>
        <v>2019</v>
      </c>
      <c r="D117" s="19" t="str">
        <f t="shared" si="7"/>
        <v>August</v>
      </c>
      <c r="E117" s="3" t="s">
        <v>264</v>
      </c>
      <c r="F117" s="3" t="str">
        <f>VLOOKUP(E117,Customers!$A$2:$I$1001,2,0)</f>
        <v>Ingeberg Mulliner</v>
      </c>
      <c r="G117" s="3" t="str">
        <f>VLOOKUP(E117,Customers!$A$2:$I$1001,3,0)</f>
        <v>imulliner37@pinterest.com</v>
      </c>
      <c r="H117" s="3" t="str">
        <f>VLOOKUP(E117,Customers!$A$2:$I$1001,4,0)</f>
        <v>+44 (331) 777-9556</v>
      </c>
      <c r="I117" s="25" t="str">
        <f>VLOOKUP(E117,Customers!$A$2:$I$1001,6,0)</f>
        <v>Birmingham</v>
      </c>
      <c r="J117" s="25" t="str">
        <f>VLOOKUP(E117,Customers!$A$2:$I$1001,7,0)</f>
        <v>United Kingdom</v>
      </c>
      <c r="K117" s="23" t="str">
        <f>VLOOKUP(E117,Customers!$A$2:$I$1001,9,0)</f>
        <v>No</v>
      </c>
      <c r="L117" s="4" t="s">
        <v>132</v>
      </c>
      <c r="M117" s="4" t="str">
        <f>VLOOKUP(L117,Products!$A$2:$G$49,2,0)</f>
        <v>Liberica</v>
      </c>
      <c r="N117" s="4" t="str">
        <f>VLOOKUP(L117,Products!$A$2:$G$49,3,0)</f>
        <v>Light</v>
      </c>
      <c r="O117" s="25">
        <v>1</v>
      </c>
      <c r="P117" s="5">
        <f>INDEX([1]products!$A$1:$G$49,MATCH([1]orders!$D117,[1]products!$A$1:$A$49,0),MATCH([1]orders!K$1,[1]products!$A$1:$G$1,0))</f>
        <v>1</v>
      </c>
      <c r="Q117" s="6">
        <f>INDEX([1]products!$A$1:$G$49,MATCH([1]orders!$D117,[1]products!$A$1:$A$49,0),MATCH([1]orders!L$1,[1]products!$A$1:$G$1,0))</f>
        <v>15.85</v>
      </c>
      <c r="R117" s="6">
        <f t="shared" si="5"/>
        <v>15.85</v>
      </c>
      <c r="S117">
        <f>VLOOKUP(L117,Products!$A$2:$G$49,7,0)</f>
        <v>2.0605000000000002</v>
      </c>
      <c r="T117">
        <f t="shared" si="8"/>
        <v>2.0605000000000002</v>
      </c>
      <c r="U117" s="33">
        <f t="shared" si="9"/>
        <v>13</v>
      </c>
    </row>
    <row r="118" spans="1:21" x14ac:dyDescent="0.25">
      <c r="A118" s="1" t="s">
        <v>265</v>
      </c>
      <c r="B118" s="28">
        <v>44054</v>
      </c>
      <c r="C118" s="21" t="str">
        <f t="shared" si="6"/>
        <v>2020</v>
      </c>
      <c r="D118" s="19" t="str">
        <f t="shared" si="7"/>
        <v>August</v>
      </c>
      <c r="E118" s="3" t="s">
        <v>266</v>
      </c>
      <c r="F118" s="3" t="str">
        <f>VLOOKUP(E118,Customers!$A$2:$I$1001,2,0)</f>
        <v>Geneva Standley</v>
      </c>
      <c r="G118" s="3" t="str">
        <f>VLOOKUP(E118,Customers!$A$2:$I$1001,3,0)</f>
        <v>gstandley38@dion.ne.jp</v>
      </c>
      <c r="H118" s="3" t="str">
        <f>VLOOKUP(E118,Customers!$A$2:$I$1001,4,0)</f>
        <v>+353 (521) 138-4331</v>
      </c>
      <c r="I118" s="25" t="str">
        <f>VLOOKUP(E118,Customers!$A$2:$I$1001,6,0)</f>
        <v>Killorglin</v>
      </c>
      <c r="J118" s="25" t="str">
        <f>VLOOKUP(E118,Customers!$A$2:$I$1001,7,0)</f>
        <v>Ireland</v>
      </c>
      <c r="K118" s="23" t="str">
        <f>VLOOKUP(E118,Customers!$A$2:$I$1001,9,0)</f>
        <v>Yes</v>
      </c>
      <c r="L118" s="4" t="s">
        <v>19</v>
      </c>
      <c r="M118" s="4" t="str">
        <f>VLOOKUP(L118,Products!$A$2:$G$49,2,0)</f>
        <v>Liberica</v>
      </c>
      <c r="N118" s="4" t="str">
        <f>VLOOKUP(L118,Products!$A$2:$G$49,3,0)</f>
        <v>Light</v>
      </c>
      <c r="O118" s="25">
        <v>4</v>
      </c>
      <c r="P118" s="5">
        <f>INDEX([1]products!$A$1:$G$49,MATCH([1]orders!$D118,[1]products!$A$1:$A$49,0),MATCH([1]orders!K$1,[1]products!$A$1:$G$1,0))</f>
        <v>0.2</v>
      </c>
      <c r="Q118" s="6">
        <f>INDEX([1]products!$A$1:$G$49,MATCH([1]orders!$D118,[1]products!$A$1:$A$49,0),MATCH([1]orders!L$1,[1]products!$A$1:$G$1,0))</f>
        <v>4.7549999999999999</v>
      </c>
      <c r="R118" s="6">
        <f t="shared" si="5"/>
        <v>19.02</v>
      </c>
      <c r="S118">
        <f>VLOOKUP(L118,Products!$A$2:$G$49,7,0)</f>
        <v>0.61814999999999998</v>
      </c>
      <c r="T118">
        <f t="shared" si="8"/>
        <v>2.4725999999999999</v>
      </c>
      <c r="U118" s="33">
        <f t="shared" si="9"/>
        <v>13</v>
      </c>
    </row>
    <row r="119" spans="1:21" x14ac:dyDescent="0.25">
      <c r="A119" s="1" t="s">
        <v>267</v>
      </c>
      <c r="B119" s="28">
        <v>44656</v>
      </c>
      <c r="C119" s="21" t="str">
        <f t="shared" si="6"/>
        <v>2022</v>
      </c>
      <c r="D119" s="19" t="str">
        <f t="shared" si="7"/>
        <v>April</v>
      </c>
      <c r="E119" s="3" t="s">
        <v>268</v>
      </c>
      <c r="F119" s="3" t="str">
        <f>VLOOKUP(E119,Customers!$A$2:$I$1001,2,0)</f>
        <v>Brook Drage</v>
      </c>
      <c r="G119" s="3" t="str">
        <f>VLOOKUP(E119,Customers!$A$2:$I$1001,3,0)</f>
        <v>bdrage39@youku.com</v>
      </c>
      <c r="H119" s="3" t="str">
        <f>VLOOKUP(E119,Customers!$A$2:$I$1001,4,0)</f>
        <v>+1 (937) 566-3449</v>
      </c>
      <c r="I119" s="25" t="str">
        <f>VLOOKUP(E119,Customers!$A$2:$I$1001,6,0)</f>
        <v>Dayton</v>
      </c>
      <c r="J119" s="25" t="str">
        <f>VLOOKUP(E119,Customers!$A$2:$I$1001,7,0)</f>
        <v>United States</v>
      </c>
      <c r="K119" s="23" t="str">
        <f>VLOOKUP(E119,Customers!$A$2:$I$1001,9,0)</f>
        <v>No</v>
      </c>
      <c r="L119" s="4" t="s">
        <v>83</v>
      </c>
      <c r="M119" s="4" t="str">
        <f>VLOOKUP(L119,Products!$A$2:$G$49,2,0)</f>
        <v>Liberica</v>
      </c>
      <c r="N119" s="4" t="str">
        <f>VLOOKUP(L119,Products!$A$2:$G$49,3,0)</f>
        <v>Light</v>
      </c>
      <c r="O119" s="25">
        <v>4</v>
      </c>
      <c r="P119" s="5">
        <f>INDEX([1]products!$A$1:$G$49,MATCH([1]orders!$D119,[1]products!$A$1:$A$49,0),MATCH([1]orders!K$1,[1]products!$A$1:$G$1,0))</f>
        <v>0.5</v>
      </c>
      <c r="Q119" s="6">
        <f>INDEX([1]products!$A$1:$G$49,MATCH([1]orders!$D119,[1]products!$A$1:$A$49,0),MATCH([1]orders!L$1,[1]products!$A$1:$G$1,0))</f>
        <v>9.51</v>
      </c>
      <c r="R119" s="6">
        <f t="shared" si="5"/>
        <v>38.04</v>
      </c>
      <c r="S119">
        <f>VLOOKUP(L119,Products!$A$2:$G$49,7,0)</f>
        <v>1.2363</v>
      </c>
      <c r="T119">
        <f t="shared" si="8"/>
        <v>4.9451999999999998</v>
      </c>
      <c r="U119" s="33">
        <f t="shared" si="9"/>
        <v>13</v>
      </c>
    </row>
    <row r="120" spans="1:21" x14ac:dyDescent="0.25">
      <c r="A120" s="1" t="s">
        <v>269</v>
      </c>
      <c r="B120" s="28">
        <v>43760</v>
      </c>
      <c r="C120" s="21" t="str">
        <f t="shared" si="6"/>
        <v>2019</v>
      </c>
      <c r="D120" s="19" t="str">
        <f t="shared" si="7"/>
        <v>October</v>
      </c>
      <c r="E120" s="3" t="s">
        <v>270</v>
      </c>
      <c r="F120" s="3" t="str">
        <f>VLOOKUP(E120,Customers!$A$2:$I$1001,2,0)</f>
        <v>Muffin Yallop</v>
      </c>
      <c r="G120" s="3" t="str">
        <f>VLOOKUP(E120,Customers!$A$2:$I$1001,3,0)</f>
        <v>myallop3a@fema.gov</v>
      </c>
      <c r="H120" s="3" t="str">
        <f>VLOOKUP(E120,Customers!$A$2:$I$1001,4,0)</f>
        <v>+1 (907) 267-1236</v>
      </c>
      <c r="I120" s="25" t="str">
        <f>VLOOKUP(E120,Customers!$A$2:$I$1001,6,0)</f>
        <v>Anchorage</v>
      </c>
      <c r="J120" s="25" t="str">
        <f>VLOOKUP(E120,Customers!$A$2:$I$1001,7,0)</f>
        <v>United States</v>
      </c>
      <c r="K120" s="23" t="str">
        <f>VLOOKUP(E120,Customers!$A$2:$I$1001,9,0)</f>
        <v>Yes</v>
      </c>
      <c r="L120" s="4" t="s">
        <v>16</v>
      </c>
      <c r="M120" s="4" t="str">
        <f>VLOOKUP(L120,Products!$A$2:$G$49,2,0)</f>
        <v>Excelsa</v>
      </c>
      <c r="N120" s="4" t="str">
        <f>VLOOKUP(L120,Products!$A$2:$G$49,3,0)</f>
        <v>Dark</v>
      </c>
      <c r="O120" s="25">
        <v>3</v>
      </c>
      <c r="P120" s="5">
        <f>INDEX([1]products!$A$1:$G$49,MATCH([1]orders!$D120,[1]products!$A$1:$A$49,0),MATCH([1]orders!K$1,[1]products!$A$1:$G$1,0))</f>
        <v>0.5</v>
      </c>
      <c r="Q120" s="6">
        <f>INDEX([1]products!$A$1:$G$49,MATCH([1]orders!$D120,[1]products!$A$1:$A$49,0),MATCH([1]orders!L$1,[1]products!$A$1:$G$1,0))</f>
        <v>7.29</v>
      </c>
      <c r="R120" s="6">
        <f t="shared" si="5"/>
        <v>21.87</v>
      </c>
      <c r="S120">
        <f>VLOOKUP(L120,Products!$A$2:$G$49,7,0)</f>
        <v>0.80190000000000006</v>
      </c>
      <c r="T120">
        <f t="shared" si="8"/>
        <v>2.4057000000000004</v>
      </c>
      <c r="U120" s="33">
        <f t="shared" si="9"/>
        <v>11.000000000000002</v>
      </c>
    </row>
    <row r="121" spans="1:21" x14ac:dyDescent="0.25">
      <c r="A121" s="1" t="s">
        <v>271</v>
      </c>
      <c r="B121" s="28">
        <v>44471</v>
      </c>
      <c r="C121" s="21" t="str">
        <f t="shared" si="6"/>
        <v>2021</v>
      </c>
      <c r="D121" s="19" t="str">
        <f t="shared" si="7"/>
        <v>October</v>
      </c>
      <c r="E121" s="3" t="s">
        <v>272</v>
      </c>
      <c r="F121" s="3" t="str">
        <f>VLOOKUP(E121,Customers!$A$2:$I$1001,2,0)</f>
        <v>Cordi Switsur</v>
      </c>
      <c r="G121" s="3" t="str">
        <f>VLOOKUP(E121,Customers!$A$2:$I$1001,3,0)</f>
        <v>cswitsur3b@chronoengine.com</v>
      </c>
      <c r="H121" s="3" t="str">
        <f>VLOOKUP(E121,Customers!$A$2:$I$1001,4,0)</f>
        <v>+1 (615) 791-3142</v>
      </c>
      <c r="I121" s="25" t="str">
        <f>VLOOKUP(E121,Customers!$A$2:$I$1001,6,0)</f>
        <v>Nashville</v>
      </c>
      <c r="J121" s="25" t="str">
        <f>VLOOKUP(E121,Customers!$A$2:$I$1001,7,0)</f>
        <v>United States</v>
      </c>
      <c r="K121" s="23" t="str">
        <f>VLOOKUP(E121,Customers!$A$2:$I$1001,9,0)</f>
        <v>No</v>
      </c>
      <c r="L121" s="4" t="s">
        <v>64</v>
      </c>
      <c r="M121" s="4" t="str">
        <f>VLOOKUP(L121,Products!$A$2:$G$49,2,0)</f>
        <v>Excelsa</v>
      </c>
      <c r="N121" s="4" t="str">
        <f>VLOOKUP(L121,Products!$A$2:$G$49,3,0)</f>
        <v>Medium</v>
      </c>
      <c r="O121" s="25">
        <v>1</v>
      </c>
      <c r="P121" s="5">
        <f>INDEX([1]products!$A$1:$G$49,MATCH([1]orders!$D121,[1]products!$A$1:$A$49,0),MATCH([1]orders!K$1,[1]products!$A$1:$G$1,0))</f>
        <v>0.2</v>
      </c>
      <c r="Q121" s="6">
        <f>INDEX([1]products!$A$1:$G$49,MATCH([1]orders!$D121,[1]products!$A$1:$A$49,0),MATCH([1]orders!L$1,[1]products!$A$1:$G$1,0))</f>
        <v>4.125</v>
      </c>
      <c r="R121" s="6">
        <f t="shared" si="5"/>
        <v>4.125</v>
      </c>
      <c r="S121">
        <f>VLOOKUP(L121,Products!$A$2:$G$49,7,0)</f>
        <v>0.45374999999999999</v>
      </c>
      <c r="T121">
        <f t="shared" si="8"/>
        <v>0.45374999999999999</v>
      </c>
      <c r="U121" s="33">
        <f t="shared" si="9"/>
        <v>11</v>
      </c>
    </row>
    <row r="122" spans="1:21" x14ac:dyDescent="0.25">
      <c r="A122" s="1" t="s">
        <v>271</v>
      </c>
      <c r="B122" s="28">
        <v>44471</v>
      </c>
      <c r="C122" s="21" t="str">
        <f t="shared" si="6"/>
        <v>2021</v>
      </c>
      <c r="D122" s="19" t="str">
        <f t="shared" si="7"/>
        <v>October</v>
      </c>
      <c r="E122" s="3" t="s">
        <v>272</v>
      </c>
      <c r="F122" s="3" t="str">
        <f>VLOOKUP(E122,Customers!$A$2:$I$1001,2,0)</f>
        <v>Cordi Switsur</v>
      </c>
      <c r="G122" s="3" t="str">
        <f>VLOOKUP(E122,Customers!$A$2:$I$1001,3,0)</f>
        <v>cswitsur3b@chronoengine.com</v>
      </c>
      <c r="H122" s="3" t="str">
        <f>VLOOKUP(E122,Customers!$A$2:$I$1001,4,0)</f>
        <v>+1 (615) 791-3142</v>
      </c>
      <c r="I122" s="25" t="str">
        <f>VLOOKUP(E122,Customers!$A$2:$I$1001,6,0)</f>
        <v>Nashville</v>
      </c>
      <c r="J122" s="25" t="str">
        <f>VLOOKUP(E122,Customers!$A$2:$I$1001,7,0)</f>
        <v>United States</v>
      </c>
      <c r="K122" s="23" t="str">
        <f>VLOOKUP(E122,Customers!$A$2:$I$1001,9,0)</f>
        <v>No</v>
      </c>
      <c r="L122" s="4" t="s">
        <v>115</v>
      </c>
      <c r="M122" s="4" t="str">
        <f>VLOOKUP(L122,Products!$A$2:$G$49,2,0)</f>
        <v>Arabica</v>
      </c>
      <c r="N122" s="4" t="str">
        <f>VLOOKUP(L122,Products!$A$2:$G$49,3,0)</f>
        <v>Light</v>
      </c>
      <c r="O122" s="25">
        <v>1</v>
      </c>
      <c r="P122" s="5">
        <f>INDEX([1]products!$A$1:$G$49,MATCH([1]orders!$D122,[1]products!$A$1:$A$49,0),MATCH([1]orders!K$1,[1]products!$A$1:$G$1,0))</f>
        <v>0.2</v>
      </c>
      <c r="Q122" s="6">
        <f>INDEX([1]products!$A$1:$G$49,MATCH([1]orders!$D122,[1]products!$A$1:$A$49,0),MATCH([1]orders!L$1,[1]products!$A$1:$G$1,0))</f>
        <v>3.8849999999999998</v>
      </c>
      <c r="R122" s="6">
        <f t="shared" si="5"/>
        <v>3.8849999999999998</v>
      </c>
      <c r="S122">
        <f>VLOOKUP(L122,Products!$A$2:$G$49,7,0)</f>
        <v>0.34964999999999996</v>
      </c>
      <c r="T122">
        <f t="shared" si="8"/>
        <v>0.34964999999999996</v>
      </c>
      <c r="U122" s="33">
        <f t="shared" si="9"/>
        <v>9</v>
      </c>
    </row>
    <row r="123" spans="1:21" x14ac:dyDescent="0.25">
      <c r="A123" s="1" t="s">
        <v>271</v>
      </c>
      <c r="B123" s="28">
        <v>44471</v>
      </c>
      <c r="C123" s="21" t="str">
        <f t="shared" si="6"/>
        <v>2021</v>
      </c>
      <c r="D123" s="19" t="str">
        <f t="shared" si="7"/>
        <v>October</v>
      </c>
      <c r="E123" s="3" t="s">
        <v>272</v>
      </c>
      <c r="F123" s="3" t="str">
        <f>VLOOKUP(E123,Customers!$A$2:$I$1001,2,0)</f>
        <v>Cordi Switsur</v>
      </c>
      <c r="G123" s="3" t="str">
        <f>VLOOKUP(E123,Customers!$A$2:$I$1001,3,0)</f>
        <v>cswitsur3b@chronoengine.com</v>
      </c>
      <c r="H123" s="3" t="str">
        <f>VLOOKUP(E123,Customers!$A$2:$I$1001,4,0)</f>
        <v>+1 (615) 791-3142</v>
      </c>
      <c r="I123" s="25" t="str">
        <f>VLOOKUP(E123,Customers!$A$2:$I$1001,6,0)</f>
        <v>Nashville</v>
      </c>
      <c r="J123" s="25" t="str">
        <f>VLOOKUP(E123,Customers!$A$2:$I$1001,7,0)</f>
        <v>United States</v>
      </c>
      <c r="K123" s="23" t="str">
        <f>VLOOKUP(E123,Customers!$A$2:$I$1001,9,0)</f>
        <v>No</v>
      </c>
      <c r="L123" s="4" t="s">
        <v>9</v>
      </c>
      <c r="M123" s="4" t="str">
        <f>VLOOKUP(L123,Products!$A$2:$G$49,2,0)</f>
        <v>Excelsa</v>
      </c>
      <c r="N123" s="4" t="str">
        <f>VLOOKUP(L123,Products!$A$2:$G$49,3,0)</f>
        <v>Medium</v>
      </c>
      <c r="O123" s="25">
        <v>5</v>
      </c>
      <c r="P123" s="5">
        <f>INDEX([1]products!$A$1:$G$49,MATCH([1]orders!$D123,[1]products!$A$1:$A$49,0),MATCH([1]orders!K$1,[1]products!$A$1:$G$1,0))</f>
        <v>1</v>
      </c>
      <c r="Q123" s="6">
        <f>INDEX([1]products!$A$1:$G$49,MATCH([1]orders!$D123,[1]products!$A$1:$A$49,0),MATCH([1]orders!L$1,[1]products!$A$1:$G$1,0))</f>
        <v>13.75</v>
      </c>
      <c r="R123" s="6">
        <f t="shared" si="5"/>
        <v>68.75</v>
      </c>
      <c r="S123">
        <f>VLOOKUP(L123,Products!$A$2:$G$49,7,0)</f>
        <v>1.5125</v>
      </c>
      <c r="T123">
        <f t="shared" si="8"/>
        <v>7.5625</v>
      </c>
      <c r="U123" s="33">
        <f t="shared" si="9"/>
        <v>11</v>
      </c>
    </row>
    <row r="124" spans="1:21" x14ac:dyDescent="0.25">
      <c r="A124" s="1" t="s">
        <v>273</v>
      </c>
      <c r="B124" s="28">
        <v>44268</v>
      </c>
      <c r="C124" s="21" t="str">
        <f t="shared" si="6"/>
        <v>2021</v>
      </c>
      <c r="D124" s="19" t="str">
        <f t="shared" si="7"/>
        <v>March</v>
      </c>
      <c r="E124" s="3" t="s">
        <v>274</v>
      </c>
      <c r="F124" s="3" t="str">
        <f>VLOOKUP(E124,Customers!$A$2:$I$1001,2,0)</f>
        <v>Mahala Ludwell</v>
      </c>
      <c r="G124" s="3" t="str">
        <f>VLOOKUP(E124,Customers!$A$2:$I$1001,3,0)</f>
        <v>mludwell3e@blogger.com</v>
      </c>
      <c r="H124" s="3" t="str">
        <f>VLOOKUP(E124,Customers!$A$2:$I$1001,4,0)</f>
        <v>+1 (303) 242-3542</v>
      </c>
      <c r="I124" s="25" t="str">
        <f>VLOOKUP(E124,Customers!$A$2:$I$1001,6,0)</f>
        <v>Denver</v>
      </c>
      <c r="J124" s="25" t="str">
        <f>VLOOKUP(E124,Customers!$A$2:$I$1001,7,0)</f>
        <v>United States</v>
      </c>
      <c r="K124" s="23" t="str">
        <f>VLOOKUP(E124,Customers!$A$2:$I$1001,9,0)</f>
        <v>Yes</v>
      </c>
      <c r="L124" s="4" t="s">
        <v>72</v>
      </c>
      <c r="M124" s="4" t="str">
        <f>VLOOKUP(L124,Products!$A$2:$G$49,2,0)</f>
        <v>Arabica</v>
      </c>
      <c r="N124" s="4" t="str">
        <f>VLOOKUP(L124,Products!$A$2:$G$49,3,0)</f>
        <v>Dark</v>
      </c>
      <c r="O124" s="25">
        <v>4</v>
      </c>
      <c r="P124" s="5">
        <f>INDEX([1]products!$A$1:$G$49,MATCH([1]orders!$D124,[1]products!$A$1:$A$49,0),MATCH([1]orders!K$1,[1]products!$A$1:$G$1,0))</f>
        <v>0.5</v>
      </c>
      <c r="Q124" s="6">
        <f>INDEX([1]products!$A$1:$G$49,MATCH([1]orders!$D124,[1]products!$A$1:$A$49,0),MATCH([1]orders!L$1,[1]products!$A$1:$G$1,0))</f>
        <v>5.97</v>
      </c>
      <c r="R124" s="6">
        <f t="shared" si="5"/>
        <v>23.88</v>
      </c>
      <c r="S124">
        <f>VLOOKUP(L124,Products!$A$2:$G$49,7,0)</f>
        <v>0.5373</v>
      </c>
      <c r="T124">
        <f t="shared" si="8"/>
        <v>2.1492</v>
      </c>
      <c r="U124" s="33">
        <f t="shared" si="9"/>
        <v>9.0000000000000018</v>
      </c>
    </row>
    <row r="125" spans="1:21" x14ac:dyDescent="0.25">
      <c r="A125" s="1" t="s">
        <v>275</v>
      </c>
      <c r="B125" s="28">
        <v>44724</v>
      </c>
      <c r="C125" s="21" t="str">
        <f t="shared" si="6"/>
        <v>2022</v>
      </c>
      <c r="D125" s="19" t="str">
        <f t="shared" si="7"/>
        <v>June</v>
      </c>
      <c r="E125" s="3" t="s">
        <v>276</v>
      </c>
      <c r="F125" s="3" t="str">
        <f>VLOOKUP(E125,Customers!$A$2:$I$1001,2,0)</f>
        <v>Doll Beauchamp</v>
      </c>
      <c r="G125" s="3" t="str">
        <f>VLOOKUP(E125,Customers!$A$2:$I$1001,3,0)</f>
        <v>dbeauchamp3f@usda.gov</v>
      </c>
      <c r="H125" s="3" t="str">
        <f>VLOOKUP(E125,Customers!$A$2:$I$1001,4,0)</f>
        <v>+1 (203) 189-4256</v>
      </c>
      <c r="I125" s="25" t="str">
        <f>VLOOKUP(E125,Customers!$A$2:$I$1001,6,0)</f>
        <v>Stamford</v>
      </c>
      <c r="J125" s="25" t="str">
        <f>VLOOKUP(E125,Customers!$A$2:$I$1001,7,0)</f>
        <v>United States</v>
      </c>
      <c r="K125" s="23" t="str">
        <f>VLOOKUP(E125,Customers!$A$2:$I$1001,9,0)</f>
        <v>No</v>
      </c>
      <c r="L125" s="4" t="s">
        <v>104</v>
      </c>
      <c r="M125" s="4" t="str">
        <f>VLOOKUP(L125,Products!$A$2:$G$49,2,0)</f>
        <v>Liberica</v>
      </c>
      <c r="N125" s="4" t="str">
        <f>VLOOKUP(L125,Products!$A$2:$G$49,3,0)</f>
        <v>Light</v>
      </c>
      <c r="O125" s="25">
        <v>4</v>
      </c>
      <c r="P125" s="5">
        <f>INDEX([1]products!$A$1:$G$49,MATCH([1]orders!$D125,[1]products!$A$1:$A$49,0),MATCH([1]orders!K$1,[1]products!$A$1:$G$1,0))</f>
        <v>2.5</v>
      </c>
      <c r="Q125" s="6">
        <f>INDEX([1]products!$A$1:$G$49,MATCH([1]orders!$D125,[1]products!$A$1:$A$49,0),MATCH([1]orders!L$1,[1]products!$A$1:$G$1,0))</f>
        <v>36.454999999999998</v>
      </c>
      <c r="R125" s="6">
        <f t="shared" si="5"/>
        <v>145.82</v>
      </c>
      <c r="S125">
        <f>VLOOKUP(L125,Products!$A$2:$G$49,7,0)</f>
        <v>4.7391499999999995</v>
      </c>
      <c r="T125">
        <f t="shared" si="8"/>
        <v>18.956599999999998</v>
      </c>
      <c r="U125" s="33">
        <f t="shared" si="9"/>
        <v>13</v>
      </c>
    </row>
    <row r="126" spans="1:21" x14ac:dyDescent="0.25">
      <c r="A126" s="1" t="s">
        <v>277</v>
      </c>
      <c r="B126" s="28">
        <v>43582</v>
      </c>
      <c r="C126" s="21" t="str">
        <f t="shared" si="6"/>
        <v>2019</v>
      </c>
      <c r="D126" s="19" t="str">
        <f t="shared" si="7"/>
        <v>April</v>
      </c>
      <c r="E126" s="3" t="s">
        <v>278</v>
      </c>
      <c r="F126" s="3" t="str">
        <f>VLOOKUP(E126,Customers!$A$2:$I$1001,2,0)</f>
        <v>Stanford Rodliff</v>
      </c>
      <c r="G126" s="3" t="str">
        <f>VLOOKUP(E126,Customers!$A$2:$I$1001,3,0)</f>
        <v>srodliff3g@ted.com</v>
      </c>
      <c r="H126" s="3" t="str">
        <f>VLOOKUP(E126,Customers!$A$2:$I$1001,4,0)</f>
        <v>+1 (757) 537-3012</v>
      </c>
      <c r="I126" s="25" t="str">
        <f>VLOOKUP(E126,Customers!$A$2:$I$1001,6,0)</f>
        <v>Newport News</v>
      </c>
      <c r="J126" s="25" t="str">
        <f>VLOOKUP(E126,Customers!$A$2:$I$1001,7,0)</f>
        <v>United States</v>
      </c>
      <c r="K126" s="23" t="str">
        <f>VLOOKUP(E126,Customers!$A$2:$I$1001,9,0)</f>
        <v>Yes</v>
      </c>
      <c r="L126" s="4" t="s">
        <v>77</v>
      </c>
      <c r="M126" s="4" t="str">
        <f>VLOOKUP(L126,Products!$A$2:$G$49,2,0)</f>
        <v>Liberica</v>
      </c>
      <c r="N126" s="4" t="str">
        <f>VLOOKUP(L126,Products!$A$2:$G$49,3,0)</f>
        <v>Medium</v>
      </c>
      <c r="O126" s="25">
        <v>5</v>
      </c>
      <c r="P126" s="5">
        <f>INDEX([1]products!$A$1:$G$49,MATCH([1]orders!$D126,[1]products!$A$1:$A$49,0),MATCH([1]orders!K$1,[1]products!$A$1:$G$1,0))</f>
        <v>0.2</v>
      </c>
      <c r="Q126" s="6">
        <f>INDEX([1]products!$A$1:$G$49,MATCH([1]orders!$D126,[1]products!$A$1:$A$49,0),MATCH([1]orders!L$1,[1]products!$A$1:$G$1,0))</f>
        <v>4.3650000000000002</v>
      </c>
      <c r="R126" s="6">
        <f t="shared" si="5"/>
        <v>21.825000000000003</v>
      </c>
      <c r="S126">
        <f>VLOOKUP(L126,Products!$A$2:$G$49,7,0)</f>
        <v>0.56745000000000001</v>
      </c>
      <c r="T126">
        <f t="shared" si="8"/>
        <v>2.83725</v>
      </c>
      <c r="U126" s="33">
        <f t="shared" si="9"/>
        <v>12.999999999999998</v>
      </c>
    </row>
    <row r="127" spans="1:21" x14ac:dyDescent="0.25">
      <c r="A127" s="1" t="s">
        <v>279</v>
      </c>
      <c r="B127" s="28">
        <v>43608</v>
      </c>
      <c r="C127" s="21" t="str">
        <f t="shared" si="6"/>
        <v>2019</v>
      </c>
      <c r="D127" s="19" t="str">
        <f t="shared" si="7"/>
        <v>May</v>
      </c>
      <c r="E127" s="3" t="s">
        <v>280</v>
      </c>
      <c r="F127" s="3" t="str">
        <f>VLOOKUP(E127,Customers!$A$2:$I$1001,2,0)</f>
        <v>Stevana Woodham</v>
      </c>
      <c r="G127" s="3" t="str">
        <f>VLOOKUP(E127,Customers!$A$2:$I$1001,3,0)</f>
        <v>swoodham3h@businesswire.com</v>
      </c>
      <c r="H127" s="3" t="str">
        <f>VLOOKUP(E127,Customers!$A$2:$I$1001,4,0)</f>
        <v>+353 (190) 188-4918</v>
      </c>
      <c r="I127" s="25" t="str">
        <f>VLOOKUP(E127,Customers!$A$2:$I$1001,6,0)</f>
        <v>Drumcondra</v>
      </c>
      <c r="J127" s="25" t="str">
        <f>VLOOKUP(E127,Customers!$A$2:$I$1001,7,0)</f>
        <v>Ireland</v>
      </c>
      <c r="K127" s="23" t="str">
        <f>VLOOKUP(E127,Customers!$A$2:$I$1001,9,0)</f>
        <v>Yes</v>
      </c>
      <c r="L127" s="4" t="s">
        <v>78</v>
      </c>
      <c r="M127" s="4" t="str">
        <f>VLOOKUP(L127,Products!$A$2:$G$49,2,0)</f>
        <v>Liberica</v>
      </c>
      <c r="N127" s="4" t="str">
        <f>VLOOKUP(L127,Products!$A$2:$G$49,3,0)</f>
        <v>Medium</v>
      </c>
      <c r="O127" s="25">
        <v>3</v>
      </c>
      <c r="P127" s="5">
        <f>INDEX([1]products!$A$1:$G$49,MATCH([1]orders!$D127,[1]products!$A$1:$A$49,0),MATCH([1]orders!K$1,[1]products!$A$1:$G$1,0))</f>
        <v>0.5</v>
      </c>
      <c r="Q127" s="6">
        <f>INDEX([1]products!$A$1:$G$49,MATCH([1]orders!$D127,[1]products!$A$1:$A$49,0),MATCH([1]orders!L$1,[1]products!$A$1:$G$1,0))</f>
        <v>8.73</v>
      </c>
      <c r="R127" s="6">
        <f t="shared" si="5"/>
        <v>26.19</v>
      </c>
      <c r="S127">
        <f>VLOOKUP(L127,Products!$A$2:$G$49,7,0)</f>
        <v>1.1349</v>
      </c>
      <c r="T127">
        <f t="shared" si="8"/>
        <v>3.4047000000000001</v>
      </c>
      <c r="U127" s="33">
        <f t="shared" si="9"/>
        <v>13</v>
      </c>
    </row>
    <row r="128" spans="1:21" x14ac:dyDescent="0.25">
      <c r="A128" s="1" t="s">
        <v>281</v>
      </c>
      <c r="B128" s="28">
        <v>44026</v>
      </c>
      <c r="C128" s="21" t="str">
        <f t="shared" si="6"/>
        <v>2020</v>
      </c>
      <c r="D128" s="19" t="str">
        <f t="shared" si="7"/>
        <v>July</v>
      </c>
      <c r="E128" s="3" t="s">
        <v>282</v>
      </c>
      <c r="F128" s="3" t="str">
        <f>VLOOKUP(E128,Customers!$A$2:$I$1001,2,0)</f>
        <v>Hewet Synnot</v>
      </c>
      <c r="G128" s="3" t="str">
        <f>VLOOKUP(E128,Customers!$A$2:$I$1001,3,0)</f>
        <v>hsynnot3i@about.com</v>
      </c>
      <c r="H128" s="3" t="str">
        <f>VLOOKUP(E128,Customers!$A$2:$I$1001,4,0)</f>
        <v>+1 (907) 245-0601</v>
      </c>
      <c r="I128" s="25" t="str">
        <f>VLOOKUP(E128,Customers!$A$2:$I$1001,6,0)</f>
        <v>Anchorage</v>
      </c>
      <c r="J128" s="25" t="str">
        <f>VLOOKUP(E128,Customers!$A$2:$I$1001,7,0)</f>
        <v>United States</v>
      </c>
      <c r="K128" s="23" t="str">
        <f>VLOOKUP(E128,Customers!$A$2:$I$1001,9,0)</f>
        <v>No</v>
      </c>
      <c r="L128" s="4" t="s">
        <v>61</v>
      </c>
      <c r="M128" s="4" t="str">
        <f>VLOOKUP(L128,Products!$A$2:$G$49,2,0)</f>
        <v>Arabica</v>
      </c>
      <c r="N128" s="4" t="str">
        <f>VLOOKUP(L128,Products!$A$2:$G$49,3,0)</f>
        <v>Medium</v>
      </c>
      <c r="O128" s="25">
        <v>1</v>
      </c>
      <c r="P128" s="5">
        <f>INDEX([1]products!$A$1:$G$49,MATCH([1]orders!$D128,[1]products!$A$1:$A$49,0),MATCH([1]orders!K$1,[1]products!$A$1:$G$1,0))</f>
        <v>1</v>
      </c>
      <c r="Q128" s="6">
        <f>INDEX([1]products!$A$1:$G$49,MATCH([1]orders!$D128,[1]products!$A$1:$A$49,0),MATCH([1]orders!L$1,[1]products!$A$1:$G$1,0))</f>
        <v>11.25</v>
      </c>
      <c r="R128" s="6">
        <f t="shared" si="5"/>
        <v>11.25</v>
      </c>
      <c r="S128">
        <f>VLOOKUP(L128,Products!$A$2:$G$49,7,0)</f>
        <v>1.0125</v>
      </c>
      <c r="T128">
        <f t="shared" si="8"/>
        <v>1.0125</v>
      </c>
      <c r="U128" s="33">
        <f t="shared" si="9"/>
        <v>9</v>
      </c>
    </row>
    <row r="129" spans="1:21" x14ac:dyDescent="0.25">
      <c r="A129" s="1" t="s">
        <v>283</v>
      </c>
      <c r="B129" s="28">
        <v>44510</v>
      </c>
      <c r="C129" s="21" t="str">
        <f t="shared" si="6"/>
        <v>2021</v>
      </c>
      <c r="D129" s="19" t="str">
        <f t="shared" si="7"/>
        <v>November</v>
      </c>
      <c r="E129" s="3" t="s">
        <v>284</v>
      </c>
      <c r="F129" s="3" t="str">
        <f>VLOOKUP(E129,Customers!$A$2:$I$1001,2,0)</f>
        <v>Raleigh Lepere</v>
      </c>
      <c r="G129" s="3" t="str">
        <f>VLOOKUP(E129,Customers!$A$2:$I$1001,3,0)</f>
        <v>rlepere3j@shop-pro.jp</v>
      </c>
      <c r="H129" s="3" t="str">
        <f>VLOOKUP(E129,Customers!$A$2:$I$1001,4,0)</f>
        <v>+353 (792) 857-4513</v>
      </c>
      <c r="I129" s="25" t="str">
        <f>VLOOKUP(E129,Customers!$A$2:$I$1001,6,0)</f>
        <v>Beaumont</v>
      </c>
      <c r="J129" s="25" t="str">
        <f>VLOOKUP(E129,Customers!$A$2:$I$1001,7,0)</f>
        <v>Ireland</v>
      </c>
      <c r="K129" s="23" t="str">
        <f>VLOOKUP(E129,Customers!$A$2:$I$1001,9,0)</f>
        <v>No</v>
      </c>
      <c r="L129" s="4" t="s">
        <v>13</v>
      </c>
      <c r="M129" s="4" t="str">
        <f>VLOOKUP(L129,Products!$A$2:$G$49,2,0)</f>
        <v>Liberica</v>
      </c>
      <c r="N129" s="4" t="str">
        <f>VLOOKUP(L129,Products!$A$2:$G$49,3,0)</f>
        <v>Dark</v>
      </c>
      <c r="O129" s="25">
        <v>6</v>
      </c>
      <c r="P129" s="5">
        <f>INDEX([1]products!$A$1:$G$49,MATCH([1]orders!$D129,[1]products!$A$1:$A$49,0),MATCH([1]orders!K$1,[1]products!$A$1:$G$1,0))</f>
        <v>1</v>
      </c>
      <c r="Q129" s="6">
        <f>INDEX([1]products!$A$1:$G$49,MATCH([1]orders!$D129,[1]products!$A$1:$A$49,0),MATCH([1]orders!L$1,[1]products!$A$1:$G$1,0))</f>
        <v>12.95</v>
      </c>
      <c r="R129" s="6">
        <f t="shared" si="5"/>
        <v>77.699999999999989</v>
      </c>
      <c r="S129">
        <f>VLOOKUP(L129,Products!$A$2:$G$49,7,0)</f>
        <v>1.6835</v>
      </c>
      <c r="T129">
        <f t="shared" si="8"/>
        <v>10.100999999999999</v>
      </c>
      <c r="U129" s="33">
        <f t="shared" si="9"/>
        <v>13</v>
      </c>
    </row>
    <row r="130" spans="1:21" x14ac:dyDescent="0.25">
      <c r="A130" s="1" t="s">
        <v>285</v>
      </c>
      <c r="B130" s="28">
        <v>44439</v>
      </c>
      <c r="C130" s="21" t="str">
        <f t="shared" si="6"/>
        <v>2021</v>
      </c>
      <c r="D130" s="19" t="str">
        <f t="shared" si="7"/>
        <v>August</v>
      </c>
      <c r="E130" s="3" t="s">
        <v>286</v>
      </c>
      <c r="F130" s="3" t="str">
        <f>VLOOKUP(E130,Customers!$A$2:$I$1001,2,0)</f>
        <v>Timofei Woofinden</v>
      </c>
      <c r="G130" s="3" t="str">
        <f>VLOOKUP(E130,Customers!$A$2:$I$1001,3,0)</f>
        <v>twoofinden3k@businesswire.com</v>
      </c>
      <c r="H130" s="3" t="str">
        <f>VLOOKUP(E130,Customers!$A$2:$I$1001,4,0)</f>
        <v>+1 (701) 503-1067</v>
      </c>
      <c r="I130" s="25" t="str">
        <f>VLOOKUP(E130,Customers!$A$2:$I$1001,6,0)</f>
        <v>Fargo</v>
      </c>
      <c r="J130" s="25" t="str">
        <f>VLOOKUP(E130,Customers!$A$2:$I$1001,7,0)</f>
        <v>United States</v>
      </c>
      <c r="K130" s="23" t="str">
        <f>VLOOKUP(E130,Customers!$A$2:$I$1001,9,0)</f>
        <v>No</v>
      </c>
      <c r="L130" s="4" t="s">
        <v>67</v>
      </c>
      <c r="M130" s="4" t="str">
        <f>VLOOKUP(L130,Products!$A$2:$G$49,2,0)</f>
        <v>Arabica</v>
      </c>
      <c r="N130" s="4" t="str">
        <f>VLOOKUP(L130,Products!$A$2:$G$49,3,0)</f>
        <v>Medium</v>
      </c>
      <c r="O130" s="25">
        <v>1</v>
      </c>
      <c r="P130" s="5">
        <f>INDEX([1]products!$A$1:$G$49,MATCH([1]orders!$D130,[1]products!$A$1:$A$49,0),MATCH([1]orders!K$1,[1]products!$A$1:$G$1,0))</f>
        <v>0.5</v>
      </c>
      <c r="Q130" s="6">
        <f>INDEX([1]products!$A$1:$G$49,MATCH([1]orders!$D130,[1]products!$A$1:$A$49,0),MATCH([1]orders!L$1,[1]products!$A$1:$G$1,0))</f>
        <v>6.75</v>
      </c>
      <c r="R130" s="6">
        <f t="shared" ref="R130:R193" si="10">O130*Q130</f>
        <v>6.75</v>
      </c>
      <c r="S130">
        <f>VLOOKUP(L130,Products!$A$2:$G$49,7,0)</f>
        <v>0.60749999999999993</v>
      </c>
      <c r="T130">
        <f t="shared" si="8"/>
        <v>0.60749999999999993</v>
      </c>
      <c r="U130" s="33">
        <f t="shared" si="9"/>
        <v>8.9999999999999982</v>
      </c>
    </row>
    <row r="131" spans="1:21" x14ac:dyDescent="0.25">
      <c r="A131" s="1" t="s">
        <v>287</v>
      </c>
      <c r="B131" s="28">
        <v>43652</v>
      </c>
      <c r="C131" s="21" t="str">
        <f t="shared" ref="C131:C194" si="11">TEXT(B131,"yyyy")</f>
        <v>2019</v>
      </c>
      <c r="D131" s="19" t="str">
        <f t="shared" ref="D131:D194" si="12">TEXT(B131,"mmmm")</f>
        <v>July</v>
      </c>
      <c r="E131" s="3" t="s">
        <v>288</v>
      </c>
      <c r="F131" s="3" t="str">
        <f>VLOOKUP(E131,Customers!$A$2:$I$1001,2,0)</f>
        <v>Evelina Dacca</v>
      </c>
      <c r="G131" s="3" t="str">
        <f>VLOOKUP(E131,Customers!$A$2:$I$1001,3,0)</f>
        <v>edacca3l@google.pl</v>
      </c>
      <c r="H131" s="3" t="str">
        <f>VLOOKUP(E131,Customers!$A$2:$I$1001,4,0)</f>
        <v>+1 (812) 921-5458</v>
      </c>
      <c r="I131" s="25" t="str">
        <f>VLOOKUP(E131,Customers!$A$2:$I$1001,6,0)</f>
        <v>Evansville</v>
      </c>
      <c r="J131" s="25" t="str">
        <f>VLOOKUP(E131,Customers!$A$2:$I$1001,7,0)</f>
        <v>United States</v>
      </c>
      <c r="K131" s="23" t="str">
        <f>VLOOKUP(E131,Customers!$A$2:$I$1001,9,0)</f>
        <v>Yes</v>
      </c>
      <c r="L131" s="4" t="s">
        <v>245</v>
      </c>
      <c r="M131" s="4" t="str">
        <f>VLOOKUP(L131,Products!$A$2:$G$49,2,0)</f>
        <v>Excelsa</v>
      </c>
      <c r="N131" s="4" t="str">
        <f>VLOOKUP(L131,Products!$A$2:$G$49,3,0)</f>
        <v>Dark</v>
      </c>
      <c r="O131" s="25">
        <v>1</v>
      </c>
      <c r="P131" s="5">
        <f>INDEX([1]products!$A$1:$G$49,MATCH([1]orders!$D131,[1]products!$A$1:$A$49,0),MATCH([1]orders!K$1,[1]products!$A$1:$G$1,0))</f>
        <v>1</v>
      </c>
      <c r="Q131" s="6">
        <f>INDEX([1]products!$A$1:$G$49,MATCH([1]orders!$D131,[1]products!$A$1:$A$49,0),MATCH([1]orders!L$1,[1]products!$A$1:$G$1,0))</f>
        <v>12.15</v>
      </c>
      <c r="R131" s="6">
        <f t="shared" si="10"/>
        <v>12.15</v>
      </c>
      <c r="S131">
        <f>VLOOKUP(L131,Products!$A$2:$G$49,7,0)</f>
        <v>1.3365</v>
      </c>
      <c r="T131">
        <f t="shared" ref="T131:T194" si="13">O131*S131</f>
        <v>1.3365</v>
      </c>
      <c r="U131" s="33">
        <f t="shared" ref="U131:U194" si="14">T131/R131*100</f>
        <v>11</v>
      </c>
    </row>
    <row r="132" spans="1:21" x14ac:dyDescent="0.25">
      <c r="A132" s="1" t="s">
        <v>289</v>
      </c>
      <c r="B132" s="28">
        <v>44624</v>
      </c>
      <c r="C132" s="21" t="str">
        <f t="shared" si="11"/>
        <v>2022</v>
      </c>
      <c r="D132" s="19" t="str">
        <f t="shared" si="12"/>
        <v>March</v>
      </c>
      <c r="E132" s="3" t="s">
        <v>290</v>
      </c>
      <c r="F132" s="3" t="str">
        <f>VLOOKUP(E132,Customers!$A$2:$I$1001,2,0)</f>
        <v>Bidget Tremellier</v>
      </c>
      <c r="G132" s="3" t="str">
        <f>VLOOKUP(E132,Customers!$A$2:$I$1001,3,0)</f>
        <v>UNKNOWN</v>
      </c>
      <c r="H132" s="3" t="str">
        <f>VLOOKUP(E132,Customers!$A$2:$I$1001,4,0)</f>
        <v>+353 (900) 633-2359</v>
      </c>
      <c r="I132" s="25" t="str">
        <f>VLOOKUP(E132,Customers!$A$2:$I$1001,6,0)</f>
        <v>Cherryville</v>
      </c>
      <c r="J132" s="25" t="str">
        <f>VLOOKUP(E132,Customers!$A$2:$I$1001,7,0)</f>
        <v>Ireland</v>
      </c>
      <c r="K132" s="23" t="str">
        <f>VLOOKUP(E132,Customers!$A$2:$I$1001,9,0)</f>
        <v>Yes</v>
      </c>
      <c r="L132" s="4" t="s">
        <v>204</v>
      </c>
      <c r="M132" s="4" t="str">
        <f>VLOOKUP(L132,Products!$A$2:$G$49,2,0)</f>
        <v>Arabica</v>
      </c>
      <c r="N132" s="4" t="str">
        <f>VLOOKUP(L132,Products!$A$2:$G$49,3,0)</f>
        <v>Light</v>
      </c>
      <c r="O132" s="25">
        <v>5</v>
      </c>
      <c r="P132" s="5">
        <f>INDEX([1]products!$A$1:$G$49,MATCH([1]orders!$D132,[1]products!$A$1:$A$49,0),MATCH([1]orders!K$1,[1]products!$A$1:$G$1,0))</f>
        <v>2.5</v>
      </c>
      <c r="Q132" s="6">
        <f>INDEX([1]products!$A$1:$G$49,MATCH([1]orders!$D132,[1]products!$A$1:$A$49,0),MATCH([1]orders!L$1,[1]products!$A$1:$G$1,0))</f>
        <v>29.784999999999997</v>
      </c>
      <c r="R132" s="6">
        <f t="shared" si="10"/>
        <v>148.92499999999998</v>
      </c>
      <c r="S132">
        <f>VLOOKUP(L132,Products!$A$2:$G$49,7,0)</f>
        <v>2.6806499999999995</v>
      </c>
      <c r="T132">
        <f t="shared" si="13"/>
        <v>13.403249999999998</v>
      </c>
      <c r="U132" s="33">
        <f t="shared" si="14"/>
        <v>9</v>
      </c>
    </row>
    <row r="133" spans="1:21" x14ac:dyDescent="0.25">
      <c r="A133" s="1" t="s">
        <v>291</v>
      </c>
      <c r="B133" s="28">
        <v>44196</v>
      </c>
      <c r="C133" s="21" t="str">
        <f t="shared" si="11"/>
        <v>2020</v>
      </c>
      <c r="D133" s="19" t="str">
        <f t="shared" si="12"/>
        <v>December</v>
      </c>
      <c r="E133" s="3" t="s">
        <v>292</v>
      </c>
      <c r="F133" s="3" t="str">
        <f>VLOOKUP(E133,Customers!$A$2:$I$1001,2,0)</f>
        <v>Bobinette Hindsberg</v>
      </c>
      <c r="G133" s="3" t="str">
        <f>VLOOKUP(E133,Customers!$A$2:$I$1001,3,0)</f>
        <v>bhindsberg3n@blogs.com</v>
      </c>
      <c r="H133" s="3" t="str">
        <f>VLOOKUP(E133,Customers!$A$2:$I$1001,4,0)</f>
        <v>+1 (704) 888-5303</v>
      </c>
      <c r="I133" s="25" t="str">
        <f>VLOOKUP(E133,Customers!$A$2:$I$1001,6,0)</f>
        <v>Charlotte</v>
      </c>
      <c r="J133" s="25" t="str">
        <f>VLOOKUP(E133,Customers!$A$2:$I$1001,7,0)</f>
        <v>United States</v>
      </c>
      <c r="K133" s="23" t="str">
        <f>VLOOKUP(E133,Customers!$A$2:$I$1001,9,0)</f>
        <v>Yes</v>
      </c>
      <c r="L133" s="4" t="s">
        <v>16</v>
      </c>
      <c r="M133" s="4" t="str">
        <f>VLOOKUP(L133,Products!$A$2:$G$49,2,0)</f>
        <v>Excelsa</v>
      </c>
      <c r="N133" s="4" t="str">
        <f>VLOOKUP(L133,Products!$A$2:$G$49,3,0)</f>
        <v>Dark</v>
      </c>
      <c r="O133" s="25">
        <v>2</v>
      </c>
      <c r="P133" s="5">
        <f>INDEX([1]products!$A$1:$G$49,MATCH([1]orders!$D133,[1]products!$A$1:$A$49,0),MATCH([1]orders!K$1,[1]products!$A$1:$G$1,0))</f>
        <v>0.5</v>
      </c>
      <c r="Q133" s="6">
        <f>INDEX([1]products!$A$1:$G$49,MATCH([1]orders!$D133,[1]products!$A$1:$A$49,0),MATCH([1]orders!L$1,[1]products!$A$1:$G$1,0))</f>
        <v>7.29</v>
      </c>
      <c r="R133" s="6">
        <f t="shared" si="10"/>
        <v>14.58</v>
      </c>
      <c r="S133">
        <f>VLOOKUP(L133,Products!$A$2:$G$49,7,0)</f>
        <v>0.80190000000000006</v>
      </c>
      <c r="T133">
        <f t="shared" si="13"/>
        <v>1.6038000000000001</v>
      </c>
      <c r="U133" s="33">
        <f t="shared" si="14"/>
        <v>11</v>
      </c>
    </row>
    <row r="134" spans="1:21" x14ac:dyDescent="0.25">
      <c r="A134" s="1" t="s">
        <v>293</v>
      </c>
      <c r="B134" s="28">
        <v>44043</v>
      </c>
      <c r="C134" s="21" t="str">
        <f t="shared" si="11"/>
        <v>2020</v>
      </c>
      <c r="D134" s="19" t="str">
        <f t="shared" si="12"/>
        <v>July</v>
      </c>
      <c r="E134" s="3" t="s">
        <v>294</v>
      </c>
      <c r="F134" s="3" t="str">
        <f>VLOOKUP(E134,Customers!$A$2:$I$1001,2,0)</f>
        <v>Osbert Robins</v>
      </c>
      <c r="G134" s="3" t="str">
        <f>VLOOKUP(E134,Customers!$A$2:$I$1001,3,0)</f>
        <v>orobins3o@salon.com</v>
      </c>
      <c r="H134" s="3" t="str">
        <f>VLOOKUP(E134,Customers!$A$2:$I$1001,4,0)</f>
        <v>+1 (256) 196-8054</v>
      </c>
      <c r="I134" s="25" t="str">
        <f>VLOOKUP(E134,Customers!$A$2:$I$1001,6,0)</f>
        <v>Huntsville</v>
      </c>
      <c r="J134" s="25" t="str">
        <f>VLOOKUP(E134,Customers!$A$2:$I$1001,7,0)</f>
        <v>United States</v>
      </c>
      <c r="K134" s="23" t="str">
        <f>VLOOKUP(E134,Customers!$A$2:$I$1001,9,0)</f>
        <v>Yes</v>
      </c>
      <c r="L134" s="4" t="s">
        <v>204</v>
      </c>
      <c r="M134" s="4" t="str">
        <f>VLOOKUP(L134,Products!$A$2:$G$49,2,0)</f>
        <v>Arabica</v>
      </c>
      <c r="N134" s="4" t="str">
        <f>VLOOKUP(L134,Products!$A$2:$G$49,3,0)</f>
        <v>Light</v>
      </c>
      <c r="O134" s="25">
        <v>5</v>
      </c>
      <c r="P134" s="5">
        <f>INDEX([1]products!$A$1:$G$49,MATCH([1]orders!$D134,[1]products!$A$1:$A$49,0),MATCH([1]orders!K$1,[1]products!$A$1:$G$1,0))</f>
        <v>2.5</v>
      </c>
      <c r="Q134" s="6">
        <f>INDEX([1]products!$A$1:$G$49,MATCH([1]orders!$D134,[1]products!$A$1:$A$49,0),MATCH([1]orders!L$1,[1]products!$A$1:$G$1,0))</f>
        <v>29.784999999999997</v>
      </c>
      <c r="R134" s="6">
        <f t="shared" si="10"/>
        <v>148.92499999999998</v>
      </c>
      <c r="S134">
        <f>VLOOKUP(L134,Products!$A$2:$G$49,7,0)</f>
        <v>2.6806499999999995</v>
      </c>
      <c r="T134">
        <f t="shared" si="13"/>
        <v>13.403249999999998</v>
      </c>
      <c r="U134" s="33">
        <f t="shared" si="14"/>
        <v>9</v>
      </c>
    </row>
    <row r="135" spans="1:21" x14ac:dyDescent="0.25">
      <c r="A135" s="1" t="s">
        <v>295</v>
      </c>
      <c r="B135" s="28">
        <v>44340</v>
      </c>
      <c r="C135" s="21" t="str">
        <f t="shared" si="11"/>
        <v>2021</v>
      </c>
      <c r="D135" s="19" t="str">
        <f t="shared" si="12"/>
        <v>May</v>
      </c>
      <c r="E135" s="3" t="s">
        <v>296</v>
      </c>
      <c r="F135" s="3" t="str">
        <f>VLOOKUP(E135,Customers!$A$2:$I$1001,2,0)</f>
        <v>Othello Syseland</v>
      </c>
      <c r="G135" s="3" t="str">
        <f>VLOOKUP(E135,Customers!$A$2:$I$1001,3,0)</f>
        <v>osyseland3p@independent.co.uk</v>
      </c>
      <c r="H135" s="3" t="str">
        <f>VLOOKUP(E135,Customers!$A$2:$I$1001,4,0)</f>
        <v>+1 (714) 895-0210</v>
      </c>
      <c r="I135" s="25" t="str">
        <f>VLOOKUP(E135,Customers!$A$2:$I$1001,6,0)</f>
        <v>Santa Ana</v>
      </c>
      <c r="J135" s="25" t="str">
        <f>VLOOKUP(E135,Customers!$A$2:$I$1001,7,0)</f>
        <v>United States</v>
      </c>
      <c r="K135" s="23" t="str">
        <f>VLOOKUP(E135,Customers!$A$2:$I$1001,9,0)</f>
        <v>No</v>
      </c>
      <c r="L135" s="4" t="s">
        <v>13</v>
      </c>
      <c r="M135" s="4" t="str">
        <f>VLOOKUP(L135,Products!$A$2:$G$49,2,0)</f>
        <v>Liberica</v>
      </c>
      <c r="N135" s="4" t="str">
        <f>VLOOKUP(L135,Products!$A$2:$G$49,3,0)</f>
        <v>Dark</v>
      </c>
      <c r="O135" s="25">
        <v>1</v>
      </c>
      <c r="P135" s="5">
        <f>INDEX([1]products!$A$1:$G$49,MATCH([1]orders!$D135,[1]products!$A$1:$A$49,0),MATCH([1]orders!K$1,[1]products!$A$1:$G$1,0))</f>
        <v>1</v>
      </c>
      <c r="Q135" s="6">
        <f>INDEX([1]products!$A$1:$G$49,MATCH([1]orders!$D135,[1]products!$A$1:$A$49,0),MATCH([1]orders!L$1,[1]products!$A$1:$G$1,0))</f>
        <v>12.95</v>
      </c>
      <c r="R135" s="6">
        <f t="shared" si="10"/>
        <v>12.95</v>
      </c>
      <c r="S135">
        <f>VLOOKUP(L135,Products!$A$2:$G$49,7,0)</f>
        <v>1.6835</v>
      </c>
      <c r="T135">
        <f t="shared" si="13"/>
        <v>1.6835</v>
      </c>
      <c r="U135" s="33">
        <f t="shared" si="14"/>
        <v>13</v>
      </c>
    </row>
    <row r="136" spans="1:21" x14ac:dyDescent="0.25">
      <c r="A136" s="1" t="s">
        <v>297</v>
      </c>
      <c r="B136" s="28">
        <v>44758</v>
      </c>
      <c r="C136" s="21" t="str">
        <f t="shared" si="11"/>
        <v>2022</v>
      </c>
      <c r="D136" s="19" t="str">
        <f t="shared" si="12"/>
        <v>July</v>
      </c>
      <c r="E136" s="3" t="s">
        <v>298</v>
      </c>
      <c r="F136" s="3" t="str">
        <f>VLOOKUP(E136,Customers!$A$2:$I$1001,2,0)</f>
        <v>Ewell Hanby</v>
      </c>
      <c r="G136" s="3" t="str">
        <f>VLOOKUP(E136,Customers!$A$2:$I$1001,3,0)</f>
        <v>UNKNOWN</v>
      </c>
      <c r="H136" s="3" t="str">
        <f>VLOOKUP(E136,Customers!$A$2:$I$1001,4,0)</f>
        <v>UNKNOWN</v>
      </c>
      <c r="I136" s="25" t="str">
        <f>VLOOKUP(E136,Customers!$A$2:$I$1001,6,0)</f>
        <v>Washington</v>
      </c>
      <c r="J136" s="25" t="str">
        <f>VLOOKUP(E136,Customers!$A$2:$I$1001,7,0)</f>
        <v>United States</v>
      </c>
      <c r="K136" s="23" t="str">
        <f>VLOOKUP(E136,Customers!$A$2:$I$1001,9,0)</f>
        <v>Yes</v>
      </c>
      <c r="L136" s="4" t="s">
        <v>112</v>
      </c>
      <c r="M136" s="4" t="str">
        <f>VLOOKUP(L136,Products!$A$2:$G$49,2,0)</f>
        <v>Excelsa</v>
      </c>
      <c r="N136" s="4" t="str">
        <f>VLOOKUP(L136,Products!$A$2:$G$49,3,0)</f>
        <v>Medium</v>
      </c>
      <c r="O136" s="25">
        <v>3</v>
      </c>
      <c r="P136" s="5">
        <f>INDEX([1]products!$A$1:$G$49,MATCH([1]orders!$D136,[1]products!$A$1:$A$49,0),MATCH([1]orders!K$1,[1]products!$A$1:$G$1,0))</f>
        <v>2.5</v>
      </c>
      <c r="Q136" s="6">
        <f>INDEX([1]products!$A$1:$G$49,MATCH([1]orders!$D136,[1]products!$A$1:$A$49,0),MATCH([1]orders!L$1,[1]products!$A$1:$G$1,0))</f>
        <v>31.624999999999996</v>
      </c>
      <c r="R136" s="6">
        <f t="shared" si="10"/>
        <v>94.874999999999986</v>
      </c>
      <c r="S136">
        <f>VLOOKUP(L136,Products!$A$2:$G$49,7,0)</f>
        <v>3.4787499999999998</v>
      </c>
      <c r="T136">
        <f t="shared" si="13"/>
        <v>10.436249999999999</v>
      </c>
      <c r="U136" s="33">
        <f t="shared" si="14"/>
        <v>11.000000000000002</v>
      </c>
    </row>
    <row r="137" spans="1:21" x14ac:dyDescent="0.25">
      <c r="A137" s="1" t="s">
        <v>299</v>
      </c>
      <c r="B137" s="28">
        <v>44232</v>
      </c>
      <c r="C137" s="21" t="str">
        <f t="shared" si="11"/>
        <v>2021</v>
      </c>
      <c r="D137" s="19" t="str">
        <f t="shared" si="12"/>
        <v>February</v>
      </c>
      <c r="E137" s="3" t="s">
        <v>300</v>
      </c>
      <c r="F137" s="3" t="str">
        <f>VLOOKUP(E137,Customers!$A$2:$I$1001,2,0)</f>
        <v>Blancha McAmish</v>
      </c>
      <c r="G137" s="3" t="str">
        <f>VLOOKUP(E137,Customers!$A$2:$I$1001,3,0)</f>
        <v>bmcamish2e@tripadvisor.com</v>
      </c>
      <c r="H137" s="3" t="str">
        <f>VLOOKUP(E137,Customers!$A$2:$I$1001,4,0)</f>
        <v>UNKNOWN</v>
      </c>
      <c r="I137" s="25" t="str">
        <f>VLOOKUP(E137,Customers!$A$2:$I$1001,6,0)</f>
        <v>Oklahoma City</v>
      </c>
      <c r="J137" s="25" t="str">
        <f>VLOOKUP(E137,Customers!$A$2:$I$1001,7,0)</f>
        <v>United States</v>
      </c>
      <c r="K137" s="23" t="str">
        <f>VLOOKUP(E137,Customers!$A$2:$I$1001,9,0)</f>
        <v>Yes</v>
      </c>
      <c r="L137" s="4" t="s">
        <v>192</v>
      </c>
      <c r="M137" s="4" t="str">
        <f>VLOOKUP(L137,Products!$A$2:$G$49,2,0)</f>
        <v>Arabica</v>
      </c>
      <c r="N137" s="4" t="str">
        <f>VLOOKUP(L137,Products!$A$2:$G$49,3,0)</f>
        <v>Light</v>
      </c>
      <c r="O137" s="25">
        <v>5</v>
      </c>
      <c r="P137" s="5">
        <f>INDEX([1]products!$A$1:$G$49,MATCH([1]orders!$D137,[1]products!$A$1:$A$49,0),MATCH([1]orders!K$1,[1]products!$A$1:$G$1,0))</f>
        <v>0.5</v>
      </c>
      <c r="Q137" s="6">
        <f>INDEX([1]products!$A$1:$G$49,MATCH([1]orders!$D137,[1]products!$A$1:$A$49,0),MATCH([1]orders!L$1,[1]products!$A$1:$G$1,0))</f>
        <v>7.77</v>
      </c>
      <c r="R137" s="6">
        <f t="shared" si="10"/>
        <v>38.849999999999994</v>
      </c>
      <c r="S137">
        <f>VLOOKUP(L137,Products!$A$2:$G$49,7,0)</f>
        <v>0.69929999999999992</v>
      </c>
      <c r="T137">
        <f t="shared" si="13"/>
        <v>3.4964999999999997</v>
      </c>
      <c r="U137" s="33">
        <f t="shared" si="14"/>
        <v>9.0000000000000018</v>
      </c>
    </row>
    <row r="138" spans="1:21" x14ac:dyDescent="0.25">
      <c r="A138" s="1" t="s">
        <v>301</v>
      </c>
      <c r="B138" s="28">
        <v>44406</v>
      </c>
      <c r="C138" s="21" t="str">
        <f t="shared" si="11"/>
        <v>2021</v>
      </c>
      <c r="D138" s="19" t="str">
        <f t="shared" si="12"/>
        <v>July</v>
      </c>
      <c r="E138" s="3" t="s">
        <v>302</v>
      </c>
      <c r="F138" s="3" t="str">
        <f>VLOOKUP(E138,Customers!$A$2:$I$1001,2,0)</f>
        <v>Lowell Keenleyside</v>
      </c>
      <c r="G138" s="3" t="str">
        <f>VLOOKUP(E138,Customers!$A$2:$I$1001,3,0)</f>
        <v>lkeenleyside3s@topsy.com</v>
      </c>
      <c r="H138" s="3" t="str">
        <f>VLOOKUP(E138,Customers!$A$2:$I$1001,4,0)</f>
        <v>+1 (636) 713-5124</v>
      </c>
      <c r="I138" s="25" t="str">
        <f>VLOOKUP(E138,Customers!$A$2:$I$1001,6,0)</f>
        <v>Saint Louis</v>
      </c>
      <c r="J138" s="25" t="str">
        <f>VLOOKUP(E138,Customers!$A$2:$I$1001,7,0)</f>
        <v>United States</v>
      </c>
      <c r="K138" s="23" t="str">
        <f>VLOOKUP(E138,Customers!$A$2:$I$1001,9,0)</f>
        <v>No</v>
      </c>
      <c r="L138" s="4" t="s">
        <v>54</v>
      </c>
      <c r="M138" s="4" t="str">
        <f>VLOOKUP(L138,Products!$A$2:$G$49,2,0)</f>
        <v>Arabica</v>
      </c>
      <c r="N138" s="4" t="str">
        <f>VLOOKUP(L138,Products!$A$2:$G$49,3,0)</f>
        <v>Dark</v>
      </c>
      <c r="O138" s="25">
        <v>4</v>
      </c>
      <c r="P138" s="5">
        <f>INDEX([1]products!$A$1:$G$49,MATCH([1]orders!$D138,[1]products!$A$1:$A$49,0),MATCH([1]orders!K$1,[1]products!$A$1:$G$1,0))</f>
        <v>0.2</v>
      </c>
      <c r="Q138" s="6">
        <f>INDEX([1]products!$A$1:$G$49,MATCH([1]orders!$D138,[1]products!$A$1:$A$49,0),MATCH([1]orders!L$1,[1]products!$A$1:$G$1,0))</f>
        <v>2.9849999999999999</v>
      </c>
      <c r="R138" s="6">
        <f t="shared" si="10"/>
        <v>11.94</v>
      </c>
      <c r="S138">
        <f>VLOOKUP(L138,Products!$A$2:$G$49,7,0)</f>
        <v>0.26865</v>
      </c>
      <c r="T138">
        <f t="shared" si="13"/>
        <v>1.0746</v>
      </c>
      <c r="U138" s="33">
        <f t="shared" si="14"/>
        <v>9.0000000000000018</v>
      </c>
    </row>
    <row r="139" spans="1:21" x14ac:dyDescent="0.25">
      <c r="A139" s="1" t="s">
        <v>303</v>
      </c>
      <c r="B139" s="28">
        <v>44637</v>
      </c>
      <c r="C139" s="21" t="str">
        <f t="shared" si="11"/>
        <v>2022</v>
      </c>
      <c r="D139" s="19" t="str">
        <f t="shared" si="12"/>
        <v>March</v>
      </c>
      <c r="E139" s="3" t="s">
        <v>304</v>
      </c>
      <c r="F139" s="3" t="str">
        <f>VLOOKUP(E139,Customers!$A$2:$I$1001,2,0)</f>
        <v>Elonore Joliffe</v>
      </c>
      <c r="G139" s="3" t="str">
        <f>VLOOKUP(E139,Customers!$A$2:$I$1001,3,0)</f>
        <v>UNKNOWN</v>
      </c>
      <c r="H139" s="3" t="str">
        <f>VLOOKUP(E139,Customers!$A$2:$I$1001,4,0)</f>
        <v>+353 (994) 611-5746</v>
      </c>
      <c r="I139" s="25" t="str">
        <f>VLOOKUP(E139,Customers!$A$2:$I$1001,6,0)</f>
        <v>Bailieborough</v>
      </c>
      <c r="J139" s="25" t="str">
        <f>VLOOKUP(E139,Customers!$A$2:$I$1001,7,0)</f>
        <v>Ireland</v>
      </c>
      <c r="K139" s="23" t="str">
        <f>VLOOKUP(E139,Customers!$A$2:$I$1001,9,0)</f>
        <v>No</v>
      </c>
      <c r="L139" s="4" t="s">
        <v>30</v>
      </c>
      <c r="M139" s="4" t="str">
        <f>VLOOKUP(L139,Products!$A$2:$G$49,2,0)</f>
        <v>Excelsa</v>
      </c>
      <c r="N139" s="4" t="str">
        <f>VLOOKUP(L139,Products!$A$2:$G$49,3,0)</f>
        <v>Light</v>
      </c>
      <c r="O139" s="25">
        <v>3</v>
      </c>
      <c r="P139" s="5">
        <f>INDEX([1]products!$A$1:$G$49,MATCH([1]orders!$D139,[1]products!$A$1:$A$49,0),MATCH([1]orders!K$1,[1]products!$A$1:$G$1,0))</f>
        <v>2.5</v>
      </c>
      <c r="Q139" s="6">
        <f>INDEX([1]products!$A$1:$G$49,MATCH([1]orders!$D139,[1]products!$A$1:$A$49,0),MATCH([1]orders!L$1,[1]products!$A$1:$G$1,0))</f>
        <v>34.154999999999994</v>
      </c>
      <c r="R139" s="6">
        <f t="shared" si="10"/>
        <v>102.46499999999997</v>
      </c>
      <c r="S139">
        <f>VLOOKUP(L139,Products!$A$2:$G$49,7,0)</f>
        <v>3.7570499999999996</v>
      </c>
      <c r="T139">
        <f t="shared" si="13"/>
        <v>11.271149999999999</v>
      </c>
      <c r="U139" s="33">
        <f t="shared" si="14"/>
        <v>11.000000000000002</v>
      </c>
    </row>
    <row r="140" spans="1:21" x14ac:dyDescent="0.25">
      <c r="A140" s="1" t="s">
        <v>305</v>
      </c>
      <c r="B140" s="28">
        <v>44238</v>
      </c>
      <c r="C140" s="21" t="str">
        <f t="shared" si="11"/>
        <v>2021</v>
      </c>
      <c r="D140" s="19" t="str">
        <f t="shared" si="12"/>
        <v>February</v>
      </c>
      <c r="E140" s="3" t="s">
        <v>306</v>
      </c>
      <c r="F140" s="3" t="str">
        <f>VLOOKUP(E140,Customers!$A$2:$I$1001,2,0)</f>
        <v>Abraham Coleman</v>
      </c>
      <c r="G140" s="3" t="str">
        <f>VLOOKUP(E140,Customers!$A$2:$I$1001,3,0)</f>
        <v>UNKNOWN</v>
      </c>
      <c r="H140" s="3" t="str">
        <f>VLOOKUP(E140,Customers!$A$2:$I$1001,4,0)</f>
        <v>+1 (808) 815-5051</v>
      </c>
      <c r="I140" s="25" t="str">
        <f>VLOOKUP(E140,Customers!$A$2:$I$1001,6,0)</f>
        <v>Honolulu</v>
      </c>
      <c r="J140" s="25" t="str">
        <f>VLOOKUP(E140,Customers!$A$2:$I$1001,7,0)</f>
        <v>United States</v>
      </c>
      <c r="K140" s="23" t="str">
        <f>VLOOKUP(E140,Customers!$A$2:$I$1001,9,0)</f>
        <v>No</v>
      </c>
      <c r="L140" s="4" t="s">
        <v>245</v>
      </c>
      <c r="M140" s="4" t="str">
        <f>VLOOKUP(L140,Products!$A$2:$G$49,2,0)</f>
        <v>Excelsa</v>
      </c>
      <c r="N140" s="4" t="str">
        <f>VLOOKUP(L140,Products!$A$2:$G$49,3,0)</f>
        <v>Dark</v>
      </c>
      <c r="O140" s="25">
        <v>4</v>
      </c>
      <c r="P140" s="5">
        <f>INDEX([1]products!$A$1:$G$49,MATCH([1]orders!$D140,[1]products!$A$1:$A$49,0),MATCH([1]orders!K$1,[1]products!$A$1:$G$1,0))</f>
        <v>1</v>
      </c>
      <c r="Q140" s="6">
        <f>INDEX([1]products!$A$1:$G$49,MATCH([1]orders!$D140,[1]products!$A$1:$A$49,0),MATCH([1]orders!L$1,[1]products!$A$1:$G$1,0))</f>
        <v>12.15</v>
      </c>
      <c r="R140" s="6">
        <f t="shared" si="10"/>
        <v>48.6</v>
      </c>
      <c r="S140">
        <f>VLOOKUP(L140,Products!$A$2:$G$49,7,0)</f>
        <v>1.3365</v>
      </c>
      <c r="T140">
        <f t="shared" si="13"/>
        <v>5.3460000000000001</v>
      </c>
      <c r="U140" s="33">
        <f t="shared" si="14"/>
        <v>11</v>
      </c>
    </row>
    <row r="141" spans="1:21" x14ac:dyDescent="0.25">
      <c r="A141" s="1" t="s">
        <v>307</v>
      </c>
      <c r="B141" s="28">
        <v>43509</v>
      </c>
      <c r="C141" s="21" t="str">
        <f t="shared" si="11"/>
        <v>2019</v>
      </c>
      <c r="D141" s="19" t="str">
        <f t="shared" si="12"/>
        <v>February</v>
      </c>
      <c r="E141" s="3" t="s">
        <v>308</v>
      </c>
      <c r="F141" s="3" t="str">
        <f>VLOOKUP(E141,Customers!$A$2:$I$1001,2,0)</f>
        <v>Rivy Farington</v>
      </c>
      <c r="G141" s="3" t="str">
        <f>VLOOKUP(E141,Customers!$A$2:$I$1001,3,0)</f>
        <v>UNKNOWN</v>
      </c>
      <c r="H141" s="3" t="str">
        <f>VLOOKUP(E141,Customers!$A$2:$I$1001,4,0)</f>
        <v>+1 (951) 638-0879</v>
      </c>
      <c r="I141" s="25" t="str">
        <f>VLOOKUP(E141,Customers!$A$2:$I$1001,6,0)</f>
        <v>Corona</v>
      </c>
      <c r="J141" s="25" t="str">
        <f>VLOOKUP(E141,Customers!$A$2:$I$1001,7,0)</f>
        <v>United States</v>
      </c>
      <c r="K141" s="23" t="str">
        <f>VLOOKUP(E141,Customers!$A$2:$I$1001,9,0)</f>
        <v>Yes</v>
      </c>
      <c r="L141" s="4" t="s">
        <v>13</v>
      </c>
      <c r="M141" s="4" t="str">
        <f>VLOOKUP(L141,Products!$A$2:$G$49,2,0)</f>
        <v>Liberica</v>
      </c>
      <c r="N141" s="4" t="str">
        <f>VLOOKUP(L141,Products!$A$2:$G$49,3,0)</f>
        <v>Dark</v>
      </c>
      <c r="O141" s="25">
        <v>6</v>
      </c>
      <c r="P141" s="5">
        <f>INDEX([1]products!$A$1:$G$49,MATCH([1]orders!$D141,[1]products!$A$1:$A$49,0),MATCH([1]orders!K$1,[1]products!$A$1:$G$1,0))</f>
        <v>1</v>
      </c>
      <c r="Q141" s="6">
        <f>INDEX([1]products!$A$1:$G$49,MATCH([1]orders!$D141,[1]products!$A$1:$A$49,0),MATCH([1]orders!L$1,[1]products!$A$1:$G$1,0))</f>
        <v>12.95</v>
      </c>
      <c r="R141" s="6">
        <f t="shared" si="10"/>
        <v>77.699999999999989</v>
      </c>
      <c r="S141">
        <f>VLOOKUP(L141,Products!$A$2:$G$49,7,0)</f>
        <v>1.6835</v>
      </c>
      <c r="T141">
        <f t="shared" si="13"/>
        <v>10.100999999999999</v>
      </c>
      <c r="U141" s="33">
        <f t="shared" si="14"/>
        <v>13</v>
      </c>
    </row>
    <row r="142" spans="1:21" x14ac:dyDescent="0.25">
      <c r="A142" s="1" t="s">
        <v>309</v>
      </c>
      <c r="B142" s="28">
        <v>44694</v>
      </c>
      <c r="C142" s="21" t="str">
        <f t="shared" si="11"/>
        <v>2022</v>
      </c>
      <c r="D142" s="19" t="str">
        <f t="shared" si="12"/>
        <v>May</v>
      </c>
      <c r="E142" s="3" t="s">
        <v>310</v>
      </c>
      <c r="F142" s="3" t="str">
        <f>VLOOKUP(E142,Customers!$A$2:$I$1001,2,0)</f>
        <v>Vallie Kundt</v>
      </c>
      <c r="G142" s="3" t="str">
        <f>VLOOKUP(E142,Customers!$A$2:$I$1001,3,0)</f>
        <v>vkundt3w@bigcartel.com</v>
      </c>
      <c r="H142" s="3" t="str">
        <f>VLOOKUP(E142,Customers!$A$2:$I$1001,4,0)</f>
        <v>+353 (472) 791-2507</v>
      </c>
      <c r="I142" s="25" t="str">
        <f>VLOOKUP(E142,Customers!$A$2:$I$1001,6,0)</f>
        <v>Ballivor</v>
      </c>
      <c r="J142" s="25" t="str">
        <f>VLOOKUP(E142,Customers!$A$2:$I$1001,7,0)</f>
        <v>Ireland</v>
      </c>
      <c r="K142" s="23" t="str">
        <f>VLOOKUP(E142,Customers!$A$2:$I$1001,9,0)</f>
        <v>Yes</v>
      </c>
      <c r="L142" s="4" t="s">
        <v>109</v>
      </c>
      <c r="M142" s="4" t="str">
        <f>VLOOKUP(L142,Products!$A$2:$G$49,2,0)</f>
        <v>Liberica</v>
      </c>
      <c r="N142" s="4" t="str">
        <f>VLOOKUP(L142,Products!$A$2:$G$49,3,0)</f>
        <v>Dark</v>
      </c>
      <c r="O142" s="25">
        <v>1</v>
      </c>
      <c r="P142" s="5">
        <f>INDEX([1]products!$A$1:$G$49,MATCH([1]orders!$D142,[1]products!$A$1:$A$49,0),MATCH([1]orders!K$1,[1]products!$A$1:$G$1,0))</f>
        <v>2.5</v>
      </c>
      <c r="Q142" s="6">
        <f>INDEX([1]products!$A$1:$G$49,MATCH([1]orders!$D142,[1]products!$A$1:$A$49,0),MATCH([1]orders!L$1,[1]products!$A$1:$G$1,0))</f>
        <v>29.784999999999997</v>
      </c>
      <c r="R142" s="6">
        <f t="shared" si="10"/>
        <v>29.784999999999997</v>
      </c>
      <c r="S142">
        <f>VLOOKUP(L142,Products!$A$2:$G$49,7,0)</f>
        <v>3.8720499999999998</v>
      </c>
      <c r="T142">
        <f t="shared" si="13"/>
        <v>3.8720499999999998</v>
      </c>
      <c r="U142" s="33">
        <f t="shared" si="14"/>
        <v>13</v>
      </c>
    </row>
    <row r="143" spans="1:21" x14ac:dyDescent="0.25">
      <c r="A143" s="1" t="s">
        <v>311</v>
      </c>
      <c r="B143" s="28">
        <v>43970</v>
      </c>
      <c r="C143" s="21" t="str">
        <f t="shared" si="11"/>
        <v>2020</v>
      </c>
      <c r="D143" s="19" t="str">
        <f t="shared" si="12"/>
        <v>May</v>
      </c>
      <c r="E143" s="3" t="s">
        <v>312</v>
      </c>
      <c r="F143" s="3" t="str">
        <f>VLOOKUP(E143,Customers!$A$2:$I$1001,2,0)</f>
        <v>Boyd Bett</v>
      </c>
      <c r="G143" s="3" t="str">
        <f>VLOOKUP(E143,Customers!$A$2:$I$1001,3,0)</f>
        <v>bbett3x@google.de</v>
      </c>
      <c r="H143" s="3" t="str">
        <f>VLOOKUP(E143,Customers!$A$2:$I$1001,4,0)</f>
        <v>+1 (202) 632-9905</v>
      </c>
      <c r="I143" s="25" t="str">
        <f>VLOOKUP(E143,Customers!$A$2:$I$1001,6,0)</f>
        <v>Washington</v>
      </c>
      <c r="J143" s="25" t="str">
        <f>VLOOKUP(E143,Customers!$A$2:$I$1001,7,0)</f>
        <v>United States</v>
      </c>
      <c r="K143" s="23" t="str">
        <f>VLOOKUP(E143,Customers!$A$2:$I$1001,9,0)</f>
        <v>Yes</v>
      </c>
      <c r="L143" s="4" t="s">
        <v>115</v>
      </c>
      <c r="M143" s="4" t="str">
        <f>VLOOKUP(L143,Products!$A$2:$G$49,2,0)</f>
        <v>Arabica</v>
      </c>
      <c r="N143" s="4" t="str">
        <f>VLOOKUP(L143,Products!$A$2:$G$49,3,0)</f>
        <v>Light</v>
      </c>
      <c r="O143" s="25">
        <v>4</v>
      </c>
      <c r="P143" s="5">
        <f>INDEX([1]products!$A$1:$G$49,MATCH([1]orders!$D143,[1]products!$A$1:$A$49,0),MATCH([1]orders!K$1,[1]products!$A$1:$G$1,0))</f>
        <v>0.2</v>
      </c>
      <c r="Q143" s="6">
        <f>INDEX([1]products!$A$1:$G$49,MATCH([1]orders!$D143,[1]products!$A$1:$A$49,0),MATCH([1]orders!L$1,[1]products!$A$1:$G$1,0))</f>
        <v>3.8849999999999998</v>
      </c>
      <c r="R143" s="6">
        <f t="shared" si="10"/>
        <v>15.54</v>
      </c>
      <c r="S143">
        <f>VLOOKUP(L143,Products!$A$2:$G$49,7,0)</f>
        <v>0.34964999999999996</v>
      </c>
      <c r="T143">
        <f t="shared" si="13"/>
        <v>1.3985999999999998</v>
      </c>
      <c r="U143" s="33">
        <f t="shared" si="14"/>
        <v>9</v>
      </c>
    </row>
    <row r="144" spans="1:21" x14ac:dyDescent="0.25">
      <c r="A144" s="1" t="s">
        <v>313</v>
      </c>
      <c r="B144" s="28">
        <v>44678</v>
      </c>
      <c r="C144" s="21" t="str">
        <f t="shared" si="11"/>
        <v>2022</v>
      </c>
      <c r="D144" s="19" t="str">
        <f t="shared" si="12"/>
        <v>April</v>
      </c>
      <c r="E144" s="3" t="s">
        <v>314</v>
      </c>
      <c r="F144" s="3" t="str">
        <f>VLOOKUP(E144,Customers!$A$2:$I$1001,2,0)</f>
        <v>Julio Armytage</v>
      </c>
      <c r="G144" s="3" t="str">
        <f>VLOOKUP(E144,Customers!$A$2:$I$1001,3,0)</f>
        <v>UNKNOWN</v>
      </c>
      <c r="H144" s="3" t="str">
        <f>VLOOKUP(E144,Customers!$A$2:$I$1001,4,0)</f>
        <v>UNKNOWN</v>
      </c>
      <c r="I144" s="25" t="str">
        <f>VLOOKUP(E144,Customers!$A$2:$I$1001,6,0)</f>
        <v>Portumna</v>
      </c>
      <c r="J144" s="25" t="str">
        <f>VLOOKUP(E144,Customers!$A$2:$I$1001,7,0)</f>
        <v>Ireland</v>
      </c>
      <c r="K144" s="23" t="str">
        <f>VLOOKUP(E144,Customers!$A$2:$I$1001,9,0)</f>
        <v>Yes</v>
      </c>
      <c r="L144" s="4" t="s">
        <v>30</v>
      </c>
      <c r="M144" s="4" t="str">
        <f>VLOOKUP(L144,Products!$A$2:$G$49,2,0)</f>
        <v>Excelsa</v>
      </c>
      <c r="N144" s="4" t="str">
        <f>VLOOKUP(L144,Products!$A$2:$G$49,3,0)</f>
        <v>Light</v>
      </c>
      <c r="O144" s="25">
        <v>4</v>
      </c>
      <c r="P144" s="5">
        <f>INDEX([1]products!$A$1:$G$49,MATCH([1]orders!$D144,[1]products!$A$1:$A$49,0),MATCH([1]orders!K$1,[1]products!$A$1:$G$1,0))</f>
        <v>2.5</v>
      </c>
      <c r="Q144" s="6">
        <f>INDEX([1]products!$A$1:$G$49,MATCH([1]orders!$D144,[1]products!$A$1:$A$49,0),MATCH([1]orders!L$1,[1]products!$A$1:$G$1,0))</f>
        <v>34.154999999999994</v>
      </c>
      <c r="R144" s="6">
        <f t="shared" si="10"/>
        <v>136.61999999999998</v>
      </c>
      <c r="S144">
        <f>VLOOKUP(L144,Products!$A$2:$G$49,7,0)</f>
        <v>3.7570499999999996</v>
      </c>
      <c r="T144">
        <f t="shared" si="13"/>
        <v>15.028199999999998</v>
      </c>
      <c r="U144" s="33">
        <f t="shared" si="14"/>
        <v>11</v>
      </c>
    </row>
    <row r="145" spans="1:21" x14ac:dyDescent="0.25">
      <c r="A145" s="1" t="s">
        <v>315</v>
      </c>
      <c r="B145" s="28">
        <v>44083</v>
      </c>
      <c r="C145" s="21" t="str">
        <f t="shared" si="11"/>
        <v>2020</v>
      </c>
      <c r="D145" s="19" t="str">
        <f t="shared" si="12"/>
        <v>September</v>
      </c>
      <c r="E145" s="3" t="s">
        <v>316</v>
      </c>
      <c r="F145" s="3" t="str">
        <f>VLOOKUP(E145,Customers!$A$2:$I$1001,2,0)</f>
        <v>Deana Staite</v>
      </c>
      <c r="G145" s="3" t="str">
        <f>VLOOKUP(E145,Customers!$A$2:$I$1001,3,0)</f>
        <v>dstaite3z@scientificamerican.com</v>
      </c>
      <c r="H145" s="3" t="str">
        <f>VLOOKUP(E145,Customers!$A$2:$I$1001,4,0)</f>
        <v>+1 (713) 478-3937</v>
      </c>
      <c r="I145" s="25" t="str">
        <f>VLOOKUP(E145,Customers!$A$2:$I$1001,6,0)</f>
        <v>Houston</v>
      </c>
      <c r="J145" s="25" t="str">
        <f>VLOOKUP(E145,Customers!$A$2:$I$1001,7,0)</f>
        <v>United States</v>
      </c>
      <c r="K145" s="23" t="str">
        <f>VLOOKUP(E145,Customers!$A$2:$I$1001,9,0)</f>
        <v>No</v>
      </c>
      <c r="L145" s="4" t="s">
        <v>78</v>
      </c>
      <c r="M145" s="4" t="str">
        <f>VLOOKUP(L145,Products!$A$2:$G$49,2,0)</f>
        <v>Liberica</v>
      </c>
      <c r="N145" s="4" t="str">
        <f>VLOOKUP(L145,Products!$A$2:$G$49,3,0)</f>
        <v>Medium</v>
      </c>
      <c r="O145" s="25">
        <v>2</v>
      </c>
      <c r="P145" s="5">
        <f>INDEX([1]products!$A$1:$G$49,MATCH([1]orders!$D145,[1]products!$A$1:$A$49,0),MATCH([1]orders!K$1,[1]products!$A$1:$G$1,0))</f>
        <v>0.5</v>
      </c>
      <c r="Q145" s="6">
        <f>INDEX([1]products!$A$1:$G$49,MATCH([1]orders!$D145,[1]products!$A$1:$A$49,0),MATCH([1]orders!L$1,[1]products!$A$1:$G$1,0))</f>
        <v>8.73</v>
      </c>
      <c r="R145" s="6">
        <f t="shared" si="10"/>
        <v>17.46</v>
      </c>
      <c r="S145">
        <f>VLOOKUP(L145,Products!$A$2:$G$49,7,0)</f>
        <v>1.1349</v>
      </c>
      <c r="T145">
        <f t="shared" si="13"/>
        <v>2.2698</v>
      </c>
      <c r="U145" s="33">
        <f t="shared" si="14"/>
        <v>13</v>
      </c>
    </row>
    <row r="146" spans="1:21" x14ac:dyDescent="0.25">
      <c r="A146" s="1" t="s">
        <v>317</v>
      </c>
      <c r="B146" s="28">
        <v>44265</v>
      </c>
      <c r="C146" s="21" t="str">
        <f t="shared" si="11"/>
        <v>2021</v>
      </c>
      <c r="D146" s="19" t="str">
        <f t="shared" si="12"/>
        <v>March</v>
      </c>
      <c r="E146" s="3" t="s">
        <v>318</v>
      </c>
      <c r="F146" s="3" t="str">
        <f>VLOOKUP(E146,Customers!$A$2:$I$1001,2,0)</f>
        <v>Winn Keyse</v>
      </c>
      <c r="G146" s="3" t="str">
        <f>VLOOKUP(E146,Customers!$A$2:$I$1001,3,0)</f>
        <v>wkeyse40@apple.com</v>
      </c>
      <c r="H146" s="3" t="str">
        <f>VLOOKUP(E146,Customers!$A$2:$I$1001,4,0)</f>
        <v>+1 (650) 947-8867</v>
      </c>
      <c r="I146" s="25" t="str">
        <f>VLOOKUP(E146,Customers!$A$2:$I$1001,6,0)</f>
        <v>Orange</v>
      </c>
      <c r="J146" s="25" t="str">
        <f>VLOOKUP(E146,Customers!$A$2:$I$1001,7,0)</f>
        <v>United States</v>
      </c>
      <c r="K146" s="23" t="str">
        <f>VLOOKUP(E146,Customers!$A$2:$I$1001,9,0)</f>
        <v>Yes</v>
      </c>
      <c r="L146" s="4" t="s">
        <v>30</v>
      </c>
      <c r="M146" s="4" t="str">
        <f>VLOOKUP(L146,Products!$A$2:$G$49,2,0)</f>
        <v>Excelsa</v>
      </c>
      <c r="N146" s="4" t="str">
        <f>VLOOKUP(L146,Products!$A$2:$G$49,3,0)</f>
        <v>Light</v>
      </c>
      <c r="O146" s="25">
        <v>2</v>
      </c>
      <c r="P146" s="5">
        <f>INDEX([1]products!$A$1:$G$49,MATCH([1]orders!$D146,[1]products!$A$1:$A$49,0),MATCH([1]orders!K$1,[1]products!$A$1:$G$1,0))</f>
        <v>2.5</v>
      </c>
      <c r="Q146" s="6">
        <f>INDEX([1]products!$A$1:$G$49,MATCH([1]orders!$D146,[1]products!$A$1:$A$49,0),MATCH([1]orders!L$1,[1]products!$A$1:$G$1,0))</f>
        <v>34.154999999999994</v>
      </c>
      <c r="R146" s="6">
        <f t="shared" si="10"/>
        <v>68.309999999999988</v>
      </c>
      <c r="S146">
        <f>VLOOKUP(L146,Products!$A$2:$G$49,7,0)</f>
        <v>3.7570499999999996</v>
      </c>
      <c r="T146">
        <f t="shared" si="13"/>
        <v>7.5140999999999991</v>
      </c>
      <c r="U146" s="33">
        <f t="shared" si="14"/>
        <v>11</v>
      </c>
    </row>
    <row r="147" spans="1:21" x14ac:dyDescent="0.25">
      <c r="A147" s="1" t="s">
        <v>319</v>
      </c>
      <c r="B147" s="28">
        <v>43562</v>
      </c>
      <c r="C147" s="21" t="str">
        <f t="shared" si="11"/>
        <v>2019</v>
      </c>
      <c r="D147" s="19" t="str">
        <f t="shared" si="12"/>
        <v>April</v>
      </c>
      <c r="E147" s="3" t="s">
        <v>320</v>
      </c>
      <c r="F147" s="3" t="str">
        <f>VLOOKUP(E147,Customers!$A$2:$I$1001,2,0)</f>
        <v>Osmund Clausen-Thue</v>
      </c>
      <c r="G147" s="3" t="str">
        <f>VLOOKUP(E147,Customers!$A$2:$I$1001,3,0)</f>
        <v>oclausenthue41@marriott.com</v>
      </c>
      <c r="H147" s="3" t="str">
        <f>VLOOKUP(E147,Customers!$A$2:$I$1001,4,0)</f>
        <v>+1 (915) 558-6109</v>
      </c>
      <c r="I147" s="25" t="str">
        <f>VLOOKUP(E147,Customers!$A$2:$I$1001,6,0)</f>
        <v>El Paso</v>
      </c>
      <c r="J147" s="25" t="str">
        <f>VLOOKUP(E147,Customers!$A$2:$I$1001,7,0)</f>
        <v>United States</v>
      </c>
      <c r="K147" s="23" t="str">
        <f>VLOOKUP(E147,Customers!$A$2:$I$1001,9,0)</f>
        <v>No</v>
      </c>
      <c r="L147" s="4" t="s">
        <v>77</v>
      </c>
      <c r="M147" s="4" t="str">
        <f>VLOOKUP(L147,Products!$A$2:$G$49,2,0)</f>
        <v>Liberica</v>
      </c>
      <c r="N147" s="4" t="str">
        <f>VLOOKUP(L147,Products!$A$2:$G$49,3,0)</f>
        <v>Medium</v>
      </c>
      <c r="O147" s="25">
        <v>4</v>
      </c>
      <c r="P147" s="5">
        <f>INDEX([1]products!$A$1:$G$49,MATCH([1]orders!$D147,[1]products!$A$1:$A$49,0),MATCH([1]orders!K$1,[1]products!$A$1:$G$1,0))</f>
        <v>0.2</v>
      </c>
      <c r="Q147" s="6">
        <f>INDEX([1]products!$A$1:$G$49,MATCH([1]orders!$D147,[1]products!$A$1:$A$49,0),MATCH([1]orders!L$1,[1]products!$A$1:$G$1,0))</f>
        <v>4.3650000000000002</v>
      </c>
      <c r="R147" s="6">
        <f t="shared" si="10"/>
        <v>17.46</v>
      </c>
      <c r="S147">
        <f>VLOOKUP(L147,Products!$A$2:$G$49,7,0)</f>
        <v>0.56745000000000001</v>
      </c>
      <c r="T147">
        <f t="shared" si="13"/>
        <v>2.2698</v>
      </c>
      <c r="U147" s="33">
        <f t="shared" si="14"/>
        <v>13</v>
      </c>
    </row>
    <row r="148" spans="1:21" x14ac:dyDescent="0.25">
      <c r="A148" s="1" t="s">
        <v>321</v>
      </c>
      <c r="B148" s="28">
        <v>44024</v>
      </c>
      <c r="C148" s="21" t="str">
        <f t="shared" si="11"/>
        <v>2020</v>
      </c>
      <c r="D148" s="19" t="str">
        <f t="shared" si="12"/>
        <v>July</v>
      </c>
      <c r="E148" s="3" t="s">
        <v>322</v>
      </c>
      <c r="F148" s="3" t="str">
        <f>VLOOKUP(E148,Customers!$A$2:$I$1001,2,0)</f>
        <v>Leonore Francisco</v>
      </c>
      <c r="G148" s="3" t="str">
        <f>VLOOKUP(E148,Customers!$A$2:$I$1001,3,0)</f>
        <v>lfrancisco42@fema.gov</v>
      </c>
      <c r="H148" s="3" t="str">
        <f>VLOOKUP(E148,Customers!$A$2:$I$1001,4,0)</f>
        <v>+1 (775) 346-9758</v>
      </c>
      <c r="I148" s="25" t="str">
        <f>VLOOKUP(E148,Customers!$A$2:$I$1001,6,0)</f>
        <v>Carson City</v>
      </c>
      <c r="J148" s="25" t="str">
        <f>VLOOKUP(E148,Customers!$A$2:$I$1001,7,0)</f>
        <v>United States</v>
      </c>
      <c r="K148" s="23" t="str">
        <f>VLOOKUP(E148,Customers!$A$2:$I$1001,9,0)</f>
        <v>No</v>
      </c>
      <c r="L148" s="4" t="s">
        <v>96</v>
      </c>
      <c r="M148" s="4" t="str">
        <f>VLOOKUP(L148,Products!$A$2:$G$49,2,0)</f>
        <v>Liberica</v>
      </c>
      <c r="N148" s="4" t="str">
        <f>VLOOKUP(L148,Products!$A$2:$G$49,3,0)</f>
        <v>Medium</v>
      </c>
      <c r="O148" s="25">
        <v>3</v>
      </c>
      <c r="P148" s="5">
        <f>INDEX([1]products!$A$1:$G$49,MATCH([1]orders!$D148,[1]products!$A$1:$A$49,0),MATCH([1]orders!K$1,[1]products!$A$1:$G$1,0))</f>
        <v>1</v>
      </c>
      <c r="Q148" s="6">
        <f>INDEX([1]products!$A$1:$G$49,MATCH([1]orders!$D148,[1]products!$A$1:$A$49,0),MATCH([1]orders!L$1,[1]products!$A$1:$G$1,0))</f>
        <v>14.55</v>
      </c>
      <c r="R148" s="6">
        <f t="shared" si="10"/>
        <v>43.650000000000006</v>
      </c>
      <c r="S148">
        <f>VLOOKUP(L148,Products!$A$2:$G$49,7,0)</f>
        <v>1.8915000000000002</v>
      </c>
      <c r="T148">
        <f t="shared" si="13"/>
        <v>5.6745000000000001</v>
      </c>
      <c r="U148" s="33">
        <f t="shared" si="14"/>
        <v>12.999999999999998</v>
      </c>
    </row>
    <row r="149" spans="1:21" x14ac:dyDescent="0.25">
      <c r="A149" s="1" t="s">
        <v>321</v>
      </c>
      <c r="B149" s="28">
        <v>44024</v>
      </c>
      <c r="C149" s="21" t="str">
        <f t="shared" si="11"/>
        <v>2020</v>
      </c>
      <c r="D149" s="19" t="str">
        <f t="shared" si="12"/>
        <v>July</v>
      </c>
      <c r="E149" s="3" t="s">
        <v>322</v>
      </c>
      <c r="F149" s="3" t="str">
        <f>VLOOKUP(E149,Customers!$A$2:$I$1001,2,0)</f>
        <v>Leonore Francisco</v>
      </c>
      <c r="G149" s="3" t="str">
        <f>VLOOKUP(E149,Customers!$A$2:$I$1001,3,0)</f>
        <v>lfrancisco42@fema.gov</v>
      </c>
      <c r="H149" s="3" t="str">
        <f>VLOOKUP(E149,Customers!$A$2:$I$1001,4,0)</f>
        <v>+1 (775) 346-9758</v>
      </c>
      <c r="I149" s="25" t="str">
        <f>VLOOKUP(E149,Customers!$A$2:$I$1001,6,0)</f>
        <v>Carson City</v>
      </c>
      <c r="J149" s="25" t="str">
        <f>VLOOKUP(E149,Customers!$A$2:$I$1001,7,0)</f>
        <v>United States</v>
      </c>
      <c r="K149" s="23" t="str">
        <f>VLOOKUP(E149,Customers!$A$2:$I$1001,9,0)</f>
        <v>No</v>
      </c>
      <c r="L149" s="4" t="s">
        <v>9</v>
      </c>
      <c r="M149" s="4" t="str">
        <f>VLOOKUP(L149,Products!$A$2:$G$49,2,0)</f>
        <v>Excelsa</v>
      </c>
      <c r="N149" s="4" t="str">
        <f>VLOOKUP(L149,Products!$A$2:$G$49,3,0)</f>
        <v>Medium</v>
      </c>
      <c r="O149" s="25">
        <v>2</v>
      </c>
      <c r="P149" s="5">
        <f>INDEX([1]products!$A$1:$G$49,MATCH([1]orders!$D149,[1]products!$A$1:$A$49,0),MATCH([1]orders!K$1,[1]products!$A$1:$G$1,0))</f>
        <v>1</v>
      </c>
      <c r="Q149" s="6">
        <f>INDEX([1]products!$A$1:$G$49,MATCH([1]orders!$D149,[1]products!$A$1:$A$49,0),MATCH([1]orders!L$1,[1]products!$A$1:$G$1,0))</f>
        <v>13.75</v>
      </c>
      <c r="R149" s="6">
        <f t="shared" si="10"/>
        <v>27.5</v>
      </c>
      <c r="S149">
        <f>VLOOKUP(L149,Products!$A$2:$G$49,7,0)</f>
        <v>1.5125</v>
      </c>
      <c r="T149">
        <f t="shared" si="13"/>
        <v>3.0249999999999999</v>
      </c>
      <c r="U149" s="33">
        <f t="shared" si="14"/>
        <v>11</v>
      </c>
    </row>
    <row r="150" spans="1:21" x14ac:dyDescent="0.25">
      <c r="A150" s="1" t="s">
        <v>323</v>
      </c>
      <c r="B150" s="28">
        <v>44551</v>
      </c>
      <c r="C150" s="21" t="str">
        <f t="shared" si="11"/>
        <v>2021</v>
      </c>
      <c r="D150" s="19" t="str">
        <f t="shared" si="12"/>
        <v>December</v>
      </c>
      <c r="E150" s="3" t="s">
        <v>324</v>
      </c>
      <c r="F150" s="3" t="str">
        <f>VLOOKUP(E150,Customers!$A$2:$I$1001,2,0)</f>
        <v>Giacobo Skingle</v>
      </c>
      <c r="G150" s="3" t="str">
        <f>VLOOKUP(E150,Customers!$A$2:$I$1001,3,0)</f>
        <v>gskingle44@clickbank.net</v>
      </c>
      <c r="H150" s="3" t="str">
        <f>VLOOKUP(E150,Customers!$A$2:$I$1001,4,0)</f>
        <v>+1 (801) 886-5886</v>
      </c>
      <c r="I150" s="25" t="str">
        <f>VLOOKUP(E150,Customers!$A$2:$I$1001,6,0)</f>
        <v>Provo</v>
      </c>
      <c r="J150" s="25" t="str">
        <f>VLOOKUP(E150,Customers!$A$2:$I$1001,7,0)</f>
        <v>United States</v>
      </c>
      <c r="K150" s="23" t="str">
        <f>VLOOKUP(E150,Customers!$A$2:$I$1001,9,0)</f>
        <v>Yes</v>
      </c>
      <c r="L150" s="4" t="s">
        <v>51</v>
      </c>
      <c r="M150" s="4" t="str">
        <f>VLOOKUP(L150,Products!$A$2:$G$49,2,0)</f>
        <v>Excelsa</v>
      </c>
      <c r="N150" s="4" t="str">
        <f>VLOOKUP(L150,Products!$A$2:$G$49,3,0)</f>
        <v>Dark</v>
      </c>
      <c r="O150" s="25">
        <v>5</v>
      </c>
      <c r="P150" s="5">
        <f>INDEX([1]products!$A$1:$G$49,MATCH([1]orders!$D150,[1]products!$A$1:$A$49,0),MATCH([1]orders!K$1,[1]products!$A$1:$G$1,0))</f>
        <v>0.2</v>
      </c>
      <c r="Q150" s="6">
        <f>INDEX([1]products!$A$1:$G$49,MATCH([1]orders!$D150,[1]products!$A$1:$A$49,0),MATCH([1]orders!L$1,[1]products!$A$1:$G$1,0))</f>
        <v>3.645</v>
      </c>
      <c r="R150" s="6">
        <f t="shared" si="10"/>
        <v>18.225000000000001</v>
      </c>
      <c r="S150">
        <f>VLOOKUP(L150,Products!$A$2:$G$49,7,0)</f>
        <v>0.40095000000000003</v>
      </c>
      <c r="T150">
        <f t="shared" si="13"/>
        <v>2.00475</v>
      </c>
      <c r="U150" s="33">
        <f t="shared" si="14"/>
        <v>10.999999999999998</v>
      </c>
    </row>
    <row r="151" spans="1:21" x14ac:dyDescent="0.25">
      <c r="A151" s="1" t="s">
        <v>325</v>
      </c>
      <c r="B151" s="28">
        <v>44108</v>
      </c>
      <c r="C151" s="21" t="str">
        <f t="shared" si="11"/>
        <v>2020</v>
      </c>
      <c r="D151" s="19" t="str">
        <f t="shared" si="12"/>
        <v>October</v>
      </c>
      <c r="E151" s="3" t="s">
        <v>326</v>
      </c>
      <c r="F151" s="3" t="str">
        <f>VLOOKUP(E151,Customers!$A$2:$I$1001,2,0)</f>
        <v>Gerard Pirdy</v>
      </c>
      <c r="G151" s="3" t="str">
        <f>VLOOKUP(E151,Customers!$A$2:$I$1001,3,0)</f>
        <v>UNKNOWN</v>
      </c>
      <c r="H151" s="3" t="str">
        <f>VLOOKUP(E151,Customers!$A$2:$I$1001,4,0)</f>
        <v>+1 (305) 345-2788</v>
      </c>
      <c r="I151" s="25" t="str">
        <f>VLOOKUP(E151,Customers!$A$2:$I$1001,6,0)</f>
        <v>Boca Raton</v>
      </c>
      <c r="J151" s="25" t="str">
        <f>VLOOKUP(E151,Customers!$A$2:$I$1001,7,0)</f>
        <v>United States</v>
      </c>
      <c r="K151" s="23" t="str">
        <f>VLOOKUP(E151,Customers!$A$2:$I$1001,9,0)</f>
        <v>Yes</v>
      </c>
      <c r="L151" s="4" t="s">
        <v>171</v>
      </c>
      <c r="M151" s="4" t="str">
        <f>VLOOKUP(L151,Products!$A$2:$G$49,2,0)</f>
        <v>Arabica</v>
      </c>
      <c r="N151" s="4" t="str">
        <f>VLOOKUP(L151,Products!$A$2:$G$49,3,0)</f>
        <v>Medium</v>
      </c>
      <c r="O151" s="25">
        <v>2</v>
      </c>
      <c r="P151" s="5">
        <f>INDEX([1]products!$A$1:$G$49,MATCH([1]orders!$D151,[1]products!$A$1:$A$49,0),MATCH([1]orders!K$1,[1]products!$A$1:$G$1,0))</f>
        <v>2.5</v>
      </c>
      <c r="Q151" s="6">
        <f>INDEX([1]products!$A$1:$G$49,MATCH([1]orders!$D151,[1]products!$A$1:$A$49,0),MATCH([1]orders!L$1,[1]products!$A$1:$G$1,0))</f>
        <v>25.874999999999996</v>
      </c>
      <c r="R151" s="6">
        <f t="shared" si="10"/>
        <v>51.749999999999993</v>
      </c>
      <c r="S151">
        <f>VLOOKUP(L151,Products!$A$2:$G$49,7,0)</f>
        <v>2.3287499999999994</v>
      </c>
      <c r="T151">
        <f t="shared" si="13"/>
        <v>4.6574999999999989</v>
      </c>
      <c r="U151" s="33">
        <f t="shared" si="14"/>
        <v>9</v>
      </c>
    </row>
    <row r="152" spans="1:21" x14ac:dyDescent="0.25">
      <c r="A152" s="1" t="s">
        <v>327</v>
      </c>
      <c r="B152" s="28">
        <v>44051</v>
      </c>
      <c r="C152" s="21" t="str">
        <f t="shared" si="11"/>
        <v>2020</v>
      </c>
      <c r="D152" s="19" t="str">
        <f t="shared" si="12"/>
        <v>August</v>
      </c>
      <c r="E152" s="3" t="s">
        <v>328</v>
      </c>
      <c r="F152" s="3" t="str">
        <f>VLOOKUP(E152,Customers!$A$2:$I$1001,2,0)</f>
        <v>Jacinthe Balsillie</v>
      </c>
      <c r="G152" s="3" t="str">
        <f>VLOOKUP(E152,Customers!$A$2:$I$1001,3,0)</f>
        <v>jbalsillie46@princeton.edu</v>
      </c>
      <c r="H152" s="3" t="str">
        <f>VLOOKUP(E152,Customers!$A$2:$I$1001,4,0)</f>
        <v>+1 (540) 905-2213</v>
      </c>
      <c r="I152" s="25" t="str">
        <f>VLOOKUP(E152,Customers!$A$2:$I$1001,6,0)</f>
        <v>Roanoke</v>
      </c>
      <c r="J152" s="25" t="str">
        <f>VLOOKUP(E152,Customers!$A$2:$I$1001,7,0)</f>
        <v>United States</v>
      </c>
      <c r="K152" s="23" t="str">
        <f>VLOOKUP(E152,Customers!$A$2:$I$1001,9,0)</f>
        <v>Yes</v>
      </c>
      <c r="L152" s="4" t="s">
        <v>13</v>
      </c>
      <c r="M152" s="4" t="str">
        <f>VLOOKUP(L152,Products!$A$2:$G$49,2,0)</f>
        <v>Liberica</v>
      </c>
      <c r="N152" s="4" t="str">
        <f>VLOOKUP(L152,Products!$A$2:$G$49,3,0)</f>
        <v>Dark</v>
      </c>
      <c r="O152" s="25">
        <v>1</v>
      </c>
      <c r="P152" s="5">
        <f>INDEX([1]products!$A$1:$G$49,MATCH([1]orders!$D152,[1]products!$A$1:$A$49,0),MATCH([1]orders!K$1,[1]products!$A$1:$G$1,0))</f>
        <v>1</v>
      </c>
      <c r="Q152" s="6">
        <f>INDEX([1]products!$A$1:$G$49,MATCH([1]orders!$D152,[1]products!$A$1:$A$49,0),MATCH([1]orders!L$1,[1]products!$A$1:$G$1,0))</f>
        <v>12.95</v>
      </c>
      <c r="R152" s="6">
        <f t="shared" si="10"/>
        <v>12.95</v>
      </c>
      <c r="S152">
        <f>VLOOKUP(L152,Products!$A$2:$G$49,7,0)</f>
        <v>1.6835</v>
      </c>
      <c r="T152">
        <f t="shared" si="13"/>
        <v>1.6835</v>
      </c>
      <c r="U152" s="33">
        <f t="shared" si="14"/>
        <v>13</v>
      </c>
    </row>
    <row r="153" spans="1:21" x14ac:dyDescent="0.25">
      <c r="A153" s="1" t="s">
        <v>329</v>
      </c>
      <c r="B153" s="28">
        <v>44115</v>
      </c>
      <c r="C153" s="21" t="str">
        <f t="shared" si="11"/>
        <v>2020</v>
      </c>
      <c r="D153" s="19" t="str">
        <f t="shared" si="12"/>
        <v>October</v>
      </c>
      <c r="E153" s="3" t="s">
        <v>330</v>
      </c>
      <c r="F153" s="3" t="str">
        <f>VLOOKUP(E153,Customers!$A$2:$I$1001,2,0)</f>
        <v>Quinton Fouracres</v>
      </c>
      <c r="G153" s="3" t="str">
        <f>VLOOKUP(E153,Customers!$A$2:$I$1001,3,0)</f>
        <v>UNKNOWN</v>
      </c>
      <c r="H153" s="3" t="str">
        <f>VLOOKUP(E153,Customers!$A$2:$I$1001,4,0)</f>
        <v>+1 (515) 508-1573</v>
      </c>
      <c r="I153" s="25" t="str">
        <f>VLOOKUP(E153,Customers!$A$2:$I$1001,6,0)</f>
        <v>Des Moines</v>
      </c>
      <c r="J153" s="25" t="str">
        <f>VLOOKUP(E153,Customers!$A$2:$I$1001,7,0)</f>
        <v>United States</v>
      </c>
      <c r="K153" s="23" t="str">
        <f>VLOOKUP(E153,Customers!$A$2:$I$1001,9,0)</f>
        <v>Yes</v>
      </c>
      <c r="L153" s="4" t="s">
        <v>61</v>
      </c>
      <c r="M153" s="4" t="str">
        <f>VLOOKUP(L153,Products!$A$2:$G$49,2,0)</f>
        <v>Arabica</v>
      </c>
      <c r="N153" s="4" t="str">
        <f>VLOOKUP(L153,Products!$A$2:$G$49,3,0)</f>
        <v>Medium</v>
      </c>
      <c r="O153" s="25">
        <v>3</v>
      </c>
      <c r="P153" s="5">
        <f>INDEX([1]products!$A$1:$G$49,MATCH([1]orders!$D153,[1]products!$A$1:$A$49,0),MATCH([1]orders!K$1,[1]products!$A$1:$G$1,0))</f>
        <v>1</v>
      </c>
      <c r="Q153" s="6">
        <f>INDEX([1]products!$A$1:$G$49,MATCH([1]orders!$D153,[1]products!$A$1:$A$49,0),MATCH([1]orders!L$1,[1]products!$A$1:$G$1,0))</f>
        <v>11.25</v>
      </c>
      <c r="R153" s="6">
        <f t="shared" si="10"/>
        <v>33.75</v>
      </c>
      <c r="S153">
        <f>VLOOKUP(L153,Products!$A$2:$G$49,7,0)</f>
        <v>1.0125</v>
      </c>
      <c r="T153">
        <f t="shared" si="13"/>
        <v>3.0374999999999996</v>
      </c>
      <c r="U153" s="33">
        <f t="shared" si="14"/>
        <v>8.9999999999999982</v>
      </c>
    </row>
    <row r="154" spans="1:21" x14ac:dyDescent="0.25">
      <c r="A154" s="1" t="s">
        <v>331</v>
      </c>
      <c r="B154" s="28">
        <v>44510</v>
      </c>
      <c r="C154" s="21" t="str">
        <f t="shared" si="11"/>
        <v>2021</v>
      </c>
      <c r="D154" s="19" t="str">
        <f t="shared" si="12"/>
        <v>November</v>
      </c>
      <c r="E154" s="3" t="s">
        <v>332</v>
      </c>
      <c r="F154" s="3" t="str">
        <f>VLOOKUP(E154,Customers!$A$2:$I$1001,2,0)</f>
        <v>Bettina Leffek</v>
      </c>
      <c r="G154" s="3" t="str">
        <f>VLOOKUP(E154,Customers!$A$2:$I$1001,3,0)</f>
        <v>bleffek48@ning.com</v>
      </c>
      <c r="H154" s="3" t="str">
        <f>VLOOKUP(E154,Customers!$A$2:$I$1001,4,0)</f>
        <v>+1 (808) 815-3474</v>
      </c>
      <c r="I154" s="25" t="str">
        <f>VLOOKUP(E154,Customers!$A$2:$I$1001,6,0)</f>
        <v>Honolulu</v>
      </c>
      <c r="J154" s="25" t="str">
        <f>VLOOKUP(E154,Customers!$A$2:$I$1001,7,0)</f>
        <v>United States</v>
      </c>
      <c r="K154" s="23" t="str">
        <f>VLOOKUP(E154,Customers!$A$2:$I$1001,9,0)</f>
        <v>Yes</v>
      </c>
      <c r="L154" s="4" t="s">
        <v>41</v>
      </c>
      <c r="M154" s="4" t="str">
        <f>VLOOKUP(L154,Products!$A$2:$G$49,2,0)</f>
        <v>Robusta</v>
      </c>
      <c r="N154" s="4" t="str">
        <f>VLOOKUP(L154,Products!$A$2:$G$49,3,0)</f>
        <v>Medium</v>
      </c>
      <c r="O154" s="25">
        <v>3</v>
      </c>
      <c r="P154" s="5">
        <f>INDEX([1]products!$A$1:$G$49,MATCH([1]orders!$D154,[1]products!$A$1:$A$49,0),MATCH([1]orders!K$1,[1]products!$A$1:$G$1,0))</f>
        <v>2.5</v>
      </c>
      <c r="Q154" s="6">
        <f>INDEX([1]products!$A$1:$G$49,MATCH([1]orders!$D154,[1]products!$A$1:$A$49,0),MATCH([1]orders!L$1,[1]products!$A$1:$G$1,0))</f>
        <v>22.884999999999998</v>
      </c>
      <c r="R154" s="6">
        <f t="shared" si="10"/>
        <v>68.655000000000001</v>
      </c>
      <c r="S154">
        <f>VLOOKUP(L154,Products!$A$2:$G$49,7,0)</f>
        <v>1.3730999999999998</v>
      </c>
      <c r="T154">
        <f t="shared" si="13"/>
        <v>4.1192999999999991</v>
      </c>
      <c r="U154" s="33">
        <f t="shared" si="14"/>
        <v>5.9999999999999982</v>
      </c>
    </row>
    <row r="155" spans="1:21" x14ac:dyDescent="0.25">
      <c r="A155" s="1" t="s">
        <v>333</v>
      </c>
      <c r="B155" s="28">
        <v>44367</v>
      </c>
      <c r="C155" s="21" t="str">
        <f t="shared" si="11"/>
        <v>2021</v>
      </c>
      <c r="D155" s="19" t="str">
        <f t="shared" si="12"/>
        <v>June</v>
      </c>
      <c r="E155" s="3" t="s">
        <v>334</v>
      </c>
      <c r="F155" s="3" t="str">
        <f>VLOOKUP(E155,Customers!$A$2:$I$1001,2,0)</f>
        <v>Hetti Penson</v>
      </c>
      <c r="G155" s="3" t="str">
        <f>VLOOKUP(E155,Customers!$A$2:$I$1001,3,0)</f>
        <v>UNKNOWN</v>
      </c>
      <c r="H155" s="3" t="str">
        <f>VLOOKUP(E155,Customers!$A$2:$I$1001,4,0)</f>
        <v>+1 (754) 664-6126</v>
      </c>
      <c r="I155" s="25" t="str">
        <f>VLOOKUP(E155,Customers!$A$2:$I$1001,6,0)</f>
        <v>Fort Lauderdale</v>
      </c>
      <c r="J155" s="25" t="str">
        <f>VLOOKUP(E155,Customers!$A$2:$I$1001,7,0)</f>
        <v>United States</v>
      </c>
      <c r="K155" s="23" t="str">
        <f>VLOOKUP(E155,Customers!$A$2:$I$1001,9,0)</f>
        <v>No</v>
      </c>
      <c r="L155" s="4" t="s">
        <v>101</v>
      </c>
      <c r="M155" s="4" t="str">
        <f>VLOOKUP(L155,Products!$A$2:$G$49,2,0)</f>
        <v>Robusta</v>
      </c>
      <c r="N155" s="4" t="str">
        <f>VLOOKUP(L155,Products!$A$2:$G$49,3,0)</f>
        <v>Dark</v>
      </c>
      <c r="O155" s="25">
        <v>1</v>
      </c>
      <c r="P155" s="5">
        <f>INDEX([1]products!$A$1:$G$49,MATCH([1]orders!$D155,[1]products!$A$1:$A$49,0),MATCH([1]orders!K$1,[1]products!$A$1:$G$1,0))</f>
        <v>0.2</v>
      </c>
      <c r="Q155" s="6">
        <f>INDEX([1]products!$A$1:$G$49,MATCH([1]orders!$D155,[1]products!$A$1:$A$49,0),MATCH([1]orders!L$1,[1]products!$A$1:$G$1,0))</f>
        <v>2.6849999999999996</v>
      </c>
      <c r="R155" s="6">
        <f t="shared" si="10"/>
        <v>2.6849999999999996</v>
      </c>
      <c r="S155">
        <f>VLOOKUP(L155,Products!$A$2:$G$49,7,0)</f>
        <v>0.16109999999999997</v>
      </c>
      <c r="T155">
        <f t="shared" si="13"/>
        <v>0.16109999999999997</v>
      </c>
      <c r="U155" s="33">
        <f t="shared" si="14"/>
        <v>6</v>
      </c>
    </row>
    <row r="156" spans="1:21" x14ac:dyDescent="0.25">
      <c r="A156" s="1" t="s">
        <v>335</v>
      </c>
      <c r="B156" s="28">
        <v>44473</v>
      </c>
      <c r="C156" s="21" t="str">
        <f t="shared" si="11"/>
        <v>2021</v>
      </c>
      <c r="D156" s="19" t="str">
        <f t="shared" si="12"/>
        <v>October</v>
      </c>
      <c r="E156" s="3" t="s">
        <v>336</v>
      </c>
      <c r="F156" s="3" t="str">
        <f>VLOOKUP(E156,Customers!$A$2:$I$1001,2,0)</f>
        <v>Jocko Pray</v>
      </c>
      <c r="G156" s="3" t="str">
        <f>VLOOKUP(E156,Customers!$A$2:$I$1001,3,0)</f>
        <v>jpray4a@youtube.com</v>
      </c>
      <c r="H156" s="3" t="str">
        <f>VLOOKUP(E156,Customers!$A$2:$I$1001,4,0)</f>
        <v>+1 (215) 771-6504</v>
      </c>
      <c r="I156" s="25" t="str">
        <f>VLOOKUP(E156,Customers!$A$2:$I$1001,6,0)</f>
        <v>Philadelphia</v>
      </c>
      <c r="J156" s="25" t="str">
        <f>VLOOKUP(E156,Customers!$A$2:$I$1001,7,0)</f>
        <v>United States</v>
      </c>
      <c r="K156" s="23" t="str">
        <f>VLOOKUP(E156,Customers!$A$2:$I$1001,9,0)</f>
        <v>No</v>
      </c>
      <c r="L156" s="4" t="s">
        <v>118</v>
      </c>
      <c r="M156" s="4" t="str">
        <f>VLOOKUP(L156,Products!$A$2:$G$49,2,0)</f>
        <v>Arabica</v>
      </c>
      <c r="N156" s="4" t="str">
        <f>VLOOKUP(L156,Products!$A$2:$G$49,3,0)</f>
        <v>Dark</v>
      </c>
      <c r="O156" s="25">
        <v>5</v>
      </c>
      <c r="P156" s="5">
        <f>INDEX([1]products!$A$1:$G$49,MATCH([1]orders!$D156,[1]products!$A$1:$A$49,0),MATCH([1]orders!K$1,[1]products!$A$1:$G$1,0))</f>
        <v>2.5</v>
      </c>
      <c r="Q156" s="6">
        <f>INDEX([1]products!$A$1:$G$49,MATCH([1]orders!$D156,[1]products!$A$1:$A$49,0),MATCH([1]orders!L$1,[1]products!$A$1:$G$1,0))</f>
        <v>22.884999999999998</v>
      </c>
      <c r="R156" s="6">
        <f t="shared" si="10"/>
        <v>114.42499999999998</v>
      </c>
      <c r="S156">
        <f>VLOOKUP(L156,Products!$A$2:$G$49,7,0)</f>
        <v>2.0596499999999995</v>
      </c>
      <c r="T156">
        <f t="shared" si="13"/>
        <v>10.298249999999998</v>
      </c>
      <c r="U156" s="33">
        <f t="shared" si="14"/>
        <v>9</v>
      </c>
    </row>
    <row r="157" spans="1:21" x14ac:dyDescent="0.25">
      <c r="A157" s="1" t="s">
        <v>337</v>
      </c>
      <c r="B157" s="28">
        <v>43640</v>
      </c>
      <c r="C157" s="21" t="str">
        <f t="shared" si="11"/>
        <v>2019</v>
      </c>
      <c r="D157" s="19" t="str">
        <f t="shared" si="12"/>
        <v>June</v>
      </c>
      <c r="E157" s="3" t="s">
        <v>338</v>
      </c>
      <c r="F157" s="3" t="str">
        <f>VLOOKUP(E157,Customers!$A$2:$I$1001,2,0)</f>
        <v>Grete Holborn</v>
      </c>
      <c r="G157" s="3" t="str">
        <f>VLOOKUP(E157,Customers!$A$2:$I$1001,3,0)</f>
        <v>gholborn4b@ow.ly</v>
      </c>
      <c r="H157" s="3" t="str">
        <f>VLOOKUP(E157,Customers!$A$2:$I$1001,4,0)</f>
        <v>+1 (203) 577-5788</v>
      </c>
      <c r="I157" s="25" t="str">
        <f>VLOOKUP(E157,Customers!$A$2:$I$1001,6,0)</f>
        <v>Norwalk</v>
      </c>
      <c r="J157" s="25" t="str">
        <f>VLOOKUP(E157,Customers!$A$2:$I$1001,7,0)</f>
        <v>United States</v>
      </c>
      <c r="K157" s="23" t="str">
        <f>VLOOKUP(E157,Customers!$A$2:$I$1001,9,0)</f>
        <v>Yes</v>
      </c>
      <c r="L157" s="4" t="s">
        <v>171</v>
      </c>
      <c r="M157" s="4" t="str">
        <f>VLOOKUP(L157,Products!$A$2:$G$49,2,0)</f>
        <v>Arabica</v>
      </c>
      <c r="N157" s="4" t="str">
        <f>VLOOKUP(L157,Products!$A$2:$G$49,3,0)</f>
        <v>Medium</v>
      </c>
      <c r="O157" s="25">
        <v>6</v>
      </c>
      <c r="P157" s="5">
        <f>INDEX([1]products!$A$1:$G$49,MATCH([1]orders!$D157,[1]products!$A$1:$A$49,0),MATCH([1]orders!K$1,[1]products!$A$1:$G$1,0))</f>
        <v>2.5</v>
      </c>
      <c r="Q157" s="6">
        <f>INDEX([1]products!$A$1:$G$49,MATCH([1]orders!$D157,[1]products!$A$1:$A$49,0),MATCH([1]orders!L$1,[1]products!$A$1:$G$1,0))</f>
        <v>25.874999999999996</v>
      </c>
      <c r="R157" s="6">
        <f t="shared" si="10"/>
        <v>155.24999999999997</v>
      </c>
      <c r="S157">
        <f>VLOOKUP(L157,Products!$A$2:$G$49,7,0)</f>
        <v>2.3287499999999994</v>
      </c>
      <c r="T157">
        <f t="shared" si="13"/>
        <v>13.972499999999997</v>
      </c>
      <c r="U157" s="33">
        <f t="shared" si="14"/>
        <v>9</v>
      </c>
    </row>
    <row r="158" spans="1:21" x14ac:dyDescent="0.25">
      <c r="A158" s="1" t="s">
        <v>339</v>
      </c>
      <c r="B158" s="28">
        <v>43764</v>
      </c>
      <c r="C158" s="21" t="str">
        <f t="shared" si="11"/>
        <v>2019</v>
      </c>
      <c r="D158" s="19" t="str">
        <f t="shared" si="12"/>
        <v>October</v>
      </c>
      <c r="E158" s="3" t="s">
        <v>340</v>
      </c>
      <c r="F158" s="3" t="str">
        <f>VLOOKUP(E158,Customers!$A$2:$I$1001,2,0)</f>
        <v>Fielding Keinrat</v>
      </c>
      <c r="G158" s="3" t="str">
        <f>VLOOKUP(E158,Customers!$A$2:$I$1001,3,0)</f>
        <v>fkeinrat4c@dailymail.co.uk</v>
      </c>
      <c r="H158" s="3" t="str">
        <f>VLOOKUP(E158,Customers!$A$2:$I$1001,4,0)</f>
        <v>+1 (817) 785-7050</v>
      </c>
      <c r="I158" s="25" t="str">
        <f>VLOOKUP(E158,Customers!$A$2:$I$1001,6,0)</f>
        <v>Arlington</v>
      </c>
      <c r="J158" s="25" t="str">
        <f>VLOOKUP(E158,Customers!$A$2:$I$1001,7,0)</f>
        <v>United States</v>
      </c>
      <c r="K158" s="23" t="str">
        <f>VLOOKUP(E158,Customers!$A$2:$I$1001,9,0)</f>
        <v>Yes</v>
      </c>
      <c r="L158" s="4" t="s">
        <v>171</v>
      </c>
      <c r="M158" s="4" t="str">
        <f>VLOOKUP(L158,Products!$A$2:$G$49,2,0)</f>
        <v>Arabica</v>
      </c>
      <c r="N158" s="4" t="str">
        <f>VLOOKUP(L158,Products!$A$2:$G$49,3,0)</f>
        <v>Medium</v>
      </c>
      <c r="O158" s="25">
        <v>3</v>
      </c>
      <c r="P158" s="5">
        <f>INDEX([1]products!$A$1:$G$49,MATCH([1]orders!$D158,[1]products!$A$1:$A$49,0),MATCH([1]orders!K$1,[1]products!$A$1:$G$1,0))</f>
        <v>2.5</v>
      </c>
      <c r="Q158" s="6">
        <f>INDEX([1]products!$A$1:$G$49,MATCH([1]orders!$D158,[1]products!$A$1:$A$49,0),MATCH([1]orders!L$1,[1]products!$A$1:$G$1,0))</f>
        <v>25.874999999999996</v>
      </c>
      <c r="R158" s="6">
        <f t="shared" si="10"/>
        <v>77.624999999999986</v>
      </c>
      <c r="S158">
        <f>VLOOKUP(L158,Products!$A$2:$G$49,7,0)</f>
        <v>2.3287499999999994</v>
      </c>
      <c r="T158">
        <f t="shared" si="13"/>
        <v>6.9862499999999983</v>
      </c>
      <c r="U158" s="33">
        <f t="shared" si="14"/>
        <v>9</v>
      </c>
    </row>
    <row r="159" spans="1:21" x14ac:dyDescent="0.25">
      <c r="A159" s="1" t="s">
        <v>341</v>
      </c>
      <c r="B159" s="28">
        <v>44374</v>
      </c>
      <c r="C159" s="21" t="str">
        <f t="shared" si="11"/>
        <v>2021</v>
      </c>
      <c r="D159" s="19" t="str">
        <f t="shared" si="12"/>
        <v>June</v>
      </c>
      <c r="E159" s="3" t="s">
        <v>342</v>
      </c>
      <c r="F159" s="3" t="str">
        <f>VLOOKUP(E159,Customers!$A$2:$I$1001,2,0)</f>
        <v>Paulo Yea</v>
      </c>
      <c r="G159" s="3" t="str">
        <f>VLOOKUP(E159,Customers!$A$2:$I$1001,3,0)</f>
        <v>pyea4d@aol.com</v>
      </c>
      <c r="H159" s="3" t="str">
        <f>VLOOKUP(E159,Customers!$A$2:$I$1001,4,0)</f>
        <v>+353 (885) 555-9183</v>
      </c>
      <c r="I159" s="25" t="str">
        <f>VLOOKUP(E159,Customers!$A$2:$I$1001,6,0)</f>
        <v>Ashford</v>
      </c>
      <c r="J159" s="25" t="str">
        <f>VLOOKUP(E159,Customers!$A$2:$I$1001,7,0)</f>
        <v>Ireland</v>
      </c>
      <c r="K159" s="23" t="str">
        <f>VLOOKUP(E159,Customers!$A$2:$I$1001,9,0)</f>
        <v>No</v>
      </c>
      <c r="L159" s="4" t="s">
        <v>35</v>
      </c>
      <c r="M159" s="4" t="str">
        <f>VLOOKUP(L159,Products!$A$2:$G$49,2,0)</f>
        <v>Robusta</v>
      </c>
      <c r="N159" s="4" t="str">
        <f>VLOOKUP(L159,Products!$A$2:$G$49,3,0)</f>
        <v>Dark</v>
      </c>
      <c r="O159" s="25">
        <v>3</v>
      </c>
      <c r="P159" s="5">
        <f>INDEX([1]products!$A$1:$G$49,MATCH([1]orders!$D159,[1]products!$A$1:$A$49,0),MATCH([1]orders!K$1,[1]products!$A$1:$G$1,0))</f>
        <v>2.5</v>
      </c>
      <c r="Q159" s="6">
        <f>INDEX([1]products!$A$1:$G$49,MATCH([1]orders!$D159,[1]products!$A$1:$A$49,0),MATCH([1]orders!L$1,[1]products!$A$1:$G$1,0))</f>
        <v>20.584999999999997</v>
      </c>
      <c r="R159" s="6">
        <f t="shared" si="10"/>
        <v>61.754999999999995</v>
      </c>
      <c r="S159">
        <f>VLOOKUP(L159,Products!$A$2:$G$49,7,0)</f>
        <v>1.2350999999999999</v>
      </c>
      <c r="T159">
        <f t="shared" si="13"/>
        <v>3.7052999999999994</v>
      </c>
      <c r="U159" s="33">
        <f t="shared" si="14"/>
        <v>5.9999999999999991</v>
      </c>
    </row>
    <row r="160" spans="1:21" x14ac:dyDescent="0.25">
      <c r="A160" s="1" t="s">
        <v>343</v>
      </c>
      <c r="B160" s="28">
        <v>43714</v>
      </c>
      <c r="C160" s="21" t="str">
        <f t="shared" si="11"/>
        <v>2019</v>
      </c>
      <c r="D160" s="19" t="str">
        <f t="shared" si="12"/>
        <v>September</v>
      </c>
      <c r="E160" s="3" t="s">
        <v>344</v>
      </c>
      <c r="F160" s="3" t="str">
        <f>VLOOKUP(E160,Customers!$A$2:$I$1001,2,0)</f>
        <v>Say Risborough</v>
      </c>
      <c r="G160" s="3" t="str">
        <f>VLOOKUP(E160,Customers!$A$2:$I$1001,3,0)</f>
        <v>UNKNOWN</v>
      </c>
      <c r="H160" s="3" t="str">
        <f>VLOOKUP(E160,Customers!$A$2:$I$1001,4,0)</f>
        <v>+1 (423) 485-6650</v>
      </c>
      <c r="I160" s="25" t="str">
        <f>VLOOKUP(E160,Customers!$A$2:$I$1001,6,0)</f>
        <v>Chattanooga</v>
      </c>
      <c r="J160" s="25" t="str">
        <f>VLOOKUP(E160,Customers!$A$2:$I$1001,7,0)</f>
        <v>United States</v>
      </c>
      <c r="K160" s="23" t="str">
        <f>VLOOKUP(E160,Customers!$A$2:$I$1001,9,0)</f>
        <v>Yes</v>
      </c>
      <c r="L160" s="4" t="s">
        <v>35</v>
      </c>
      <c r="M160" s="4" t="str">
        <f>VLOOKUP(L160,Products!$A$2:$G$49,2,0)</f>
        <v>Robusta</v>
      </c>
      <c r="N160" s="4" t="str">
        <f>VLOOKUP(L160,Products!$A$2:$G$49,3,0)</f>
        <v>Dark</v>
      </c>
      <c r="O160" s="25">
        <v>6</v>
      </c>
      <c r="P160" s="5">
        <f>INDEX([1]products!$A$1:$G$49,MATCH([1]orders!$D160,[1]products!$A$1:$A$49,0),MATCH([1]orders!K$1,[1]products!$A$1:$G$1,0))</f>
        <v>2.5</v>
      </c>
      <c r="Q160" s="6">
        <f>INDEX([1]products!$A$1:$G$49,MATCH([1]orders!$D160,[1]products!$A$1:$A$49,0),MATCH([1]orders!L$1,[1]products!$A$1:$G$1,0))</f>
        <v>20.584999999999997</v>
      </c>
      <c r="R160" s="6">
        <f t="shared" si="10"/>
        <v>123.50999999999999</v>
      </c>
      <c r="S160">
        <f>VLOOKUP(L160,Products!$A$2:$G$49,7,0)</f>
        <v>1.2350999999999999</v>
      </c>
      <c r="T160">
        <f t="shared" si="13"/>
        <v>7.4105999999999987</v>
      </c>
      <c r="U160" s="33">
        <f t="shared" si="14"/>
        <v>5.9999999999999991</v>
      </c>
    </row>
    <row r="161" spans="1:21" x14ac:dyDescent="0.25">
      <c r="A161" s="1" t="s">
        <v>345</v>
      </c>
      <c r="B161" s="28">
        <v>44316</v>
      </c>
      <c r="C161" s="21" t="str">
        <f t="shared" si="11"/>
        <v>2021</v>
      </c>
      <c r="D161" s="19" t="str">
        <f t="shared" si="12"/>
        <v>April</v>
      </c>
      <c r="E161" s="3" t="s">
        <v>346</v>
      </c>
      <c r="F161" s="3" t="str">
        <f>VLOOKUP(E161,Customers!$A$2:$I$1001,2,0)</f>
        <v>Alexa Sizey</v>
      </c>
      <c r="G161" s="3" t="str">
        <f>VLOOKUP(E161,Customers!$A$2:$I$1001,3,0)</f>
        <v>UNKNOWN</v>
      </c>
      <c r="H161" s="3" t="str">
        <f>VLOOKUP(E161,Customers!$A$2:$I$1001,4,0)</f>
        <v>+1 (503) 774-7836</v>
      </c>
      <c r="I161" s="25" t="str">
        <f>VLOOKUP(E161,Customers!$A$2:$I$1001,6,0)</f>
        <v>Portland</v>
      </c>
      <c r="J161" s="25" t="str">
        <f>VLOOKUP(E161,Customers!$A$2:$I$1001,7,0)</f>
        <v>United States</v>
      </c>
      <c r="K161" s="23" t="str">
        <f>VLOOKUP(E161,Customers!$A$2:$I$1001,9,0)</f>
        <v>No</v>
      </c>
      <c r="L161" s="4" t="s">
        <v>104</v>
      </c>
      <c r="M161" s="4" t="str">
        <f>VLOOKUP(L161,Products!$A$2:$G$49,2,0)</f>
        <v>Liberica</v>
      </c>
      <c r="N161" s="4" t="str">
        <f>VLOOKUP(L161,Products!$A$2:$G$49,3,0)</f>
        <v>Light</v>
      </c>
      <c r="O161" s="25">
        <v>6</v>
      </c>
      <c r="P161" s="5">
        <f>INDEX([1]products!$A$1:$G$49,MATCH([1]orders!$D161,[1]products!$A$1:$A$49,0),MATCH([1]orders!K$1,[1]products!$A$1:$G$1,0))</f>
        <v>2.5</v>
      </c>
      <c r="Q161" s="6">
        <f>INDEX([1]products!$A$1:$G$49,MATCH([1]orders!$D161,[1]products!$A$1:$A$49,0),MATCH([1]orders!L$1,[1]products!$A$1:$G$1,0))</f>
        <v>36.454999999999998</v>
      </c>
      <c r="R161" s="6">
        <f t="shared" si="10"/>
        <v>218.73</v>
      </c>
      <c r="S161">
        <f>VLOOKUP(L161,Products!$A$2:$G$49,7,0)</f>
        <v>4.7391499999999995</v>
      </c>
      <c r="T161">
        <f t="shared" si="13"/>
        <v>28.434899999999999</v>
      </c>
      <c r="U161" s="33">
        <f t="shared" si="14"/>
        <v>13</v>
      </c>
    </row>
    <row r="162" spans="1:21" x14ac:dyDescent="0.25">
      <c r="A162" s="1" t="s">
        <v>347</v>
      </c>
      <c r="B162" s="28">
        <v>43837</v>
      </c>
      <c r="C162" s="21" t="str">
        <f t="shared" si="11"/>
        <v>2020</v>
      </c>
      <c r="D162" s="19" t="str">
        <f t="shared" si="12"/>
        <v>January</v>
      </c>
      <c r="E162" s="3" t="s">
        <v>348</v>
      </c>
      <c r="F162" s="3" t="str">
        <f>VLOOKUP(E162,Customers!$A$2:$I$1001,2,0)</f>
        <v>Kari Swede</v>
      </c>
      <c r="G162" s="3" t="str">
        <f>VLOOKUP(E162,Customers!$A$2:$I$1001,3,0)</f>
        <v>kswede4g@addthis.com</v>
      </c>
      <c r="H162" s="3" t="str">
        <f>VLOOKUP(E162,Customers!$A$2:$I$1001,4,0)</f>
        <v>+1 (405) 535-0273</v>
      </c>
      <c r="I162" s="25" t="str">
        <f>VLOOKUP(E162,Customers!$A$2:$I$1001,6,0)</f>
        <v>Oklahoma City</v>
      </c>
      <c r="J162" s="25" t="str">
        <f>VLOOKUP(E162,Customers!$A$2:$I$1001,7,0)</f>
        <v>United States</v>
      </c>
      <c r="K162" s="23" t="str">
        <f>VLOOKUP(E162,Customers!$A$2:$I$1001,9,0)</f>
        <v>No</v>
      </c>
      <c r="L162" s="4" t="s">
        <v>3</v>
      </c>
      <c r="M162" s="4" t="str">
        <f>VLOOKUP(L162,Products!$A$2:$G$49,2,0)</f>
        <v>Excelsa</v>
      </c>
      <c r="N162" s="4" t="str">
        <f>VLOOKUP(L162,Products!$A$2:$G$49,3,0)</f>
        <v>Medium</v>
      </c>
      <c r="O162" s="25">
        <v>4</v>
      </c>
      <c r="P162" s="5">
        <f>INDEX([1]products!$A$1:$G$49,MATCH([1]orders!$D162,[1]products!$A$1:$A$49,0),MATCH([1]orders!K$1,[1]products!$A$1:$G$1,0))</f>
        <v>0.5</v>
      </c>
      <c r="Q162" s="6">
        <f>INDEX([1]products!$A$1:$G$49,MATCH([1]orders!$D162,[1]products!$A$1:$A$49,0),MATCH([1]orders!L$1,[1]products!$A$1:$G$1,0))</f>
        <v>8.25</v>
      </c>
      <c r="R162" s="6">
        <f t="shared" si="10"/>
        <v>33</v>
      </c>
      <c r="S162">
        <f>VLOOKUP(L162,Products!$A$2:$G$49,7,0)</f>
        <v>0.90749999999999997</v>
      </c>
      <c r="T162">
        <f t="shared" si="13"/>
        <v>3.63</v>
      </c>
      <c r="U162" s="33">
        <f t="shared" si="14"/>
        <v>11</v>
      </c>
    </row>
    <row r="163" spans="1:21" x14ac:dyDescent="0.25">
      <c r="A163" s="1" t="s">
        <v>349</v>
      </c>
      <c r="B163" s="28">
        <v>44207</v>
      </c>
      <c r="C163" s="21" t="str">
        <f t="shared" si="11"/>
        <v>2021</v>
      </c>
      <c r="D163" s="19" t="str">
        <f t="shared" si="12"/>
        <v>January</v>
      </c>
      <c r="E163" s="3" t="s">
        <v>350</v>
      </c>
      <c r="F163" s="3" t="str">
        <f>VLOOKUP(E163,Customers!$A$2:$I$1001,2,0)</f>
        <v>Leontine Rubrow</v>
      </c>
      <c r="G163" s="3" t="str">
        <f>VLOOKUP(E163,Customers!$A$2:$I$1001,3,0)</f>
        <v>lrubrow4h@microsoft.com</v>
      </c>
      <c r="H163" s="3" t="str">
        <f>VLOOKUP(E163,Customers!$A$2:$I$1001,4,0)</f>
        <v>+1 (202) 503-9022</v>
      </c>
      <c r="I163" s="25" t="str">
        <f>VLOOKUP(E163,Customers!$A$2:$I$1001,6,0)</f>
        <v>Washington</v>
      </c>
      <c r="J163" s="25" t="str">
        <f>VLOOKUP(E163,Customers!$A$2:$I$1001,7,0)</f>
        <v>United States</v>
      </c>
      <c r="K163" s="23" t="str">
        <f>VLOOKUP(E163,Customers!$A$2:$I$1001,9,0)</f>
        <v>No</v>
      </c>
      <c r="L163" s="4" t="s">
        <v>192</v>
      </c>
      <c r="M163" s="4" t="str">
        <f>VLOOKUP(L163,Products!$A$2:$G$49,2,0)</f>
        <v>Arabica</v>
      </c>
      <c r="N163" s="4" t="str">
        <f>VLOOKUP(L163,Products!$A$2:$G$49,3,0)</f>
        <v>Light</v>
      </c>
      <c r="O163" s="25">
        <v>3</v>
      </c>
      <c r="P163" s="5">
        <f>INDEX([1]products!$A$1:$G$49,MATCH([1]orders!$D163,[1]products!$A$1:$A$49,0),MATCH([1]orders!K$1,[1]products!$A$1:$G$1,0))</f>
        <v>0.5</v>
      </c>
      <c r="Q163" s="6">
        <f>INDEX([1]products!$A$1:$G$49,MATCH([1]orders!$D163,[1]products!$A$1:$A$49,0),MATCH([1]orders!L$1,[1]products!$A$1:$G$1,0))</f>
        <v>7.77</v>
      </c>
      <c r="R163" s="6">
        <f t="shared" si="10"/>
        <v>23.31</v>
      </c>
      <c r="S163">
        <f>VLOOKUP(L163,Products!$A$2:$G$49,7,0)</f>
        <v>0.69929999999999992</v>
      </c>
      <c r="T163">
        <f t="shared" si="13"/>
        <v>2.0978999999999997</v>
      </c>
      <c r="U163" s="33">
        <f t="shared" si="14"/>
        <v>9</v>
      </c>
    </row>
    <row r="164" spans="1:21" x14ac:dyDescent="0.25">
      <c r="A164" s="1" t="s">
        <v>351</v>
      </c>
      <c r="B164" s="28">
        <v>44515</v>
      </c>
      <c r="C164" s="21" t="str">
        <f t="shared" si="11"/>
        <v>2021</v>
      </c>
      <c r="D164" s="19" t="str">
        <f t="shared" si="12"/>
        <v>November</v>
      </c>
      <c r="E164" s="3" t="s">
        <v>352</v>
      </c>
      <c r="F164" s="3" t="str">
        <f>VLOOKUP(E164,Customers!$A$2:$I$1001,2,0)</f>
        <v>Dottie Tift</v>
      </c>
      <c r="G164" s="3" t="str">
        <f>VLOOKUP(E164,Customers!$A$2:$I$1001,3,0)</f>
        <v>dtift4i@netvibes.com</v>
      </c>
      <c r="H164" s="3" t="str">
        <f>VLOOKUP(E164,Customers!$A$2:$I$1001,4,0)</f>
        <v>+1 (336) 766-8518</v>
      </c>
      <c r="I164" s="25" t="str">
        <f>VLOOKUP(E164,Customers!$A$2:$I$1001,6,0)</f>
        <v>Greensboro</v>
      </c>
      <c r="J164" s="25" t="str">
        <f>VLOOKUP(E164,Customers!$A$2:$I$1001,7,0)</f>
        <v>United States</v>
      </c>
      <c r="K164" s="23" t="str">
        <f>VLOOKUP(E164,Customers!$A$2:$I$1001,9,0)</f>
        <v>Yes</v>
      </c>
      <c r="L164" s="4" t="s">
        <v>16</v>
      </c>
      <c r="M164" s="4" t="str">
        <f>VLOOKUP(L164,Products!$A$2:$G$49,2,0)</f>
        <v>Excelsa</v>
      </c>
      <c r="N164" s="4" t="str">
        <f>VLOOKUP(L164,Products!$A$2:$G$49,3,0)</f>
        <v>Dark</v>
      </c>
      <c r="O164" s="25">
        <v>3</v>
      </c>
      <c r="P164" s="5">
        <f>INDEX([1]products!$A$1:$G$49,MATCH([1]orders!$D164,[1]products!$A$1:$A$49,0),MATCH([1]orders!K$1,[1]products!$A$1:$G$1,0))</f>
        <v>0.5</v>
      </c>
      <c r="Q164" s="6">
        <f>INDEX([1]products!$A$1:$G$49,MATCH([1]orders!$D164,[1]products!$A$1:$A$49,0),MATCH([1]orders!L$1,[1]products!$A$1:$G$1,0))</f>
        <v>7.29</v>
      </c>
      <c r="R164" s="6">
        <f t="shared" si="10"/>
        <v>21.87</v>
      </c>
      <c r="S164">
        <f>VLOOKUP(L164,Products!$A$2:$G$49,7,0)</f>
        <v>0.80190000000000006</v>
      </c>
      <c r="T164">
        <f t="shared" si="13"/>
        <v>2.4057000000000004</v>
      </c>
      <c r="U164" s="33">
        <f t="shared" si="14"/>
        <v>11.000000000000002</v>
      </c>
    </row>
    <row r="165" spans="1:21" x14ac:dyDescent="0.25">
      <c r="A165" s="1" t="s">
        <v>353</v>
      </c>
      <c r="B165" s="28">
        <v>43619</v>
      </c>
      <c r="C165" s="21" t="str">
        <f t="shared" si="11"/>
        <v>2019</v>
      </c>
      <c r="D165" s="19" t="str">
        <f t="shared" si="12"/>
        <v>June</v>
      </c>
      <c r="E165" s="3" t="s">
        <v>354</v>
      </c>
      <c r="F165" s="3" t="str">
        <f>VLOOKUP(E165,Customers!$A$2:$I$1001,2,0)</f>
        <v>Gerardo Schonfeld</v>
      </c>
      <c r="G165" s="3" t="str">
        <f>VLOOKUP(E165,Customers!$A$2:$I$1001,3,0)</f>
        <v>gschonfeld4j@oracle.com</v>
      </c>
      <c r="H165" s="3" t="str">
        <f>VLOOKUP(E165,Customers!$A$2:$I$1001,4,0)</f>
        <v>+1 (571) 238-0580</v>
      </c>
      <c r="I165" s="25" t="str">
        <f>VLOOKUP(E165,Customers!$A$2:$I$1001,6,0)</f>
        <v>Alexandria</v>
      </c>
      <c r="J165" s="25" t="str">
        <f>VLOOKUP(E165,Customers!$A$2:$I$1001,7,0)</f>
        <v>United States</v>
      </c>
      <c r="K165" s="23" t="str">
        <f>VLOOKUP(E165,Customers!$A$2:$I$1001,9,0)</f>
        <v>No</v>
      </c>
      <c r="L165" s="4" t="s">
        <v>101</v>
      </c>
      <c r="M165" s="4" t="str">
        <f>VLOOKUP(L165,Products!$A$2:$G$49,2,0)</f>
        <v>Robusta</v>
      </c>
      <c r="N165" s="4" t="str">
        <f>VLOOKUP(L165,Products!$A$2:$G$49,3,0)</f>
        <v>Dark</v>
      </c>
      <c r="O165" s="25">
        <v>6</v>
      </c>
      <c r="P165" s="5">
        <f>INDEX([1]products!$A$1:$G$49,MATCH([1]orders!$D165,[1]products!$A$1:$A$49,0),MATCH([1]orders!K$1,[1]products!$A$1:$G$1,0))</f>
        <v>0.2</v>
      </c>
      <c r="Q165" s="6">
        <f>INDEX([1]products!$A$1:$G$49,MATCH([1]orders!$D165,[1]products!$A$1:$A$49,0),MATCH([1]orders!L$1,[1]products!$A$1:$G$1,0))</f>
        <v>2.6849999999999996</v>
      </c>
      <c r="R165" s="6">
        <f t="shared" si="10"/>
        <v>16.11</v>
      </c>
      <c r="S165">
        <f>VLOOKUP(L165,Products!$A$2:$G$49,7,0)</f>
        <v>0.16109999999999997</v>
      </c>
      <c r="T165">
        <f t="shared" si="13"/>
        <v>0.96659999999999979</v>
      </c>
      <c r="U165" s="33">
        <f t="shared" si="14"/>
        <v>5.9999999999999991</v>
      </c>
    </row>
    <row r="166" spans="1:21" x14ac:dyDescent="0.25">
      <c r="A166" s="1" t="s">
        <v>355</v>
      </c>
      <c r="B166" s="28">
        <v>44182</v>
      </c>
      <c r="C166" s="21" t="str">
        <f t="shared" si="11"/>
        <v>2020</v>
      </c>
      <c r="D166" s="19" t="str">
        <f t="shared" si="12"/>
        <v>December</v>
      </c>
      <c r="E166" s="3" t="s">
        <v>356</v>
      </c>
      <c r="F166" s="3" t="str">
        <f>VLOOKUP(E166,Customers!$A$2:$I$1001,2,0)</f>
        <v>Claiborne Feye</v>
      </c>
      <c r="G166" s="3" t="str">
        <f>VLOOKUP(E166,Customers!$A$2:$I$1001,3,0)</f>
        <v>cfeye4k@google.co.jp</v>
      </c>
      <c r="H166" s="3" t="str">
        <f>VLOOKUP(E166,Customers!$A$2:$I$1001,4,0)</f>
        <v>+353 (471) 184-7815</v>
      </c>
      <c r="I166" s="25" t="str">
        <f>VLOOKUP(E166,Customers!$A$2:$I$1001,6,0)</f>
        <v>Castlebridge</v>
      </c>
      <c r="J166" s="25" t="str">
        <f>VLOOKUP(E166,Customers!$A$2:$I$1001,7,0)</f>
        <v>Ireland</v>
      </c>
      <c r="K166" s="23" t="str">
        <f>VLOOKUP(E166,Customers!$A$2:$I$1001,9,0)</f>
        <v>No</v>
      </c>
      <c r="L166" s="4" t="s">
        <v>16</v>
      </c>
      <c r="M166" s="4" t="str">
        <f>VLOOKUP(L166,Products!$A$2:$G$49,2,0)</f>
        <v>Excelsa</v>
      </c>
      <c r="N166" s="4" t="str">
        <f>VLOOKUP(L166,Products!$A$2:$G$49,3,0)</f>
        <v>Dark</v>
      </c>
      <c r="O166" s="25">
        <v>4</v>
      </c>
      <c r="P166" s="5">
        <f>INDEX([1]products!$A$1:$G$49,MATCH([1]orders!$D166,[1]products!$A$1:$A$49,0),MATCH([1]orders!K$1,[1]products!$A$1:$G$1,0))</f>
        <v>0.5</v>
      </c>
      <c r="Q166" s="6">
        <f>INDEX([1]products!$A$1:$G$49,MATCH([1]orders!$D166,[1]products!$A$1:$A$49,0),MATCH([1]orders!L$1,[1]products!$A$1:$G$1,0))</f>
        <v>7.29</v>
      </c>
      <c r="R166" s="6">
        <f t="shared" si="10"/>
        <v>29.16</v>
      </c>
      <c r="S166">
        <f>VLOOKUP(L166,Products!$A$2:$G$49,7,0)</f>
        <v>0.80190000000000006</v>
      </c>
      <c r="T166">
        <f t="shared" si="13"/>
        <v>3.2076000000000002</v>
      </c>
      <c r="U166" s="33">
        <f t="shared" si="14"/>
        <v>11</v>
      </c>
    </row>
    <row r="167" spans="1:21" x14ac:dyDescent="0.25">
      <c r="A167" s="1" t="s">
        <v>357</v>
      </c>
      <c r="B167" s="28">
        <v>44234</v>
      </c>
      <c r="C167" s="21" t="str">
        <f t="shared" si="11"/>
        <v>2021</v>
      </c>
      <c r="D167" s="19" t="str">
        <f t="shared" si="12"/>
        <v>February</v>
      </c>
      <c r="E167" s="3" t="s">
        <v>358</v>
      </c>
      <c r="F167" s="3" t="str">
        <f>VLOOKUP(E167,Customers!$A$2:$I$1001,2,0)</f>
        <v>Mina Elstone</v>
      </c>
      <c r="G167" s="3" t="str">
        <f>VLOOKUP(E167,Customers!$A$2:$I$1001,3,0)</f>
        <v>UNKNOWN</v>
      </c>
      <c r="H167" s="3" t="str">
        <f>VLOOKUP(E167,Customers!$A$2:$I$1001,4,0)</f>
        <v>+1 (262) 320-1474</v>
      </c>
      <c r="I167" s="25" t="str">
        <f>VLOOKUP(E167,Customers!$A$2:$I$1001,6,0)</f>
        <v>Racine</v>
      </c>
      <c r="J167" s="25" t="str">
        <f>VLOOKUP(E167,Customers!$A$2:$I$1001,7,0)</f>
        <v>United States</v>
      </c>
      <c r="K167" s="23" t="str">
        <f>VLOOKUP(E167,Customers!$A$2:$I$1001,9,0)</f>
        <v>Yes</v>
      </c>
      <c r="L167" s="4" t="s">
        <v>179</v>
      </c>
      <c r="M167" s="4" t="str">
        <f>VLOOKUP(L167,Products!$A$2:$G$49,2,0)</f>
        <v>Robusta</v>
      </c>
      <c r="N167" s="4" t="str">
        <f>VLOOKUP(L167,Products!$A$2:$G$49,3,0)</f>
        <v>Dark</v>
      </c>
      <c r="O167" s="25">
        <v>6</v>
      </c>
      <c r="P167" s="5">
        <f>INDEX([1]products!$A$1:$G$49,MATCH([1]orders!$D167,[1]products!$A$1:$A$49,0),MATCH([1]orders!K$1,[1]products!$A$1:$G$1,0))</f>
        <v>1</v>
      </c>
      <c r="Q167" s="6">
        <f>INDEX([1]products!$A$1:$G$49,MATCH([1]orders!$D167,[1]products!$A$1:$A$49,0),MATCH([1]orders!L$1,[1]products!$A$1:$G$1,0))</f>
        <v>8.9499999999999993</v>
      </c>
      <c r="R167" s="6">
        <f t="shared" si="10"/>
        <v>53.699999999999996</v>
      </c>
      <c r="S167">
        <f>VLOOKUP(L167,Products!$A$2:$G$49,7,0)</f>
        <v>0.53699999999999992</v>
      </c>
      <c r="T167">
        <f t="shared" si="13"/>
        <v>3.2219999999999995</v>
      </c>
      <c r="U167" s="33">
        <f t="shared" si="14"/>
        <v>6</v>
      </c>
    </row>
    <row r="168" spans="1:21" x14ac:dyDescent="0.25">
      <c r="A168" s="1" t="s">
        <v>359</v>
      </c>
      <c r="B168" s="28">
        <v>44270</v>
      </c>
      <c r="C168" s="21" t="str">
        <f t="shared" si="11"/>
        <v>2021</v>
      </c>
      <c r="D168" s="19" t="str">
        <f t="shared" si="12"/>
        <v>March</v>
      </c>
      <c r="E168" s="3" t="s">
        <v>360</v>
      </c>
      <c r="F168" s="3" t="str">
        <f>VLOOKUP(E168,Customers!$A$2:$I$1001,2,0)</f>
        <v>Sherman Mewrcik</v>
      </c>
      <c r="G168" s="3" t="str">
        <f>VLOOKUP(E168,Customers!$A$2:$I$1001,3,0)</f>
        <v>UNKNOWN</v>
      </c>
      <c r="H168" s="3" t="str">
        <f>VLOOKUP(E168,Customers!$A$2:$I$1001,4,0)</f>
        <v>+1 (305) 419-8626</v>
      </c>
      <c r="I168" s="25" t="str">
        <f>VLOOKUP(E168,Customers!$A$2:$I$1001,6,0)</f>
        <v>Clearwater</v>
      </c>
      <c r="J168" s="25" t="str">
        <f>VLOOKUP(E168,Customers!$A$2:$I$1001,7,0)</f>
        <v>United States</v>
      </c>
      <c r="K168" s="23" t="str">
        <f>VLOOKUP(E168,Customers!$A$2:$I$1001,9,0)</f>
        <v>Yes</v>
      </c>
      <c r="L168" s="4" t="s">
        <v>146</v>
      </c>
      <c r="M168" s="4" t="str">
        <f>VLOOKUP(L168,Products!$A$2:$G$49,2,0)</f>
        <v>Robusta</v>
      </c>
      <c r="N168" s="4" t="str">
        <f>VLOOKUP(L168,Products!$A$2:$G$49,3,0)</f>
        <v>Dark</v>
      </c>
      <c r="O168" s="25">
        <v>5</v>
      </c>
      <c r="P168" s="5">
        <f>INDEX([1]products!$A$1:$G$49,MATCH([1]orders!$D168,[1]products!$A$1:$A$49,0),MATCH([1]orders!K$1,[1]products!$A$1:$G$1,0))</f>
        <v>0.5</v>
      </c>
      <c r="Q168" s="6">
        <f>INDEX([1]products!$A$1:$G$49,MATCH([1]orders!$D168,[1]products!$A$1:$A$49,0),MATCH([1]orders!L$1,[1]products!$A$1:$G$1,0))</f>
        <v>5.3699999999999992</v>
      </c>
      <c r="R168" s="6">
        <f t="shared" si="10"/>
        <v>26.849999999999994</v>
      </c>
      <c r="S168">
        <f>VLOOKUP(L168,Products!$A$2:$G$49,7,0)</f>
        <v>0.32219999999999993</v>
      </c>
      <c r="T168">
        <f t="shared" si="13"/>
        <v>1.6109999999999998</v>
      </c>
      <c r="U168" s="33">
        <f t="shared" si="14"/>
        <v>6.0000000000000009</v>
      </c>
    </row>
    <row r="169" spans="1:21" x14ac:dyDescent="0.25">
      <c r="A169" s="1" t="s">
        <v>361</v>
      </c>
      <c r="B169" s="28">
        <v>44777</v>
      </c>
      <c r="C169" s="21" t="str">
        <f t="shared" si="11"/>
        <v>2022</v>
      </c>
      <c r="D169" s="19" t="str">
        <f t="shared" si="12"/>
        <v>August</v>
      </c>
      <c r="E169" s="3" t="s">
        <v>362</v>
      </c>
      <c r="F169" s="3" t="str">
        <f>VLOOKUP(E169,Customers!$A$2:$I$1001,2,0)</f>
        <v>Tamarah Fero</v>
      </c>
      <c r="G169" s="3" t="str">
        <f>VLOOKUP(E169,Customers!$A$2:$I$1001,3,0)</f>
        <v>tfero4n@comsenz.com</v>
      </c>
      <c r="H169" s="3" t="str">
        <f>VLOOKUP(E169,Customers!$A$2:$I$1001,4,0)</f>
        <v>+1 (262) 954-6859</v>
      </c>
      <c r="I169" s="25" t="str">
        <f>VLOOKUP(E169,Customers!$A$2:$I$1001,6,0)</f>
        <v>Racine</v>
      </c>
      <c r="J169" s="25" t="str">
        <f>VLOOKUP(E169,Customers!$A$2:$I$1001,7,0)</f>
        <v>United States</v>
      </c>
      <c r="K169" s="23" t="str">
        <f>VLOOKUP(E169,Customers!$A$2:$I$1001,9,0)</f>
        <v>Yes</v>
      </c>
      <c r="L169" s="4" t="s">
        <v>3</v>
      </c>
      <c r="M169" s="4" t="str">
        <f>VLOOKUP(L169,Products!$A$2:$G$49,2,0)</f>
        <v>Excelsa</v>
      </c>
      <c r="N169" s="4" t="str">
        <f>VLOOKUP(L169,Products!$A$2:$G$49,3,0)</f>
        <v>Medium</v>
      </c>
      <c r="O169" s="25">
        <v>5</v>
      </c>
      <c r="P169" s="5">
        <f>INDEX([1]products!$A$1:$G$49,MATCH([1]orders!$D169,[1]products!$A$1:$A$49,0),MATCH([1]orders!K$1,[1]products!$A$1:$G$1,0))</f>
        <v>0.5</v>
      </c>
      <c r="Q169" s="6">
        <f>INDEX([1]products!$A$1:$G$49,MATCH([1]orders!$D169,[1]products!$A$1:$A$49,0),MATCH([1]orders!L$1,[1]products!$A$1:$G$1,0))</f>
        <v>8.25</v>
      </c>
      <c r="R169" s="6">
        <f t="shared" si="10"/>
        <v>41.25</v>
      </c>
      <c r="S169">
        <f>VLOOKUP(L169,Products!$A$2:$G$49,7,0)</f>
        <v>0.90749999999999997</v>
      </c>
      <c r="T169">
        <f t="shared" si="13"/>
        <v>4.5374999999999996</v>
      </c>
      <c r="U169" s="33">
        <f t="shared" si="14"/>
        <v>10.999999999999998</v>
      </c>
    </row>
    <row r="170" spans="1:21" x14ac:dyDescent="0.25">
      <c r="A170" s="1" t="s">
        <v>363</v>
      </c>
      <c r="B170" s="28">
        <v>43484</v>
      </c>
      <c r="C170" s="21" t="str">
        <f t="shared" si="11"/>
        <v>2019</v>
      </c>
      <c r="D170" s="19" t="str">
        <f t="shared" si="12"/>
        <v>January</v>
      </c>
      <c r="E170" s="3" t="s">
        <v>364</v>
      </c>
      <c r="F170" s="3" t="str">
        <f>VLOOKUP(E170,Customers!$A$2:$I$1001,2,0)</f>
        <v>Stanislaus Valsler</v>
      </c>
      <c r="G170" s="3" t="str">
        <f>VLOOKUP(E170,Customers!$A$2:$I$1001,3,0)</f>
        <v>UNKNOWN</v>
      </c>
      <c r="H170" s="3" t="str">
        <f>VLOOKUP(E170,Customers!$A$2:$I$1001,4,0)</f>
        <v>+353 (479) 865-9222</v>
      </c>
      <c r="I170" s="25" t="str">
        <f>VLOOKUP(E170,Customers!$A$2:$I$1001,6,0)</f>
        <v>Castlebridge</v>
      </c>
      <c r="J170" s="25" t="str">
        <f>VLOOKUP(E170,Customers!$A$2:$I$1001,7,0)</f>
        <v>Ireland</v>
      </c>
      <c r="K170" s="23" t="str">
        <f>VLOOKUP(E170,Customers!$A$2:$I$1001,9,0)</f>
        <v>No</v>
      </c>
      <c r="L170" s="4" t="s">
        <v>67</v>
      </c>
      <c r="M170" s="4" t="str">
        <f>VLOOKUP(L170,Products!$A$2:$G$49,2,0)</f>
        <v>Arabica</v>
      </c>
      <c r="N170" s="4" t="str">
        <f>VLOOKUP(L170,Products!$A$2:$G$49,3,0)</f>
        <v>Medium</v>
      </c>
      <c r="O170" s="25">
        <v>6</v>
      </c>
      <c r="P170" s="5">
        <f>INDEX([1]products!$A$1:$G$49,MATCH([1]orders!$D170,[1]products!$A$1:$A$49,0),MATCH([1]orders!K$1,[1]products!$A$1:$G$1,0))</f>
        <v>0.5</v>
      </c>
      <c r="Q170" s="6">
        <f>INDEX([1]products!$A$1:$G$49,MATCH([1]orders!$D170,[1]products!$A$1:$A$49,0),MATCH([1]orders!L$1,[1]products!$A$1:$G$1,0))</f>
        <v>6.75</v>
      </c>
      <c r="R170" s="6">
        <f t="shared" si="10"/>
        <v>40.5</v>
      </c>
      <c r="S170">
        <f>VLOOKUP(L170,Products!$A$2:$G$49,7,0)</f>
        <v>0.60749999999999993</v>
      </c>
      <c r="T170">
        <f t="shared" si="13"/>
        <v>3.6449999999999996</v>
      </c>
      <c r="U170" s="33">
        <f t="shared" si="14"/>
        <v>8.9999999999999982</v>
      </c>
    </row>
    <row r="171" spans="1:21" x14ac:dyDescent="0.25">
      <c r="A171" s="1" t="s">
        <v>365</v>
      </c>
      <c r="B171" s="28">
        <v>44643</v>
      </c>
      <c r="C171" s="21" t="str">
        <f t="shared" si="11"/>
        <v>2022</v>
      </c>
      <c r="D171" s="19" t="str">
        <f t="shared" si="12"/>
        <v>March</v>
      </c>
      <c r="E171" s="3" t="s">
        <v>366</v>
      </c>
      <c r="F171" s="3" t="str">
        <f>VLOOKUP(E171,Customers!$A$2:$I$1001,2,0)</f>
        <v>Felita Dauney</v>
      </c>
      <c r="G171" s="3" t="str">
        <f>VLOOKUP(E171,Customers!$A$2:$I$1001,3,0)</f>
        <v>fdauney4p@sphinn.com</v>
      </c>
      <c r="H171" s="3" t="str">
        <f>VLOOKUP(E171,Customers!$A$2:$I$1001,4,0)</f>
        <v>+353 (669) 355-6726</v>
      </c>
      <c r="I171" s="25" t="str">
        <f>VLOOKUP(E171,Customers!$A$2:$I$1001,6,0)</f>
        <v>Castlebellingham</v>
      </c>
      <c r="J171" s="25" t="str">
        <f>VLOOKUP(E171,Customers!$A$2:$I$1001,7,0)</f>
        <v>Ireland</v>
      </c>
      <c r="K171" s="23" t="str">
        <f>VLOOKUP(E171,Customers!$A$2:$I$1001,9,0)</f>
        <v>No</v>
      </c>
      <c r="L171" s="4" t="s">
        <v>179</v>
      </c>
      <c r="M171" s="4" t="str">
        <f>VLOOKUP(L171,Products!$A$2:$G$49,2,0)</f>
        <v>Robusta</v>
      </c>
      <c r="N171" s="4" t="str">
        <f>VLOOKUP(L171,Products!$A$2:$G$49,3,0)</f>
        <v>Dark</v>
      </c>
      <c r="O171" s="25">
        <v>2</v>
      </c>
      <c r="P171" s="5">
        <f>INDEX([1]products!$A$1:$G$49,MATCH([1]orders!$D171,[1]products!$A$1:$A$49,0),MATCH([1]orders!K$1,[1]products!$A$1:$G$1,0))</f>
        <v>1</v>
      </c>
      <c r="Q171" s="6">
        <f>INDEX([1]products!$A$1:$G$49,MATCH([1]orders!$D171,[1]products!$A$1:$A$49,0),MATCH([1]orders!L$1,[1]products!$A$1:$G$1,0))</f>
        <v>8.9499999999999993</v>
      </c>
      <c r="R171" s="6">
        <f t="shared" si="10"/>
        <v>17.899999999999999</v>
      </c>
      <c r="S171">
        <f>VLOOKUP(L171,Products!$A$2:$G$49,7,0)</f>
        <v>0.53699999999999992</v>
      </c>
      <c r="T171">
        <f t="shared" si="13"/>
        <v>1.0739999999999998</v>
      </c>
      <c r="U171" s="33">
        <f t="shared" si="14"/>
        <v>6</v>
      </c>
    </row>
    <row r="172" spans="1:21" x14ac:dyDescent="0.25">
      <c r="A172" s="1" t="s">
        <v>367</v>
      </c>
      <c r="B172" s="28">
        <v>44476</v>
      </c>
      <c r="C172" s="21" t="str">
        <f t="shared" si="11"/>
        <v>2021</v>
      </c>
      <c r="D172" s="19" t="str">
        <f t="shared" si="12"/>
        <v>October</v>
      </c>
      <c r="E172" s="3" t="s">
        <v>368</v>
      </c>
      <c r="F172" s="3" t="str">
        <f>VLOOKUP(E172,Customers!$A$2:$I$1001,2,0)</f>
        <v>Serena Earley</v>
      </c>
      <c r="G172" s="3" t="str">
        <f>VLOOKUP(E172,Customers!$A$2:$I$1001,3,0)</f>
        <v>searley4q@youku.com</v>
      </c>
      <c r="H172" s="3" t="str">
        <f>VLOOKUP(E172,Customers!$A$2:$I$1001,4,0)</f>
        <v>UNKNOWN</v>
      </c>
      <c r="I172" s="25" t="str">
        <f>VLOOKUP(E172,Customers!$A$2:$I$1001,6,0)</f>
        <v>Craigavon</v>
      </c>
      <c r="J172" s="25" t="str">
        <f>VLOOKUP(E172,Customers!$A$2:$I$1001,7,0)</f>
        <v>United Kingdom</v>
      </c>
      <c r="K172" s="23" t="str">
        <f>VLOOKUP(E172,Customers!$A$2:$I$1001,9,0)</f>
        <v>No</v>
      </c>
      <c r="L172" s="4" t="s">
        <v>30</v>
      </c>
      <c r="M172" s="4" t="str">
        <f>VLOOKUP(L172,Products!$A$2:$G$49,2,0)</f>
        <v>Excelsa</v>
      </c>
      <c r="N172" s="4" t="str">
        <f>VLOOKUP(L172,Products!$A$2:$G$49,3,0)</f>
        <v>Light</v>
      </c>
      <c r="O172" s="25">
        <v>2</v>
      </c>
      <c r="P172" s="5">
        <f>INDEX([1]products!$A$1:$G$49,MATCH([1]orders!$D172,[1]products!$A$1:$A$49,0),MATCH([1]orders!K$1,[1]products!$A$1:$G$1,0))</f>
        <v>2.5</v>
      </c>
      <c r="Q172" s="6">
        <f>INDEX([1]products!$A$1:$G$49,MATCH([1]orders!$D172,[1]products!$A$1:$A$49,0),MATCH([1]orders!L$1,[1]products!$A$1:$G$1,0))</f>
        <v>34.154999999999994</v>
      </c>
      <c r="R172" s="6">
        <f t="shared" si="10"/>
        <v>68.309999999999988</v>
      </c>
      <c r="S172">
        <f>VLOOKUP(L172,Products!$A$2:$G$49,7,0)</f>
        <v>3.7570499999999996</v>
      </c>
      <c r="T172">
        <f t="shared" si="13"/>
        <v>7.5140999999999991</v>
      </c>
      <c r="U172" s="33">
        <f t="shared" si="14"/>
        <v>11</v>
      </c>
    </row>
    <row r="173" spans="1:21" x14ac:dyDescent="0.25">
      <c r="A173" s="1" t="s">
        <v>369</v>
      </c>
      <c r="B173" s="28">
        <v>43544</v>
      </c>
      <c r="C173" s="21" t="str">
        <f t="shared" si="11"/>
        <v>2019</v>
      </c>
      <c r="D173" s="19" t="str">
        <f t="shared" si="12"/>
        <v>March</v>
      </c>
      <c r="E173" s="3" t="s">
        <v>370</v>
      </c>
      <c r="F173" s="3" t="str">
        <f>VLOOKUP(E173,Customers!$A$2:$I$1001,2,0)</f>
        <v>Minny Chamberlayne</v>
      </c>
      <c r="G173" s="3" t="str">
        <f>VLOOKUP(E173,Customers!$A$2:$I$1001,3,0)</f>
        <v>mchamberlayne4r@bigcartel.com</v>
      </c>
      <c r="H173" s="3" t="str">
        <f>VLOOKUP(E173,Customers!$A$2:$I$1001,4,0)</f>
        <v>+1 (813) 801-0026</v>
      </c>
      <c r="I173" s="25" t="str">
        <f>VLOOKUP(E173,Customers!$A$2:$I$1001,6,0)</f>
        <v>Tampa</v>
      </c>
      <c r="J173" s="25" t="str">
        <f>VLOOKUP(E173,Customers!$A$2:$I$1001,7,0)</f>
        <v>United States</v>
      </c>
      <c r="K173" s="23" t="str">
        <f>VLOOKUP(E173,Customers!$A$2:$I$1001,9,0)</f>
        <v>Yes</v>
      </c>
      <c r="L173" s="4" t="s">
        <v>112</v>
      </c>
      <c r="M173" s="4" t="str">
        <f>VLOOKUP(L173,Products!$A$2:$G$49,2,0)</f>
        <v>Excelsa</v>
      </c>
      <c r="N173" s="4" t="str">
        <f>VLOOKUP(L173,Products!$A$2:$G$49,3,0)</f>
        <v>Medium</v>
      </c>
      <c r="O173" s="25">
        <v>2</v>
      </c>
      <c r="P173" s="5">
        <f>INDEX([1]products!$A$1:$G$49,MATCH([1]orders!$D173,[1]products!$A$1:$A$49,0),MATCH([1]orders!K$1,[1]products!$A$1:$G$1,0))</f>
        <v>2.5</v>
      </c>
      <c r="Q173" s="6">
        <f>INDEX([1]products!$A$1:$G$49,MATCH([1]orders!$D173,[1]products!$A$1:$A$49,0),MATCH([1]orders!L$1,[1]products!$A$1:$G$1,0))</f>
        <v>31.624999999999996</v>
      </c>
      <c r="R173" s="6">
        <f t="shared" si="10"/>
        <v>63.249999999999993</v>
      </c>
      <c r="S173">
        <f>VLOOKUP(L173,Products!$A$2:$G$49,7,0)</f>
        <v>3.4787499999999998</v>
      </c>
      <c r="T173">
        <f t="shared" si="13"/>
        <v>6.9574999999999996</v>
      </c>
      <c r="U173" s="33">
        <f t="shared" si="14"/>
        <v>11</v>
      </c>
    </row>
    <row r="174" spans="1:21" x14ac:dyDescent="0.25">
      <c r="A174" s="1" t="s">
        <v>371</v>
      </c>
      <c r="B174" s="28">
        <v>44545</v>
      </c>
      <c r="C174" s="21" t="str">
        <f t="shared" si="11"/>
        <v>2021</v>
      </c>
      <c r="D174" s="19" t="str">
        <f t="shared" si="12"/>
        <v>December</v>
      </c>
      <c r="E174" s="3" t="s">
        <v>372</v>
      </c>
      <c r="F174" s="3" t="str">
        <f>VLOOKUP(E174,Customers!$A$2:$I$1001,2,0)</f>
        <v>Bartholemy Flaherty</v>
      </c>
      <c r="G174" s="3" t="str">
        <f>VLOOKUP(E174,Customers!$A$2:$I$1001,3,0)</f>
        <v>bflaherty4s@moonfruit.com</v>
      </c>
      <c r="H174" s="3" t="str">
        <f>VLOOKUP(E174,Customers!$A$2:$I$1001,4,0)</f>
        <v>UNKNOWN</v>
      </c>
      <c r="I174" s="25" t="str">
        <f>VLOOKUP(E174,Customers!$A$2:$I$1001,6,0)</f>
        <v>Eadestown</v>
      </c>
      <c r="J174" s="25" t="str">
        <f>VLOOKUP(E174,Customers!$A$2:$I$1001,7,0)</f>
        <v>Ireland</v>
      </c>
      <c r="K174" s="23" t="str">
        <f>VLOOKUP(E174,Customers!$A$2:$I$1001,9,0)</f>
        <v>No</v>
      </c>
      <c r="L174" s="4" t="s">
        <v>16</v>
      </c>
      <c r="M174" s="4" t="str">
        <f>VLOOKUP(L174,Products!$A$2:$G$49,2,0)</f>
        <v>Excelsa</v>
      </c>
      <c r="N174" s="4" t="str">
        <f>VLOOKUP(L174,Products!$A$2:$G$49,3,0)</f>
        <v>Dark</v>
      </c>
      <c r="O174" s="25">
        <v>3</v>
      </c>
      <c r="P174" s="5">
        <f>INDEX([1]products!$A$1:$G$49,MATCH([1]orders!$D174,[1]products!$A$1:$A$49,0),MATCH([1]orders!K$1,[1]products!$A$1:$G$1,0))</f>
        <v>0.5</v>
      </c>
      <c r="Q174" s="6">
        <f>INDEX([1]products!$A$1:$G$49,MATCH([1]orders!$D174,[1]products!$A$1:$A$49,0),MATCH([1]orders!L$1,[1]products!$A$1:$G$1,0))</f>
        <v>7.29</v>
      </c>
      <c r="R174" s="6">
        <f t="shared" si="10"/>
        <v>21.87</v>
      </c>
      <c r="S174">
        <f>VLOOKUP(L174,Products!$A$2:$G$49,7,0)</f>
        <v>0.80190000000000006</v>
      </c>
      <c r="T174">
        <f t="shared" si="13"/>
        <v>2.4057000000000004</v>
      </c>
      <c r="U174" s="33">
        <f t="shared" si="14"/>
        <v>11.000000000000002</v>
      </c>
    </row>
    <row r="175" spans="1:21" x14ac:dyDescent="0.25">
      <c r="A175" s="1" t="s">
        <v>373</v>
      </c>
      <c r="B175" s="28">
        <v>44720</v>
      </c>
      <c r="C175" s="21" t="str">
        <f t="shared" si="11"/>
        <v>2022</v>
      </c>
      <c r="D175" s="19" t="str">
        <f t="shared" si="12"/>
        <v>June</v>
      </c>
      <c r="E175" s="3" t="s">
        <v>374</v>
      </c>
      <c r="F175" s="3" t="str">
        <f>VLOOKUP(E175,Customers!$A$2:$I$1001,2,0)</f>
        <v>Oran Colbeck</v>
      </c>
      <c r="G175" s="3" t="str">
        <f>VLOOKUP(E175,Customers!$A$2:$I$1001,3,0)</f>
        <v>ocolbeck4t@sina.com.cn</v>
      </c>
      <c r="H175" s="3" t="str">
        <f>VLOOKUP(E175,Customers!$A$2:$I$1001,4,0)</f>
        <v>+1 (334) 441-4420</v>
      </c>
      <c r="I175" s="25" t="str">
        <f>VLOOKUP(E175,Customers!$A$2:$I$1001,6,0)</f>
        <v>Montgomery</v>
      </c>
      <c r="J175" s="25" t="str">
        <f>VLOOKUP(E175,Customers!$A$2:$I$1001,7,0)</f>
        <v>United States</v>
      </c>
      <c r="K175" s="23" t="str">
        <f>VLOOKUP(E175,Customers!$A$2:$I$1001,9,0)</f>
        <v>No</v>
      </c>
      <c r="L175" s="4" t="s">
        <v>41</v>
      </c>
      <c r="M175" s="4" t="str">
        <f>VLOOKUP(L175,Products!$A$2:$G$49,2,0)</f>
        <v>Robusta</v>
      </c>
      <c r="N175" s="4" t="str">
        <f>VLOOKUP(L175,Products!$A$2:$G$49,3,0)</f>
        <v>Medium</v>
      </c>
      <c r="O175" s="25">
        <v>4</v>
      </c>
      <c r="P175" s="5">
        <f>INDEX([1]products!$A$1:$G$49,MATCH([1]orders!$D175,[1]products!$A$1:$A$49,0),MATCH([1]orders!K$1,[1]products!$A$1:$G$1,0))</f>
        <v>2.5</v>
      </c>
      <c r="Q175" s="6">
        <f>INDEX([1]products!$A$1:$G$49,MATCH([1]orders!$D175,[1]products!$A$1:$A$49,0),MATCH([1]orders!L$1,[1]products!$A$1:$G$1,0))</f>
        <v>22.884999999999998</v>
      </c>
      <c r="R175" s="6">
        <f t="shared" si="10"/>
        <v>91.539999999999992</v>
      </c>
      <c r="S175">
        <f>VLOOKUP(L175,Products!$A$2:$G$49,7,0)</f>
        <v>1.3730999999999998</v>
      </c>
      <c r="T175">
        <f t="shared" si="13"/>
        <v>5.4923999999999991</v>
      </c>
      <c r="U175" s="33">
        <f t="shared" si="14"/>
        <v>6</v>
      </c>
    </row>
    <row r="176" spans="1:21" x14ac:dyDescent="0.25">
      <c r="A176" s="1" t="s">
        <v>375</v>
      </c>
      <c r="B176" s="28">
        <v>43813</v>
      </c>
      <c r="C176" s="21" t="str">
        <f t="shared" si="11"/>
        <v>2019</v>
      </c>
      <c r="D176" s="19" t="str">
        <f t="shared" si="12"/>
        <v>December</v>
      </c>
      <c r="E176" s="3" t="s">
        <v>376</v>
      </c>
      <c r="F176" s="3" t="str">
        <f>VLOOKUP(E176,Customers!$A$2:$I$1001,2,0)</f>
        <v>Elysee Sketch</v>
      </c>
      <c r="G176" s="3" t="str">
        <f>VLOOKUP(E176,Customers!$A$2:$I$1001,3,0)</f>
        <v>UNKNOWN</v>
      </c>
      <c r="H176" s="3" t="str">
        <f>VLOOKUP(E176,Customers!$A$2:$I$1001,4,0)</f>
        <v>+1 (775) 947-1470</v>
      </c>
      <c r="I176" s="25" t="str">
        <f>VLOOKUP(E176,Customers!$A$2:$I$1001,6,0)</f>
        <v>Sparks</v>
      </c>
      <c r="J176" s="25" t="str">
        <f>VLOOKUP(E176,Customers!$A$2:$I$1001,7,0)</f>
        <v>United States</v>
      </c>
      <c r="K176" s="23" t="str">
        <f>VLOOKUP(E176,Customers!$A$2:$I$1001,9,0)</f>
        <v>Yes</v>
      </c>
      <c r="L176" s="4" t="s">
        <v>30</v>
      </c>
      <c r="M176" s="4" t="str">
        <f>VLOOKUP(L176,Products!$A$2:$G$49,2,0)</f>
        <v>Excelsa</v>
      </c>
      <c r="N176" s="4" t="str">
        <f>VLOOKUP(L176,Products!$A$2:$G$49,3,0)</f>
        <v>Light</v>
      </c>
      <c r="O176" s="25">
        <v>6</v>
      </c>
      <c r="P176" s="5">
        <f>INDEX([1]products!$A$1:$G$49,MATCH([1]orders!$D176,[1]products!$A$1:$A$49,0),MATCH([1]orders!K$1,[1]products!$A$1:$G$1,0))</f>
        <v>2.5</v>
      </c>
      <c r="Q176" s="6">
        <f>INDEX([1]products!$A$1:$G$49,MATCH([1]orders!$D176,[1]products!$A$1:$A$49,0),MATCH([1]orders!L$1,[1]products!$A$1:$G$1,0))</f>
        <v>34.154999999999994</v>
      </c>
      <c r="R176" s="6">
        <f t="shared" si="10"/>
        <v>204.92999999999995</v>
      </c>
      <c r="S176">
        <f>VLOOKUP(L176,Products!$A$2:$G$49,7,0)</f>
        <v>3.7570499999999996</v>
      </c>
      <c r="T176">
        <f t="shared" si="13"/>
        <v>22.542299999999997</v>
      </c>
      <c r="U176" s="33">
        <f t="shared" si="14"/>
        <v>11.000000000000002</v>
      </c>
    </row>
    <row r="177" spans="1:21" x14ac:dyDescent="0.25">
      <c r="A177" s="1" t="s">
        <v>377</v>
      </c>
      <c r="B177" s="28">
        <v>44296</v>
      </c>
      <c r="C177" s="21" t="str">
        <f t="shared" si="11"/>
        <v>2021</v>
      </c>
      <c r="D177" s="19" t="str">
        <f t="shared" si="12"/>
        <v>April</v>
      </c>
      <c r="E177" s="3" t="s">
        <v>378</v>
      </c>
      <c r="F177" s="3" t="str">
        <f>VLOOKUP(E177,Customers!$A$2:$I$1001,2,0)</f>
        <v>Ethelda Hobbing</v>
      </c>
      <c r="G177" s="3" t="str">
        <f>VLOOKUP(E177,Customers!$A$2:$I$1001,3,0)</f>
        <v>ehobbing4v@nsw.gov.au</v>
      </c>
      <c r="H177" s="3" t="str">
        <f>VLOOKUP(E177,Customers!$A$2:$I$1001,4,0)</f>
        <v>+1 (478) 206-7670</v>
      </c>
      <c r="I177" s="25" t="str">
        <f>VLOOKUP(E177,Customers!$A$2:$I$1001,6,0)</f>
        <v>Macon</v>
      </c>
      <c r="J177" s="25" t="str">
        <f>VLOOKUP(E177,Customers!$A$2:$I$1001,7,0)</f>
        <v>United States</v>
      </c>
      <c r="K177" s="23" t="str">
        <f>VLOOKUP(E177,Customers!$A$2:$I$1001,9,0)</f>
        <v>Yes</v>
      </c>
      <c r="L177" s="4" t="s">
        <v>112</v>
      </c>
      <c r="M177" s="4" t="str">
        <f>VLOOKUP(L177,Products!$A$2:$G$49,2,0)</f>
        <v>Excelsa</v>
      </c>
      <c r="N177" s="4" t="str">
        <f>VLOOKUP(L177,Products!$A$2:$G$49,3,0)</f>
        <v>Medium</v>
      </c>
      <c r="O177" s="25">
        <v>2</v>
      </c>
      <c r="P177" s="5">
        <f>INDEX([1]products!$A$1:$G$49,MATCH([1]orders!$D177,[1]products!$A$1:$A$49,0),MATCH([1]orders!K$1,[1]products!$A$1:$G$1,0))</f>
        <v>2.5</v>
      </c>
      <c r="Q177" s="6">
        <f>INDEX([1]products!$A$1:$G$49,MATCH([1]orders!$D177,[1]products!$A$1:$A$49,0),MATCH([1]orders!L$1,[1]products!$A$1:$G$1,0))</f>
        <v>31.624999999999996</v>
      </c>
      <c r="R177" s="6">
        <f t="shared" si="10"/>
        <v>63.249999999999993</v>
      </c>
      <c r="S177">
        <f>VLOOKUP(L177,Products!$A$2:$G$49,7,0)</f>
        <v>3.4787499999999998</v>
      </c>
      <c r="T177">
        <f t="shared" si="13"/>
        <v>6.9574999999999996</v>
      </c>
      <c r="U177" s="33">
        <f t="shared" si="14"/>
        <v>11</v>
      </c>
    </row>
    <row r="178" spans="1:21" x14ac:dyDescent="0.25">
      <c r="A178" s="1" t="s">
        <v>379</v>
      </c>
      <c r="B178" s="28">
        <v>43900</v>
      </c>
      <c r="C178" s="21" t="str">
        <f t="shared" si="11"/>
        <v>2020</v>
      </c>
      <c r="D178" s="19" t="str">
        <f t="shared" si="12"/>
        <v>March</v>
      </c>
      <c r="E178" s="3" t="s">
        <v>380</v>
      </c>
      <c r="F178" s="3" t="str">
        <f>VLOOKUP(E178,Customers!$A$2:$I$1001,2,0)</f>
        <v>Odille Thynne</v>
      </c>
      <c r="G178" s="3" t="str">
        <f>VLOOKUP(E178,Customers!$A$2:$I$1001,3,0)</f>
        <v>othynne4w@auda.org.au</v>
      </c>
      <c r="H178" s="3" t="str">
        <f>VLOOKUP(E178,Customers!$A$2:$I$1001,4,0)</f>
        <v>+1 (562) 132-7323</v>
      </c>
      <c r="I178" s="25" t="str">
        <f>VLOOKUP(E178,Customers!$A$2:$I$1001,6,0)</f>
        <v>Whittier</v>
      </c>
      <c r="J178" s="25" t="str">
        <f>VLOOKUP(E178,Customers!$A$2:$I$1001,7,0)</f>
        <v>United States</v>
      </c>
      <c r="K178" s="23" t="str">
        <f>VLOOKUP(E178,Customers!$A$2:$I$1001,9,0)</f>
        <v>Yes</v>
      </c>
      <c r="L178" s="4" t="s">
        <v>30</v>
      </c>
      <c r="M178" s="4" t="str">
        <f>VLOOKUP(L178,Products!$A$2:$G$49,2,0)</f>
        <v>Excelsa</v>
      </c>
      <c r="N178" s="4" t="str">
        <f>VLOOKUP(L178,Products!$A$2:$G$49,3,0)</f>
        <v>Light</v>
      </c>
      <c r="O178" s="25">
        <v>1</v>
      </c>
      <c r="P178" s="5">
        <f>INDEX([1]products!$A$1:$G$49,MATCH([1]orders!$D178,[1]products!$A$1:$A$49,0),MATCH([1]orders!K$1,[1]products!$A$1:$G$1,0))</f>
        <v>2.5</v>
      </c>
      <c r="Q178" s="6">
        <f>INDEX([1]products!$A$1:$G$49,MATCH([1]orders!$D178,[1]products!$A$1:$A$49,0),MATCH([1]orders!L$1,[1]products!$A$1:$G$1,0))</f>
        <v>34.154999999999994</v>
      </c>
      <c r="R178" s="6">
        <f t="shared" si="10"/>
        <v>34.154999999999994</v>
      </c>
      <c r="S178">
        <f>VLOOKUP(L178,Products!$A$2:$G$49,7,0)</f>
        <v>3.7570499999999996</v>
      </c>
      <c r="T178">
        <f t="shared" si="13"/>
        <v>3.7570499999999996</v>
      </c>
      <c r="U178" s="33">
        <f t="shared" si="14"/>
        <v>11</v>
      </c>
    </row>
    <row r="179" spans="1:21" x14ac:dyDescent="0.25">
      <c r="A179" s="1" t="s">
        <v>381</v>
      </c>
      <c r="B179" s="28">
        <v>44120</v>
      </c>
      <c r="C179" s="21" t="str">
        <f t="shared" si="11"/>
        <v>2020</v>
      </c>
      <c r="D179" s="19" t="str">
        <f t="shared" si="12"/>
        <v>October</v>
      </c>
      <c r="E179" s="3" t="s">
        <v>382</v>
      </c>
      <c r="F179" s="3" t="str">
        <f>VLOOKUP(E179,Customers!$A$2:$I$1001,2,0)</f>
        <v>Emlynne Heining</v>
      </c>
      <c r="G179" s="3" t="str">
        <f>VLOOKUP(E179,Customers!$A$2:$I$1001,3,0)</f>
        <v>eheining4x@flickr.com</v>
      </c>
      <c r="H179" s="3" t="str">
        <f>VLOOKUP(E179,Customers!$A$2:$I$1001,4,0)</f>
        <v>UNKNOWN</v>
      </c>
      <c r="I179" s="25" t="str">
        <f>VLOOKUP(E179,Customers!$A$2:$I$1001,6,0)</f>
        <v>Johnson City</v>
      </c>
      <c r="J179" s="25" t="str">
        <f>VLOOKUP(E179,Customers!$A$2:$I$1001,7,0)</f>
        <v>United States</v>
      </c>
      <c r="K179" s="23" t="str">
        <f>VLOOKUP(E179,Customers!$A$2:$I$1001,9,0)</f>
        <v>Yes</v>
      </c>
      <c r="L179" s="4" t="s">
        <v>10</v>
      </c>
      <c r="M179" s="4" t="str">
        <f>VLOOKUP(L179,Products!$A$2:$G$49,2,0)</f>
        <v>Robusta</v>
      </c>
      <c r="N179" s="4" t="str">
        <f>VLOOKUP(L179,Products!$A$2:$G$49,3,0)</f>
        <v>Light</v>
      </c>
      <c r="O179" s="25">
        <v>4</v>
      </c>
      <c r="P179" s="5">
        <f>INDEX([1]products!$A$1:$G$49,MATCH([1]orders!$D179,[1]products!$A$1:$A$49,0),MATCH([1]orders!K$1,[1]products!$A$1:$G$1,0))</f>
        <v>2.5</v>
      </c>
      <c r="Q179" s="6">
        <f>INDEX([1]products!$A$1:$G$49,MATCH([1]orders!$D179,[1]products!$A$1:$A$49,0),MATCH([1]orders!L$1,[1]products!$A$1:$G$1,0))</f>
        <v>27.484999999999996</v>
      </c>
      <c r="R179" s="6">
        <f t="shared" si="10"/>
        <v>109.93999999999998</v>
      </c>
      <c r="S179">
        <f>VLOOKUP(L179,Products!$A$2:$G$49,7,0)</f>
        <v>1.6490999999999998</v>
      </c>
      <c r="T179">
        <f t="shared" si="13"/>
        <v>6.5963999999999992</v>
      </c>
      <c r="U179" s="33">
        <f t="shared" si="14"/>
        <v>6.0000000000000009</v>
      </c>
    </row>
    <row r="180" spans="1:21" x14ac:dyDescent="0.25">
      <c r="A180" s="1" t="s">
        <v>383</v>
      </c>
      <c r="B180" s="28">
        <v>43746</v>
      </c>
      <c r="C180" s="21" t="str">
        <f t="shared" si="11"/>
        <v>2019</v>
      </c>
      <c r="D180" s="19" t="str">
        <f t="shared" si="12"/>
        <v>October</v>
      </c>
      <c r="E180" s="3" t="s">
        <v>384</v>
      </c>
      <c r="F180" s="3" t="str">
        <f>VLOOKUP(E180,Customers!$A$2:$I$1001,2,0)</f>
        <v>Katerina Melloi</v>
      </c>
      <c r="G180" s="3" t="str">
        <f>VLOOKUP(E180,Customers!$A$2:$I$1001,3,0)</f>
        <v>kmelloi4y@imdb.com</v>
      </c>
      <c r="H180" s="3" t="str">
        <f>VLOOKUP(E180,Customers!$A$2:$I$1001,4,0)</f>
        <v>+1 (315) 525-0805</v>
      </c>
      <c r="I180" s="25" t="str">
        <f>VLOOKUP(E180,Customers!$A$2:$I$1001,6,0)</f>
        <v>Rochester</v>
      </c>
      <c r="J180" s="25" t="str">
        <f>VLOOKUP(E180,Customers!$A$2:$I$1001,7,0)</f>
        <v>United States</v>
      </c>
      <c r="K180" s="23" t="str">
        <f>VLOOKUP(E180,Customers!$A$2:$I$1001,9,0)</f>
        <v>No</v>
      </c>
      <c r="L180" s="4" t="s">
        <v>6</v>
      </c>
      <c r="M180" s="4" t="str">
        <f>VLOOKUP(L180,Products!$A$2:$G$49,2,0)</f>
        <v>Arabica</v>
      </c>
      <c r="N180" s="4" t="str">
        <f>VLOOKUP(L180,Products!$A$2:$G$49,3,0)</f>
        <v>Light</v>
      </c>
      <c r="O180" s="25">
        <v>2</v>
      </c>
      <c r="P180" s="5">
        <f>INDEX([1]products!$A$1:$G$49,MATCH([1]orders!$D180,[1]products!$A$1:$A$49,0),MATCH([1]orders!K$1,[1]products!$A$1:$G$1,0))</f>
        <v>1</v>
      </c>
      <c r="Q180" s="6">
        <f>INDEX([1]products!$A$1:$G$49,MATCH([1]orders!$D180,[1]products!$A$1:$A$49,0),MATCH([1]orders!L$1,[1]products!$A$1:$G$1,0))</f>
        <v>12.95</v>
      </c>
      <c r="R180" s="6">
        <f t="shared" si="10"/>
        <v>25.9</v>
      </c>
      <c r="S180">
        <f>VLOOKUP(L180,Products!$A$2:$G$49,7,0)</f>
        <v>1.1655</v>
      </c>
      <c r="T180">
        <f t="shared" si="13"/>
        <v>2.331</v>
      </c>
      <c r="U180" s="33">
        <f t="shared" si="14"/>
        <v>9</v>
      </c>
    </row>
    <row r="181" spans="1:21" x14ac:dyDescent="0.25">
      <c r="A181" s="1" t="s">
        <v>385</v>
      </c>
      <c r="B181" s="28">
        <v>43830</v>
      </c>
      <c r="C181" s="21" t="str">
        <f t="shared" si="11"/>
        <v>2019</v>
      </c>
      <c r="D181" s="19" t="str">
        <f t="shared" si="12"/>
        <v>December</v>
      </c>
      <c r="E181" s="3" t="s">
        <v>386</v>
      </c>
      <c r="F181" s="3" t="str">
        <f>VLOOKUP(E181,Customers!$A$2:$I$1001,2,0)</f>
        <v>Tiffany Scardafield</v>
      </c>
      <c r="G181" s="3" t="str">
        <f>VLOOKUP(E181,Customers!$A$2:$I$1001,3,0)</f>
        <v>UNKNOWN</v>
      </c>
      <c r="H181" s="3" t="str">
        <f>VLOOKUP(E181,Customers!$A$2:$I$1001,4,0)</f>
        <v>+353 (232) 652-5145</v>
      </c>
      <c r="I181" s="25" t="str">
        <f>VLOOKUP(E181,Customers!$A$2:$I$1001,6,0)</f>
        <v>Portarlington</v>
      </c>
      <c r="J181" s="25" t="str">
        <f>VLOOKUP(E181,Customers!$A$2:$I$1001,7,0)</f>
        <v>Ireland</v>
      </c>
      <c r="K181" s="23" t="str">
        <f>VLOOKUP(E181,Customers!$A$2:$I$1001,9,0)</f>
        <v>No</v>
      </c>
      <c r="L181" s="4" t="s">
        <v>54</v>
      </c>
      <c r="M181" s="4" t="str">
        <f>VLOOKUP(L181,Products!$A$2:$G$49,2,0)</f>
        <v>Arabica</v>
      </c>
      <c r="N181" s="4" t="str">
        <f>VLOOKUP(L181,Products!$A$2:$G$49,3,0)</f>
        <v>Dark</v>
      </c>
      <c r="O181" s="25">
        <v>1</v>
      </c>
      <c r="P181" s="5">
        <f>INDEX([1]products!$A$1:$G$49,MATCH([1]orders!$D181,[1]products!$A$1:$A$49,0),MATCH([1]orders!K$1,[1]products!$A$1:$G$1,0))</f>
        <v>0.2</v>
      </c>
      <c r="Q181" s="6">
        <f>INDEX([1]products!$A$1:$G$49,MATCH([1]orders!$D181,[1]products!$A$1:$A$49,0),MATCH([1]orders!L$1,[1]products!$A$1:$G$1,0))</f>
        <v>2.9849999999999999</v>
      </c>
      <c r="R181" s="6">
        <f t="shared" si="10"/>
        <v>2.9849999999999999</v>
      </c>
      <c r="S181">
        <f>VLOOKUP(L181,Products!$A$2:$G$49,7,0)</f>
        <v>0.26865</v>
      </c>
      <c r="T181">
        <f t="shared" si="13"/>
        <v>0.26865</v>
      </c>
      <c r="U181" s="33">
        <f t="shared" si="14"/>
        <v>9.0000000000000018</v>
      </c>
    </row>
    <row r="182" spans="1:21" x14ac:dyDescent="0.25">
      <c r="A182" s="1" t="s">
        <v>387</v>
      </c>
      <c r="B182" s="28">
        <v>43910</v>
      </c>
      <c r="C182" s="21" t="str">
        <f t="shared" si="11"/>
        <v>2020</v>
      </c>
      <c r="D182" s="19" t="str">
        <f t="shared" si="12"/>
        <v>March</v>
      </c>
      <c r="E182" s="3" t="s">
        <v>388</v>
      </c>
      <c r="F182" s="3" t="str">
        <f>VLOOKUP(E182,Customers!$A$2:$I$1001,2,0)</f>
        <v>Abrahan Mussen</v>
      </c>
      <c r="G182" s="3" t="str">
        <f>VLOOKUP(E182,Customers!$A$2:$I$1001,3,0)</f>
        <v>amussen50@51.la</v>
      </c>
      <c r="H182" s="3" t="str">
        <f>VLOOKUP(E182,Customers!$A$2:$I$1001,4,0)</f>
        <v>+1 (212) 630-8669</v>
      </c>
      <c r="I182" s="25" t="str">
        <f>VLOOKUP(E182,Customers!$A$2:$I$1001,6,0)</f>
        <v>Brooklyn</v>
      </c>
      <c r="J182" s="25" t="str">
        <f>VLOOKUP(E182,Customers!$A$2:$I$1001,7,0)</f>
        <v>United States</v>
      </c>
      <c r="K182" s="23" t="str">
        <f>VLOOKUP(E182,Customers!$A$2:$I$1001,9,0)</f>
        <v>No</v>
      </c>
      <c r="L182" s="4" t="s">
        <v>254</v>
      </c>
      <c r="M182" s="4" t="str">
        <f>VLOOKUP(L182,Products!$A$2:$G$49,2,0)</f>
        <v>Excelsa</v>
      </c>
      <c r="N182" s="4" t="str">
        <f>VLOOKUP(L182,Products!$A$2:$G$49,3,0)</f>
        <v>Light</v>
      </c>
      <c r="O182" s="25">
        <v>5</v>
      </c>
      <c r="P182" s="5">
        <f>INDEX([1]products!$A$1:$G$49,MATCH([1]orders!$D182,[1]products!$A$1:$A$49,0),MATCH([1]orders!K$1,[1]products!$A$1:$G$1,0))</f>
        <v>0.2</v>
      </c>
      <c r="Q182" s="6">
        <f>INDEX([1]products!$A$1:$G$49,MATCH([1]orders!$D182,[1]products!$A$1:$A$49,0),MATCH([1]orders!L$1,[1]products!$A$1:$G$1,0))</f>
        <v>4.4550000000000001</v>
      </c>
      <c r="R182" s="6">
        <f t="shared" si="10"/>
        <v>22.274999999999999</v>
      </c>
      <c r="S182">
        <f>VLOOKUP(L182,Products!$A$2:$G$49,7,0)</f>
        <v>0.49004999999999999</v>
      </c>
      <c r="T182">
        <f t="shared" si="13"/>
        <v>2.45025</v>
      </c>
      <c r="U182" s="33">
        <f t="shared" si="14"/>
        <v>11.000000000000002</v>
      </c>
    </row>
    <row r="183" spans="1:21" x14ac:dyDescent="0.25">
      <c r="A183" s="1" t="s">
        <v>387</v>
      </c>
      <c r="B183" s="28">
        <v>43910</v>
      </c>
      <c r="C183" s="21" t="str">
        <f t="shared" si="11"/>
        <v>2020</v>
      </c>
      <c r="D183" s="19" t="str">
        <f t="shared" si="12"/>
        <v>March</v>
      </c>
      <c r="E183" s="3" t="s">
        <v>388</v>
      </c>
      <c r="F183" s="3" t="str">
        <f>VLOOKUP(E183,Customers!$A$2:$I$1001,2,0)</f>
        <v>Abrahan Mussen</v>
      </c>
      <c r="G183" s="3" t="str">
        <f>VLOOKUP(E183,Customers!$A$2:$I$1001,3,0)</f>
        <v>amussen50@51.la</v>
      </c>
      <c r="H183" s="3" t="str">
        <f>VLOOKUP(E183,Customers!$A$2:$I$1001,4,0)</f>
        <v>+1 (212) 630-8669</v>
      </c>
      <c r="I183" s="25" t="str">
        <f>VLOOKUP(E183,Customers!$A$2:$I$1001,6,0)</f>
        <v>Brooklyn</v>
      </c>
      <c r="J183" s="25" t="str">
        <f>VLOOKUP(E183,Customers!$A$2:$I$1001,7,0)</f>
        <v>United States</v>
      </c>
      <c r="K183" s="23" t="str">
        <f>VLOOKUP(E183,Customers!$A$2:$I$1001,9,0)</f>
        <v>No</v>
      </c>
      <c r="L183" s="4" t="s">
        <v>72</v>
      </c>
      <c r="M183" s="4" t="str">
        <f>VLOOKUP(L183,Products!$A$2:$G$49,2,0)</f>
        <v>Arabica</v>
      </c>
      <c r="N183" s="4" t="str">
        <f>VLOOKUP(L183,Products!$A$2:$G$49,3,0)</f>
        <v>Dark</v>
      </c>
      <c r="O183" s="25">
        <v>5</v>
      </c>
      <c r="P183" s="5">
        <f>INDEX([1]products!$A$1:$G$49,MATCH([1]orders!$D183,[1]products!$A$1:$A$49,0),MATCH([1]orders!K$1,[1]products!$A$1:$G$1,0))</f>
        <v>0.5</v>
      </c>
      <c r="Q183" s="6">
        <f>INDEX([1]products!$A$1:$G$49,MATCH([1]orders!$D183,[1]products!$A$1:$A$49,0),MATCH([1]orders!L$1,[1]products!$A$1:$G$1,0))</f>
        <v>5.97</v>
      </c>
      <c r="R183" s="6">
        <f t="shared" si="10"/>
        <v>29.849999999999998</v>
      </c>
      <c r="S183">
        <f>VLOOKUP(L183,Products!$A$2:$G$49,7,0)</f>
        <v>0.5373</v>
      </c>
      <c r="T183">
        <f t="shared" si="13"/>
        <v>2.6865000000000001</v>
      </c>
      <c r="U183" s="33">
        <f t="shared" si="14"/>
        <v>9.0000000000000018</v>
      </c>
    </row>
    <row r="184" spans="1:21" x14ac:dyDescent="0.25">
      <c r="A184" s="1" t="s">
        <v>389</v>
      </c>
      <c r="B184" s="28">
        <v>44284</v>
      </c>
      <c r="C184" s="21" t="str">
        <f t="shared" si="11"/>
        <v>2021</v>
      </c>
      <c r="D184" s="19" t="str">
        <f t="shared" si="12"/>
        <v>March</v>
      </c>
      <c r="E184" s="3" t="s">
        <v>390</v>
      </c>
      <c r="F184" s="3" t="str">
        <f>VLOOKUP(E184,Customers!$A$2:$I$1001,2,0)</f>
        <v>Anny Mundford</v>
      </c>
      <c r="G184" s="3" t="str">
        <f>VLOOKUP(E184,Customers!$A$2:$I$1001,3,0)</f>
        <v>amundford52@nbcnews.com</v>
      </c>
      <c r="H184" s="3" t="str">
        <f>VLOOKUP(E184,Customers!$A$2:$I$1001,4,0)</f>
        <v>+1 (434) 738-7279</v>
      </c>
      <c r="I184" s="25" t="str">
        <f>VLOOKUP(E184,Customers!$A$2:$I$1001,6,0)</f>
        <v>Charlottesville</v>
      </c>
      <c r="J184" s="25" t="str">
        <f>VLOOKUP(E184,Customers!$A$2:$I$1001,7,0)</f>
        <v>United States</v>
      </c>
      <c r="K184" s="23" t="str">
        <f>VLOOKUP(E184,Customers!$A$2:$I$1001,9,0)</f>
        <v>No</v>
      </c>
      <c r="L184" s="4" t="s">
        <v>146</v>
      </c>
      <c r="M184" s="4" t="str">
        <f>VLOOKUP(L184,Products!$A$2:$G$49,2,0)</f>
        <v>Robusta</v>
      </c>
      <c r="N184" s="4" t="str">
        <f>VLOOKUP(L184,Products!$A$2:$G$49,3,0)</f>
        <v>Dark</v>
      </c>
      <c r="O184" s="25">
        <v>6</v>
      </c>
      <c r="P184" s="5">
        <f>INDEX([1]products!$A$1:$G$49,MATCH([1]orders!$D184,[1]products!$A$1:$A$49,0),MATCH([1]orders!K$1,[1]products!$A$1:$G$1,0))</f>
        <v>0.5</v>
      </c>
      <c r="Q184" s="6">
        <f>INDEX([1]products!$A$1:$G$49,MATCH([1]orders!$D184,[1]products!$A$1:$A$49,0),MATCH([1]orders!L$1,[1]products!$A$1:$G$1,0))</f>
        <v>5.3699999999999992</v>
      </c>
      <c r="R184" s="6">
        <f t="shared" si="10"/>
        <v>32.22</v>
      </c>
      <c r="S184">
        <f>VLOOKUP(L184,Products!$A$2:$G$49,7,0)</f>
        <v>0.32219999999999993</v>
      </c>
      <c r="T184">
        <f t="shared" si="13"/>
        <v>1.9331999999999996</v>
      </c>
      <c r="U184" s="33">
        <f t="shared" si="14"/>
        <v>5.9999999999999991</v>
      </c>
    </row>
    <row r="185" spans="1:21" x14ac:dyDescent="0.25">
      <c r="A185" s="1" t="s">
        <v>391</v>
      </c>
      <c r="B185" s="28">
        <v>44512</v>
      </c>
      <c r="C185" s="21" t="str">
        <f t="shared" si="11"/>
        <v>2021</v>
      </c>
      <c r="D185" s="19" t="str">
        <f t="shared" si="12"/>
        <v>November</v>
      </c>
      <c r="E185" s="3" t="s">
        <v>392</v>
      </c>
      <c r="F185" s="3" t="str">
        <f>VLOOKUP(E185,Customers!$A$2:$I$1001,2,0)</f>
        <v>Tory Walas</v>
      </c>
      <c r="G185" s="3" t="str">
        <f>VLOOKUP(E185,Customers!$A$2:$I$1001,3,0)</f>
        <v>twalas53@google.ca</v>
      </c>
      <c r="H185" s="3" t="str">
        <f>VLOOKUP(E185,Customers!$A$2:$I$1001,4,0)</f>
        <v>+1 (214) 205-7809</v>
      </c>
      <c r="I185" s="25" t="str">
        <f>VLOOKUP(E185,Customers!$A$2:$I$1001,6,0)</f>
        <v>Garland</v>
      </c>
      <c r="J185" s="25" t="str">
        <f>VLOOKUP(E185,Customers!$A$2:$I$1001,7,0)</f>
        <v>United States</v>
      </c>
      <c r="K185" s="23" t="str">
        <f>VLOOKUP(E185,Customers!$A$2:$I$1001,9,0)</f>
        <v>No</v>
      </c>
      <c r="L185" s="4" t="s">
        <v>64</v>
      </c>
      <c r="M185" s="4" t="str">
        <f>VLOOKUP(L185,Products!$A$2:$G$49,2,0)</f>
        <v>Excelsa</v>
      </c>
      <c r="N185" s="4" t="str">
        <f>VLOOKUP(L185,Products!$A$2:$G$49,3,0)</f>
        <v>Medium</v>
      </c>
      <c r="O185" s="25">
        <v>2</v>
      </c>
      <c r="P185" s="5">
        <f>INDEX([1]products!$A$1:$G$49,MATCH([1]orders!$D185,[1]products!$A$1:$A$49,0),MATCH([1]orders!K$1,[1]products!$A$1:$G$1,0))</f>
        <v>0.2</v>
      </c>
      <c r="Q185" s="6">
        <f>INDEX([1]products!$A$1:$G$49,MATCH([1]orders!$D185,[1]products!$A$1:$A$49,0),MATCH([1]orders!L$1,[1]products!$A$1:$G$1,0))</f>
        <v>4.125</v>
      </c>
      <c r="R185" s="6">
        <f t="shared" si="10"/>
        <v>8.25</v>
      </c>
      <c r="S185">
        <f>VLOOKUP(L185,Products!$A$2:$G$49,7,0)</f>
        <v>0.45374999999999999</v>
      </c>
      <c r="T185">
        <f t="shared" si="13"/>
        <v>0.90749999999999997</v>
      </c>
      <c r="U185" s="33">
        <f t="shared" si="14"/>
        <v>11</v>
      </c>
    </row>
    <row r="186" spans="1:21" x14ac:dyDescent="0.25">
      <c r="A186" s="1" t="s">
        <v>393</v>
      </c>
      <c r="B186" s="28">
        <v>44397</v>
      </c>
      <c r="C186" s="21" t="str">
        <f t="shared" si="11"/>
        <v>2021</v>
      </c>
      <c r="D186" s="19" t="str">
        <f t="shared" si="12"/>
        <v>July</v>
      </c>
      <c r="E186" s="3" t="s">
        <v>394</v>
      </c>
      <c r="F186" s="3" t="str">
        <f>VLOOKUP(E186,Customers!$A$2:$I$1001,2,0)</f>
        <v>Isa Blazewicz</v>
      </c>
      <c r="G186" s="3" t="str">
        <f>VLOOKUP(E186,Customers!$A$2:$I$1001,3,0)</f>
        <v>iblazewicz54@thetimes.co.uk</v>
      </c>
      <c r="H186" s="3" t="str">
        <f>VLOOKUP(E186,Customers!$A$2:$I$1001,4,0)</f>
        <v>+1 (612) 683-3450</v>
      </c>
      <c r="I186" s="25" t="str">
        <f>VLOOKUP(E186,Customers!$A$2:$I$1001,6,0)</f>
        <v>Minneapolis</v>
      </c>
      <c r="J186" s="25" t="str">
        <f>VLOOKUP(E186,Customers!$A$2:$I$1001,7,0)</f>
        <v>United States</v>
      </c>
      <c r="K186" s="23" t="str">
        <f>VLOOKUP(E186,Customers!$A$2:$I$1001,9,0)</f>
        <v>No</v>
      </c>
      <c r="L186" s="4" t="s">
        <v>192</v>
      </c>
      <c r="M186" s="4" t="str">
        <f>VLOOKUP(L186,Products!$A$2:$G$49,2,0)</f>
        <v>Arabica</v>
      </c>
      <c r="N186" s="4" t="str">
        <f>VLOOKUP(L186,Products!$A$2:$G$49,3,0)</f>
        <v>Light</v>
      </c>
      <c r="O186" s="25">
        <v>4</v>
      </c>
      <c r="P186" s="5">
        <f>INDEX([1]products!$A$1:$G$49,MATCH([1]orders!$D186,[1]products!$A$1:$A$49,0),MATCH([1]orders!K$1,[1]products!$A$1:$G$1,0))</f>
        <v>0.5</v>
      </c>
      <c r="Q186" s="6">
        <f>INDEX([1]products!$A$1:$G$49,MATCH([1]orders!$D186,[1]products!$A$1:$A$49,0),MATCH([1]orders!L$1,[1]products!$A$1:$G$1,0))</f>
        <v>7.77</v>
      </c>
      <c r="R186" s="6">
        <f t="shared" si="10"/>
        <v>31.08</v>
      </c>
      <c r="S186">
        <f>VLOOKUP(L186,Products!$A$2:$G$49,7,0)</f>
        <v>0.69929999999999992</v>
      </c>
      <c r="T186">
        <f t="shared" si="13"/>
        <v>2.7971999999999997</v>
      </c>
      <c r="U186" s="33">
        <f t="shared" si="14"/>
        <v>9</v>
      </c>
    </row>
    <row r="187" spans="1:21" x14ac:dyDescent="0.25">
      <c r="A187" s="1" t="s">
        <v>395</v>
      </c>
      <c r="B187" s="28">
        <v>43483</v>
      </c>
      <c r="C187" s="21" t="str">
        <f t="shared" si="11"/>
        <v>2019</v>
      </c>
      <c r="D187" s="19" t="str">
        <f t="shared" si="12"/>
        <v>January</v>
      </c>
      <c r="E187" s="3" t="s">
        <v>396</v>
      </c>
      <c r="F187" s="3" t="str">
        <f>VLOOKUP(E187,Customers!$A$2:$I$1001,2,0)</f>
        <v>Angie Rizzetti</v>
      </c>
      <c r="G187" s="3" t="str">
        <f>VLOOKUP(E187,Customers!$A$2:$I$1001,3,0)</f>
        <v>arizzetti55@naver.com</v>
      </c>
      <c r="H187" s="3" t="str">
        <f>VLOOKUP(E187,Customers!$A$2:$I$1001,4,0)</f>
        <v>+1 (517) 237-7606</v>
      </c>
      <c r="I187" s="25" t="str">
        <f>VLOOKUP(E187,Customers!$A$2:$I$1001,6,0)</f>
        <v>Lansing</v>
      </c>
      <c r="J187" s="25" t="str">
        <f>VLOOKUP(E187,Customers!$A$2:$I$1001,7,0)</f>
        <v>United States</v>
      </c>
      <c r="K187" s="23" t="str">
        <f>VLOOKUP(E187,Customers!$A$2:$I$1001,9,0)</f>
        <v>Yes</v>
      </c>
      <c r="L187" s="4" t="s">
        <v>16</v>
      </c>
      <c r="M187" s="4" t="str">
        <f>VLOOKUP(L187,Products!$A$2:$G$49,2,0)</f>
        <v>Excelsa</v>
      </c>
      <c r="N187" s="4" t="str">
        <f>VLOOKUP(L187,Products!$A$2:$G$49,3,0)</f>
        <v>Dark</v>
      </c>
      <c r="O187" s="25">
        <v>5</v>
      </c>
      <c r="P187" s="5">
        <f>INDEX([1]products!$A$1:$G$49,MATCH([1]orders!$D187,[1]products!$A$1:$A$49,0),MATCH([1]orders!K$1,[1]products!$A$1:$G$1,0))</f>
        <v>0.5</v>
      </c>
      <c r="Q187" s="6">
        <f>INDEX([1]products!$A$1:$G$49,MATCH([1]orders!$D187,[1]products!$A$1:$A$49,0),MATCH([1]orders!L$1,[1]products!$A$1:$G$1,0))</f>
        <v>7.29</v>
      </c>
      <c r="R187" s="6">
        <f t="shared" si="10"/>
        <v>36.450000000000003</v>
      </c>
      <c r="S187">
        <f>VLOOKUP(L187,Products!$A$2:$G$49,7,0)</f>
        <v>0.80190000000000006</v>
      </c>
      <c r="T187">
        <f t="shared" si="13"/>
        <v>4.0095000000000001</v>
      </c>
      <c r="U187" s="33">
        <f t="shared" si="14"/>
        <v>10.999999999999998</v>
      </c>
    </row>
    <row r="188" spans="1:21" x14ac:dyDescent="0.25">
      <c r="A188" s="1" t="s">
        <v>397</v>
      </c>
      <c r="B188" s="28">
        <v>43684</v>
      </c>
      <c r="C188" s="21" t="str">
        <f t="shared" si="11"/>
        <v>2019</v>
      </c>
      <c r="D188" s="19" t="str">
        <f t="shared" si="12"/>
        <v>August</v>
      </c>
      <c r="E188" s="3" t="s">
        <v>398</v>
      </c>
      <c r="F188" s="3" t="str">
        <f>VLOOKUP(E188,Customers!$A$2:$I$1001,2,0)</f>
        <v>Mord Meriet</v>
      </c>
      <c r="G188" s="3" t="str">
        <f>VLOOKUP(E188,Customers!$A$2:$I$1001,3,0)</f>
        <v>mmeriet56@noaa.gov</v>
      </c>
      <c r="H188" s="3" t="str">
        <f>VLOOKUP(E188,Customers!$A$2:$I$1001,4,0)</f>
        <v>+1 (701) 560-2604</v>
      </c>
      <c r="I188" s="25" t="str">
        <f>VLOOKUP(E188,Customers!$A$2:$I$1001,6,0)</f>
        <v>Grand Forks</v>
      </c>
      <c r="J188" s="25" t="str">
        <f>VLOOKUP(E188,Customers!$A$2:$I$1001,7,0)</f>
        <v>United States</v>
      </c>
      <c r="K188" s="23" t="str">
        <f>VLOOKUP(E188,Customers!$A$2:$I$1001,9,0)</f>
        <v>No</v>
      </c>
      <c r="L188" s="4" t="s">
        <v>41</v>
      </c>
      <c r="M188" s="4" t="str">
        <f>VLOOKUP(L188,Products!$A$2:$G$49,2,0)</f>
        <v>Robusta</v>
      </c>
      <c r="N188" s="4" t="str">
        <f>VLOOKUP(L188,Products!$A$2:$G$49,3,0)</f>
        <v>Medium</v>
      </c>
      <c r="O188" s="25">
        <v>3</v>
      </c>
      <c r="P188" s="5">
        <f>INDEX([1]products!$A$1:$G$49,MATCH([1]orders!$D188,[1]products!$A$1:$A$49,0),MATCH([1]orders!K$1,[1]products!$A$1:$G$1,0))</f>
        <v>2.5</v>
      </c>
      <c r="Q188" s="6">
        <f>INDEX([1]products!$A$1:$G$49,MATCH([1]orders!$D188,[1]products!$A$1:$A$49,0),MATCH([1]orders!L$1,[1]products!$A$1:$G$1,0))</f>
        <v>22.884999999999998</v>
      </c>
      <c r="R188" s="6">
        <f t="shared" si="10"/>
        <v>68.655000000000001</v>
      </c>
      <c r="S188">
        <f>VLOOKUP(L188,Products!$A$2:$G$49,7,0)</f>
        <v>1.3730999999999998</v>
      </c>
      <c r="T188">
        <f t="shared" si="13"/>
        <v>4.1192999999999991</v>
      </c>
      <c r="U188" s="33">
        <f t="shared" si="14"/>
        <v>5.9999999999999982</v>
      </c>
    </row>
    <row r="189" spans="1:21" x14ac:dyDescent="0.25">
      <c r="A189" s="1" t="s">
        <v>399</v>
      </c>
      <c r="B189" s="28">
        <v>44633</v>
      </c>
      <c r="C189" s="21" t="str">
        <f t="shared" si="11"/>
        <v>2022</v>
      </c>
      <c r="D189" s="19" t="str">
        <f t="shared" si="12"/>
        <v>March</v>
      </c>
      <c r="E189" s="3" t="s">
        <v>400</v>
      </c>
      <c r="F189" s="3" t="str">
        <f>VLOOKUP(E189,Customers!$A$2:$I$1001,2,0)</f>
        <v>Lawrence Pratt</v>
      </c>
      <c r="G189" s="3" t="str">
        <f>VLOOKUP(E189,Customers!$A$2:$I$1001,3,0)</f>
        <v>lpratt57@netvibes.com</v>
      </c>
      <c r="H189" s="3" t="str">
        <f>VLOOKUP(E189,Customers!$A$2:$I$1001,4,0)</f>
        <v>UNKNOWN</v>
      </c>
      <c r="I189" s="25" t="str">
        <f>VLOOKUP(E189,Customers!$A$2:$I$1001,6,0)</f>
        <v>Anchorage</v>
      </c>
      <c r="J189" s="25" t="str">
        <f>VLOOKUP(E189,Customers!$A$2:$I$1001,7,0)</f>
        <v>United States</v>
      </c>
      <c r="K189" s="23" t="str">
        <f>VLOOKUP(E189,Customers!$A$2:$I$1001,9,0)</f>
        <v>Yes</v>
      </c>
      <c r="L189" s="4" t="s">
        <v>78</v>
      </c>
      <c r="M189" s="4" t="str">
        <f>VLOOKUP(L189,Products!$A$2:$G$49,2,0)</f>
        <v>Liberica</v>
      </c>
      <c r="N189" s="4" t="str">
        <f>VLOOKUP(L189,Products!$A$2:$G$49,3,0)</f>
        <v>Medium</v>
      </c>
      <c r="O189" s="25">
        <v>5</v>
      </c>
      <c r="P189" s="5">
        <f>INDEX([1]products!$A$1:$G$49,MATCH([1]orders!$D189,[1]products!$A$1:$A$49,0),MATCH([1]orders!K$1,[1]products!$A$1:$G$1,0))</f>
        <v>0.5</v>
      </c>
      <c r="Q189" s="6">
        <f>INDEX([1]products!$A$1:$G$49,MATCH([1]orders!$D189,[1]products!$A$1:$A$49,0),MATCH([1]orders!L$1,[1]products!$A$1:$G$1,0))</f>
        <v>8.73</v>
      </c>
      <c r="R189" s="6">
        <f t="shared" si="10"/>
        <v>43.650000000000006</v>
      </c>
      <c r="S189">
        <f>VLOOKUP(L189,Products!$A$2:$G$49,7,0)</f>
        <v>1.1349</v>
      </c>
      <c r="T189">
        <f t="shared" si="13"/>
        <v>5.6745000000000001</v>
      </c>
      <c r="U189" s="33">
        <f t="shared" si="14"/>
        <v>12.999999999999998</v>
      </c>
    </row>
    <row r="190" spans="1:21" x14ac:dyDescent="0.25">
      <c r="A190" s="1" t="s">
        <v>401</v>
      </c>
      <c r="B190" s="28">
        <v>44698</v>
      </c>
      <c r="C190" s="21" t="str">
        <f t="shared" si="11"/>
        <v>2022</v>
      </c>
      <c r="D190" s="19" t="str">
        <f t="shared" si="12"/>
        <v>May</v>
      </c>
      <c r="E190" s="3" t="s">
        <v>402</v>
      </c>
      <c r="F190" s="3" t="str">
        <f>VLOOKUP(E190,Customers!$A$2:$I$1001,2,0)</f>
        <v>Astrix Kitchingham</v>
      </c>
      <c r="G190" s="3" t="str">
        <f>VLOOKUP(E190,Customers!$A$2:$I$1001,3,0)</f>
        <v>akitchingham58@com.com</v>
      </c>
      <c r="H190" s="3" t="str">
        <f>VLOOKUP(E190,Customers!$A$2:$I$1001,4,0)</f>
        <v>+1 (405) 645-2204</v>
      </c>
      <c r="I190" s="25" t="str">
        <f>VLOOKUP(E190,Customers!$A$2:$I$1001,6,0)</f>
        <v>Oklahoma City</v>
      </c>
      <c r="J190" s="25" t="str">
        <f>VLOOKUP(E190,Customers!$A$2:$I$1001,7,0)</f>
        <v>United States</v>
      </c>
      <c r="K190" s="23" t="str">
        <f>VLOOKUP(E190,Customers!$A$2:$I$1001,9,0)</f>
        <v>Yes</v>
      </c>
      <c r="L190" s="4" t="s">
        <v>254</v>
      </c>
      <c r="M190" s="4" t="str">
        <f>VLOOKUP(L190,Products!$A$2:$G$49,2,0)</f>
        <v>Excelsa</v>
      </c>
      <c r="N190" s="4" t="str">
        <f>VLOOKUP(L190,Products!$A$2:$G$49,3,0)</f>
        <v>Light</v>
      </c>
      <c r="O190" s="25">
        <v>1</v>
      </c>
      <c r="P190" s="5">
        <f>INDEX([1]products!$A$1:$G$49,MATCH([1]orders!$D190,[1]products!$A$1:$A$49,0),MATCH([1]orders!K$1,[1]products!$A$1:$G$1,0))</f>
        <v>0.2</v>
      </c>
      <c r="Q190" s="6">
        <f>INDEX([1]products!$A$1:$G$49,MATCH([1]orders!$D190,[1]products!$A$1:$A$49,0),MATCH([1]orders!L$1,[1]products!$A$1:$G$1,0))</f>
        <v>4.4550000000000001</v>
      </c>
      <c r="R190" s="6">
        <f t="shared" si="10"/>
        <v>4.4550000000000001</v>
      </c>
      <c r="S190">
        <f>VLOOKUP(L190,Products!$A$2:$G$49,7,0)</f>
        <v>0.49004999999999999</v>
      </c>
      <c r="T190">
        <f t="shared" si="13"/>
        <v>0.49004999999999999</v>
      </c>
      <c r="U190" s="33">
        <f t="shared" si="14"/>
        <v>11</v>
      </c>
    </row>
    <row r="191" spans="1:21" x14ac:dyDescent="0.25">
      <c r="A191" s="1" t="s">
        <v>403</v>
      </c>
      <c r="B191" s="28">
        <v>43813</v>
      </c>
      <c r="C191" s="21" t="str">
        <f t="shared" si="11"/>
        <v>2019</v>
      </c>
      <c r="D191" s="19" t="str">
        <f t="shared" si="12"/>
        <v>December</v>
      </c>
      <c r="E191" s="3" t="s">
        <v>404</v>
      </c>
      <c r="F191" s="3" t="str">
        <f>VLOOKUP(E191,Customers!$A$2:$I$1001,2,0)</f>
        <v>Burnard Bartholin</v>
      </c>
      <c r="G191" s="3" t="str">
        <f>VLOOKUP(E191,Customers!$A$2:$I$1001,3,0)</f>
        <v>bbartholin59@xinhuanet.com</v>
      </c>
      <c r="H191" s="3" t="str">
        <f>VLOOKUP(E191,Customers!$A$2:$I$1001,4,0)</f>
        <v>+1 (918) 720-2715</v>
      </c>
      <c r="I191" s="25" t="str">
        <f>VLOOKUP(E191,Customers!$A$2:$I$1001,6,0)</f>
        <v>Tulsa</v>
      </c>
      <c r="J191" s="25" t="str">
        <f>VLOOKUP(E191,Customers!$A$2:$I$1001,7,0)</f>
        <v>United States</v>
      </c>
      <c r="K191" s="23" t="str">
        <f>VLOOKUP(E191,Customers!$A$2:$I$1001,9,0)</f>
        <v>Yes</v>
      </c>
      <c r="L191" s="4" t="s">
        <v>96</v>
      </c>
      <c r="M191" s="4" t="str">
        <f>VLOOKUP(L191,Products!$A$2:$G$49,2,0)</f>
        <v>Liberica</v>
      </c>
      <c r="N191" s="4" t="str">
        <f>VLOOKUP(L191,Products!$A$2:$G$49,3,0)</f>
        <v>Medium</v>
      </c>
      <c r="O191" s="25">
        <v>3</v>
      </c>
      <c r="P191" s="5">
        <f>INDEX([1]products!$A$1:$G$49,MATCH([1]orders!$D191,[1]products!$A$1:$A$49,0),MATCH([1]orders!K$1,[1]products!$A$1:$G$1,0))</f>
        <v>1</v>
      </c>
      <c r="Q191" s="6">
        <f>INDEX([1]products!$A$1:$G$49,MATCH([1]orders!$D191,[1]products!$A$1:$A$49,0),MATCH([1]orders!L$1,[1]products!$A$1:$G$1,0))</f>
        <v>14.55</v>
      </c>
      <c r="R191" s="6">
        <f t="shared" si="10"/>
        <v>43.650000000000006</v>
      </c>
      <c r="S191">
        <f>VLOOKUP(L191,Products!$A$2:$G$49,7,0)</f>
        <v>1.8915000000000002</v>
      </c>
      <c r="T191">
        <f t="shared" si="13"/>
        <v>5.6745000000000001</v>
      </c>
      <c r="U191" s="33">
        <f t="shared" si="14"/>
        <v>12.999999999999998</v>
      </c>
    </row>
    <row r="192" spans="1:21" x14ac:dyDescent="0.25">
      <c r="A192" s="1" t="s">
        <v>405</v>
      </c>
      <c r="B192" s="28">
        <v>43845</v>
      </c>
      <c r="C192" s="21" t="str">
        <f t="shared" si="11"/>
        <v>2020</v>
      </c>
      <c r="D192" s="19" t="str">
        <f t="shared" si="12"/>
        <v>January</v>
      </c>
      <c r="E192" s="3" t="s">
        <v>406</v>
      </c>
      <c r="F192" s="3" t="str">
        <f>VLOOKUP(E192,Customers!$A$2:$I$1001,2,0)</f>
        <v>Madelene Prinn</v>
      </c>
      <c r="G192" s="3" t="str">
        <f>VLOOKUP(E192,Customers!$A$2:$I$1001,3,0)</f>
        <v>mprinn5a@usa.gov</v>
      </c>
      <c r="H192" s="3" t="str">
        <f>VLOOKUP(E192,Customers!$A$2:$I$1001,4,0)</f>
        <v>+1 (734) 909-6836</v>
      </c>
      <c r="I192" s="25" t="str">
        <f>VLOOKUP(E192,Customers!$A$2:$I$1001,6,0)</f>
        <v>Detroit</v>
      </c>
      <c r="J192" s="25" t="str">
        <f>VLOOKUP(E192,Customers!$A$2:$I$1001,7,0)</f>
        <v>United States</v>
      </c>
      <c r="K192" s="23" t="str">
        <f>VLOOKUP(E192,Customers!$A$2:$I$1001,9,0)</f>
        <v>Yes</v>
      </c>
      <c r="L192" s="4" t="s">
        <v>197</v>
      </c>
      <c r="M192" s="4" t="str">
        <f>VLOOKUP(L192,Products!$A$2:$G$49,2,0)</f>
        <v>Liberica</v>
      </c>
      <c r="N192" s="4" t="str">
        <f>VLOOKUP(L192,Products!$A$2:$G$49,3,0)</f>
        <v>Medium</v>
      </c>
      <c r="O192" s="25">
        <v>1</v>
      </c>
      <c r="P192" s="5">
        <f>INDEX([1]products!$A$1:$G$49,MATCH([1]orders!$D192,[1]products!$A$1:$A$49,0),MATCH([1]orders!K$1,[1]products!$A$1:$G$1,0))</f>
        <v>2.5</v>
      </c>
      <c r="Q192" s="6">
        <f>INDEX([1]products!$A$1:$G$49,MATCH([1]orders!$D192,[1]products!$A$1:$A$49,0),MATCH([1]orders!L$1,[1]products!$A$1:$G$1,0))</f>
        <v>33.464999999999996</v>
      </c>
      <c r="R192" s="6">
        <f t="shared" si="10"/>
        <v>33.464999999999996</v>
      </c>
      <c r="S192">
        <f>VLOOKUP(L192,Products!$A$2:$G$49,7,0)</f>
        <v>4.3504499999999995</v>
      </c>
      <c r="T192">
        <f t="shared" si="13"/>
        <v>4.3504499999999995</v>
      </c>
      <c r="U192" s="33">
        <f t="shared" si="14"/>
        <v>13</v>
      </c>
    </row>
    <row r="193" spans="1:21" x14ac:dyDescent="0.25">
      <c r="A193" s="1" t="s">
        <v>407</v>
      </c>
      <c r="B193" s="28">
        <v>43567</v>
      </c>
      <c r="C193" s="21" t="str">
        <f t="shared" si="11"/>
        <v>2019</v>
      </c>
      <c r="D193" s="19" t="str">
        <f t="shared" si="12"/>
        <v>April</v>
      </c>
      <c r="E193" s="3" t="s">
        <v>408</v>
      </c>
      <c r="F193" s="3" t="str">
        <f>VLOOKUP(E193,Customers!$A$2:$I$1001,2,0)</f>
        <v>Alisun Baudino</v>
      </c>
      <c r="G193" s="3" t="str">
        <f>VLOOKUP(E193,Customers!$A$2:$I$1001,3,0)</f>
        <v>abaudino5b@netvibes.com</v>
      </c>
      <c r="H193" s="3" t="str">
        <f>VLOOKUP(E193,Customers!$A$2:$I$1001,4,0)</f>
        <v>+1 (202) 328-7869</v>
      </c>
      <c r="I193" s="25" t="str">
        <f>VLOOKUP(E193,Customers!$A$2:$I$1001,6,0)</f>
        <v>Washington</v>
      </c>
      <c r="J193" s="25" t="str">
        <f>VLOOKUP(E193,Customers!$A$2:$I$1001,7,0)</f>
        <v>United States</v>
      </c>
      <c r="K193" s="23" t="str">
        <f>VLOOKUP(E193,Customers!$A$2:$I$1001,9,0)</f>
        <v>Yes</v>
      </c>
      <c r="L193" s="4" t="s">
        <v>38</v>
      </c>
      <c r="M193" s="4" t="str">
        <f>VLOOKUP(L193,Products!$A$2:$G$49,2,0)</f>
        <v>Liberica</v>
      </c>
      <c r="N193" s="4" t="str">
        <f>VLOOKUP(L193,Products!$A$2:$G$49,3,0)</f>
        <v>Dark</v>
      </c>
      <c r="O193" s="25">
        <v>5</v>
      </c>
      <c r="P193" s="5">
        <f>INDEX([1]products!$A$1:$G$49,MATCH([1]orders!$D193,[1]products!$A$1:$A$49,0),MATCH([1]orders!K$1,[1]products!$A$1:$G$1,0))</f>
        <v>0.2</v>
      </c>
      <c r="Q193" s="6">
        <f>INDEX([1]products!$A$1:$G$49,MATCH([1]orders!$D193,[1]products!$A$1:$A$49,0),MATCH([1]orders!L$1,[1]products!$A$1:$G$1,0))</f>
        <v>3.8849999999999998</v>
      </c>
      <c r="R193" s="6">
        <f t="shared" si="10"/>
        <v>19.424999999999997</v>
      </c>
      <c r="S193">
        <f>VLOOKUP(L193,Products!$A$2:$G$49,7,0)</f>
        <v>0.50505</v>
      </c>
      <c r="T193">
        <f t="shared" si="13"/>
        <v>2.5252499999999998</v>
      </c>
      <c r="U193" s="33">
        <f t="shared" si="14"/>
        <v>13</v>
      </c>
    </row>
    <row r="194" spans="1:21" x14ac:dyDescent="0.25">
      <c r="A194" s="1" t="s">
        <v>409</v>
      </c>
      <c r="B194" s="28">
        <v>43919</v>
      </c>
      <c r="C194" s="21" t="str">
        <f t="shared" si="11"/>
        <v>2020</v>
      </c>
      <c r="D194" s="19" t="str">
        <f t="shared" si="12"/>
        <v>March</v>
      </c>
      <c r="E194" s="3" t="s">
        <v>410</v>
      </c>
      <c r="F194" s="3" t="str">
        <f>VLOOKUP(E194,Customers!$A$2:$I$1001,2,0)</f>
        <v>Philipa Petrushanko</v>
      </c>
      <c r="G194" s="3" t="str">
        <f>VLOOKUP(E194,Customers!$A$2:$I$1001,3,0)</f>
        <v>ppetrushanko5c@blinklist.com</v>
      </c>
      <c r="H194" s="3" t="str">
        <f>VLOOKUP(E194,Customers!$A$2:$I$1001,4,0)</f>
        <v>+353 (540) 480-2145</v>
      </c>
      <c r="I194" s="25" t="str">
        <f>VLOOKUP(E194,Customers!$A$2:$I$1001,6,0)</f>
        <v>Nenagh</v>
      </c>
      <c r="J194" s="25" t="str">
        <f>VLOOKUP(E194,Customers!$A$2:$I$1001,7,0)</f>
        <v>Ireland</v>
      </c>
      <c r="K194" s="23" t="str">
        <f>VLOOKUP(E194,Customers!$A$2:$I$1001,9,0)</f>
        <v>Yes</v>
      </c>
      <c r="L194" s="4" t="s">
        <v>245</v>
      </c>
      <c r="M194" s="4" t="str">
        <f>VLOOKUP(L194,Products!$A$2:$G$49,2,0)</f>
        <v>Excelsa</v>
      </c>
      <c r="N194" s="4" t="str">
        <f>VLOOKUP(L194,Products!$A$2:$G$49,3,0)</f>
        <v>Dark</v>
      </c>
      <c r="O194" s="25">
        <v>6</v>
      </c>
      <c r="P194" s="5">
        <f>INDEX([1]products!$A$1:$G$49,MATCH([1]orders!$D194,[1]products!$A$1:$A$49,0),MATCH([1]orders!K$1,[1]products!$A$1:$G$1,0))</f>
        <v>1</v>
      </c>
      <c r="Q194" s="6">
        <f>INDEX([1]products!$A$1:$G$49,MATCH([1]orders!$D194,[1]products!$A$1:$A$49,0),MATCH([1]orders!L$1,[1]products!$A$1:$G$1,0))</f>
        <v>12.15</v>
      </c>
      <c r="R194" s="6">
        <f t="shared" ref="R194:R257" si="15">O194*Q194</f>
        <v>72.900000000000006</v>
      </c>
      <c r="S194">
        <f>VLOOKUP(L194,Products!$A$2:$G$49,7,0)</f>
        <v>1.3365</v>
      </c>
      <c r="T194">
        <f t="shared" si="13"/>
        <v>8.0190000000000001</v>
      </c>
      <c r="U194" s="33">
        <f t="shared" si="14"/>
        <v>10.999999999999998</v>
      </c>
    </row>
    <row r="195" spans="1:21" x14ac:dyDescent="0.25">
      <c r="A195" s="1" t="s">
        <v>411</v>
      </c>
      <c r="B195" s="28">
        <v>44644</v>
      </c>
      <c r="C195" s="21" t="str">
        <f t="shared" ref="C195:C258" si="16">TEXT(B195,"yyyy")</f>
        <v>2022</v>
      </c>
      <c r="D195" s="19" t="str">
        <f t="shared" ref="D195:D258" si="17">TEXT(B195,"mmmm")</f>
        <v>March</v>
      </c>
      <c r="E195" s="3" t="s">
        <v>412</v>
      </c>
      <c r="F195" s="3" t="str">
        <f>VLOOKUP(E195,Customers!$A$2:$I$1001,2,0)</f>
        <v>Kimberli Mustchin</v>
      </c>
      <c r="G195" s="3" t="str">
        <f>VLOOKUP(E195,Customers!$A$2:$I$1001,3,0)</f>
        <v>UNKNOWN</v>
      </c>
      <c r="H195" s="3" t="str">
        <f>VLOOKUP(E195,Customers!$A$2:$I$1001,4,0)</f>
        <v>+1 (602) 411-5038</v>
      </c>
      <c r="I195" s="25" t="str">
        <f>VLOOKUP(E195,Customers!$A$2:$I$1001,6,0)</f>
        <v>Mesa</v>
      </c>
      <c r="J195" s="25" t="str">
        <f>VLOOKUP(E195,Customers!$A$2:$I$1001,7,0)</f>
        <v>United States</v>
      </c>
      <c r="K195" s="23" t="str">
        <f>VLOOKUP(E195,Customers!$A$2:$I$1001,9,0)</f>
        <v>No</v>
      </c>
      <c r="L195" s="4" t="s">
        <v>137</v>
      </c>
      <c r="M195" s="4" t="str">
        <f>VLOOKUP(L195,Products!$A$2:$G$49,2,0)</f>
        <v>Excelsa</v>
      </c>
      <c r="N195" s="4" t="str">
        <f>VLOOKUP(L195,Products!$A$2:$G$49,3,0)</f>
        <v>Light</v>
      </c>
      <c r="O195" s="25">
        <v>3</v>
      </c>
      <c r="P195" s="5">
        <f>INDEX([1]products!$A$1:$G$49,MATCH([1]orders!$D195,[1]products!$A$1:$A$49,0),MATCH([1]orders!K$1,[1]products!$A$1:$G$1,0))</f>
        <v>1</v>
      </c>
      <c r="Q195" s="6">
        <f>INDEX([1]products!$A$1:$G$49,MATCH([1]orders!$D195,[1]products!$A$1:$A$49,0),MATCH([1]orders!L$1,[1]products!$A$1:$G$1,0))</f>
        <v>14.85</v>
      </c>
      <c r="R195" s="6">
        <f t="shared" si="15"/>
        <v>44.55</v>
      </c>
      <c r="S195">
        <f>VLOOKUP(L195,Products!$A$2:$G$49,7,0)</f>
        <v>1.6335</v>
      </c>
      <c r="T195">
        <f t="shared" ref="T195:T258" si="18">O195*S195</f>
        <v>4.9005000000000001</v>
      </c>
      <c r="U195" s="33">
        <f t="shared" ref="U195:U258" si="19">T195/R195*100</f>
        <v>11.000000000000002</v>
      </c>
    </row>
    <row r="196" spans="1:21" x14ac:dyDescent="0.25">
      <c r="A196" s="1" t="s">
        <v>413</v>
      </c>
      <c r="B196" s="28">
        <v>44398</v>
      </c>
      <c r="C196" s="21" t="str">
        <f t="shared" si="16"/>
        <v>2021</v>
      </c>
      <c r="D196" s="19" t="str">
        <f t="shared" si="17"/>
        <v>July</v>
      </c>
      <c r="E196" s="3" t="s">
        <v>414</v>
      </c>
      <c r="F196" s="3" t="str">
        <f>VLOOKUP(E196,Customers!$A$2:$I$1001,2,0)</f>
        <v>Emlynne Laird</v>
      </c>
      <c r="G196" s="3" t="str">
        <f>VLOOKUP(E196,Customers!$A$2:$I$1001,3,0)</f>
        <v>elaird5e@bing.com</v>
      </c>
      <c r="H196" s="3" t="str">
        <f>VLOOKUP(E196,Customers!$A$2:$I$1001,4,0)</f>
        <v>+1 (330) 112-0053</v>
      </c>
      <c r="I196" s="25" t="str">
        <f>VLOOKUP(E196,Customers!$A$2:$I$1001,6,0)</f>
        <v>Warren</v>
      </c>
      <c r="J196" s="25" t="str">
        <f>VLOOKUP(E196,Customers!$A$2:$I$1001,7,0)</f>
        <v>United States</v>
      </c>
      <c r="K196" s="23" t="str">
        <f>VLOOKUP(E196,Customers!$A$2:$I$1001,9,0)</f>
        <v>No</v>
      </c>
      <c r="L196" s="4" t="s">
        <v>16</v>
      </c>
      <c r="M196" s="4" t="str">
        <f>VLOOKUP(L196,Products!$A$2:$G$49,2,0)</f>
        <v>Excelsa</v>
      </c>
      <c r="N196" s="4" t="str">
        <f>VLOOKUP(L196,Products!$A$2:$G$49,3,0)</f>
        <v>Dark</v>
      </c>
      <c r="O196" s="25">
        <v>5</v>
      </c>
      <c r="P196" s="5">
        <f>INDEX([1]products!$A$1:$G$49,MATCH([1]orders!$D196,[1]products!$A$1:$A$49,0),MATCH([1]orders!K$1,[1]products!$A$1:$G$1,0))</f>
        <v>0.5</v>
      </c>
      <c r="Q196" s="6">
        <f>INDEX([1]products!$A$1:$G$49,MATCH([1]orders!$D196,[1]products!$A$1:$A$49,0),MATCH([1]orders!L$1,[1]products!$A$1:$G$1,0))</f>
        <v>7.29</v>
      </c>
      <c r="R196" s="6">
        <f t="shared" si="15"/>
        <v>36.450000000000003</v>
      </c>
      <c r="S196">
        <f>VLOOKUP(L196,Products!$A$2:$G$49,7,0)</f>
        <v>0.80190000000000006</v>
      </c>
      <c r="T196">
        <f t="shared" si="18"/>
        <v>4.0095000000000001</v>
      </c>
      <c r="U196" s="33">
        <f t="shared" si="19"/>
        <v>10.999999999999998</v>
      </c>
    </row>
    <row r="197" spans="1:21" x14ac:dyDescent="0.25">
      <c r="A197" s="1" t="s">
        <v>415</v>
      </c>
      <c r="B197" s="28">
        <v>43683</v>
      </c>
      <c r="C197" s="21" t="str">
        <f t="shared" si="16"/>
        <v>2019</v>
      </c>
      <c r="D197" s="19" t="str">
        <f t="shared" si="17"/>
        <v>August</v>
      </c>
      <c r="E197" s="3" t="s">
        <v>416</v>
      </c>
      <c r="F197" s="3" t="str">
        <f>VLOOKUP(E197,Customers!$A$2:$I$1001,2,0)</f>
        <v>Marlena Howsden</v>
      </c>
      <c r="G197" s="3" t="str">
        <f>VLOOKUP(E197,Customers!$A$2:$I$1001,3,0)</f>
        <v>mhowsden5f@infoseek.co.jp</v>
      </c>
      <c r="H197" s="3" t="str">
        <f>VLOOKUP(E197,Customers!$A$2:$I$1001,4,0)</f>
        <v>+1 (901) 806-9640</v>
      </c>
      <c r="I197" s="25" t="str">
        <f>VLOOKUP(E197,Customers!$A$2:$I$1001,6,0)</f>
        <v>Memphis</v>
      </c>
      <c r="J197" s="25" t="str">
        <f>VLOOKUP(E197,Customers!$A$2:$I$1001,7,0)</f>
        <v>United States</v>
      </c>
      <c r="K197" s="23" t="str">
        <f>VLOOKUP(E197,Customers!$A$2:$I$1001,9,0)</f>
        <v>No</v>
      </c>
      <c r="L197" s="4" t="s">
        <v>6</v>
      </c>
      <c r="M197" s="4" t="str">
        <f>VLOOKUP(L197,Products!$A$2:$G$49,2,0)</f>
        <v>Arabica</v>
      </c>
      <c r="N197" s="4" t="str">
        <f>VLOOKUP(L197,Products!$A$2:$G$49,3,0)</f>
        <v>Light</v>
      </c>
      <c r="O197" s="25">
        <v>3</v>
      </c>
      <c r="P197" s="5">
        <f>INDEX([1]products!$A$1:$G$49,MATCH([1]orders!$D197,[1]products!$A$1:$A$49,0),MATCH([1]orders!K$1,[1]products!$A$1:$G$1,0))</f>
        <v>1</v>
      </c>
      <c r="Q197" s="6">
        <f>INDEX([1]products!$A$1:$G$49,MATCH([1]orders!$D197,[1]products!$A$1:$A$49,0),MATCH([1]orders!L$1,[1]products!$A$1:$G$1,0))</f>
        <v>12.95</v>
      </c>
      <c r="R197" s="6">
        <f t="shared" si="15"/>
        <v>38.849999999999994</v>
      </c>
      <c r="S197">
        <f>VLOOKUP(L197,Products!$A$2:$G$49,7,0)</f>
        <v>1.1655</v>
      </c>
      <c r="T197">
        <f t="shared" si="18"/>
        <v>3.4965000000000002</v>
      </c>
      <c r="U197" s="33">
        <f t="shared" si="19"/>
        <v>9.0000000000000018</v>
      </c>
    </row>
    <row r="198" spans="1:21" x14ac:dyDescent="0.25">
      <c r="A198" s="1" t="s">
        <v>417</v>
      </c>
      <c r="B198" s="28">
        <v>44339</v>
      </c>
      <c r="C198" s="21" t="str">
        <f t="shared" si="16"/>
        <v>2021</v>
      </c>
      <c r="D198" s="19" t="str">
        <f t="shared" si="17"/>
        <v>May</v>
      </c>
      <c r="E198" s="3" t="s">
        <v>418</v>
      </c>
      <c r="F198" s="3" t="str">
        <f>VLOOKUP(E198,Customers!$A$2:$I$1001,2,0)</f>
        <v>Nealson Cuttler</v>
      </c>
      <c r="G198" s="3" t="str">
        <f>VLOOKUP(E198,Customers!$A$2:$I$1001,3,0)</f>
        <v>ncuttler5g@parallels.com</v>
      </c>
      <c r="H198" s="3" t="str">
        <f>VLOOKUP(E198,Customers!$A$2:$I$1001,4,0)</f>
        <v>UNKNOWN</v>
      </c>
      <c r="I198" s="25" t="str">
        <f>VLOOKUP(E198,Customers!$A$2:$I$1001,6,0)</f>
        <v>Washington</v>
      </c>
      <c r="J198" s="25" t="str">
        <f>VLOOKUP(E198,Customers!$A$2:$I$1001,7,0)</f>
        <v>United States</v>
      </c>
      <c r="K198" s="23" t="str">
        <f>VLOOKUP(E198,Customers!$A$2:$I$1001,9,0)</f>
        <v>No</v>
      </c>
      <c r="L198" s="4" t="s">
        <v>176</v>
      </c>
      <c r="M198" s="4" t="str">
        <f>VLOOKUP(L198,Products!$A$2:$G$49,2,0)</f>
        <v>Excelsa</v>
      </c>
      <c r="N198" s="4" t="str">
        <f>VLOOKUP(L198,Products!$A$2:$G$49,3,0)</f>
        <v>Light</v>
      </c>
      <c r="O198" s="25">
        <v>6</v>
      </c>
      <c r="P198" s="5">
        <f>INDEX([1]products!$A$1:$G$49,MATCH([1]orders!$D198,[1]products!$A$1:$A$49,0),MATCH([1]orders!K$1,[1]products!$A$1:$G$1,0))</f>
        <v>0.5</v>
      </c>
      <c r="Q198" s="6">
        <f>INDEX([1]products!$A$1:$G$49,MATCH([1]orders!$D198,[1]products!$A$1:$A$49,0),MATCH([1]orders!L$1,[1]products!$A$1:$G$1,0))</f>
        <v>8.91</v>
      </c>
      <c r="R198" s="6">
        <f t="shared" si="15"/>
        <v>53.46</v>
      </c>
      <c r="S198">
        <f>VLOOKUP(L198,Products!$A$2:$G$49,7,0)</f>
        <v>0.98009999999999997</v>
      </c>
      <c r="T198">
        <f t="shared" si="18"/>
        <v>5.8805999999999994</v>
      </c>
      <c r="U198" s="33">
        <f t="shared" si="19"/>
        <v>10.999999999999998</v>
      </c>
    </row>
    <row r="199" spans="1:21" x14ac:dyDescent="0.25">
      <c r="A199" s="1" t="s">
        <v>417</v>
      </c>
      <c r="B199" s="28">
        <v>44339</v>
      </c>
      <c r="C199" s="21" t="str">
        <f t="shared" si="16"/>
        <v>2021</v>
      </c>
      <c r="D199" s="19" t="str">
        <f t="shared" si="17"/>
        <v>May</v>
      </c>
      <c r="E199" s="3" t="s">
        <v>418</v>
      </c>
      <c r="F199" s="3" t="str">
        <f>VLOOKUP(E199,Customers!$A$2:$I$1001,2,0)</f>
        <v>Nealson Cuttler</v>
      </c>
      <c r="G199" s="3" t="str">
        <f>VLOOKUP(E199,Customers!$A$2:$I$1001,3,0)</f>
        <v>ncuttler5g@parallels.com</v>
      </c>
      <c r="H199" s="3" t="str">
        <f>VLOOKUP(E199,Customers!$A$2:$I$1001,4,0)</f>
        <v>UNKNOWN</v>
      </c>
      <c r="I199" s="25" t="str">
        <f>VLOOKUP(E199,Customers!$A$2:$I$1001,6,0)</f>
        <v>Washington</v>
      </c>
      <c r="J199" s="25" t="str">
        <f>VLOOKUP(E199,Customers!$A$2:$I$1001,7,0)</f>
        <v>United States</v>
      </c>
      <c r="K199" s="23" t="str">
        <f>VLOOKUP(E199,Customers!$A$2:$I$1001,9,0)</f>
        <v>No</v>
      </c>
      <c r="L199" s="4" t="s">
        <v>109</v>
      </c>
      <c r="M199" s="4" t="str">
        <f>VLOOKUP(L199,Products!$A$2:$G$49,2,0)</f>
        <v>Liberica</v>
      </c>
      <c r="N199" s="4" t="str">
        <f>VLOOKUP(L199,Products!$A$2:$G$49,3,0)</f>
        <v>Dark</v>
      </c>
      <c r="O199" s="25">
        <v>2</v>
      </c>
      <c r="P199" s="5">
        <f>INDEX([1]products!$A$1:$G$49,MATCH([1]orders!$D199,[1]products!$A$1:$A$49,0),MATCH([1]orders!K$1,[1]products!$A$1:$G$1,0))</f>
        <v>2.5</v>
      </c>
      <c r="Q199" s="6">
        <f>INDEX([1]products!$A$1:$G$49,MATCH([1]orders!$D199,[1]products!$A$1:$A$49,0),MATCH([1]orders!L$1,[1]products!$A$1:$G$1,0))</f>
        <v>29.784999999999997</v>
      </c>
      <c r="R199" s="6">
        <f t="shared" si="15"/>
        <v>59.569999999999993</v>
      </c>
      <c r="S199">
        <f>VLOOKUP(L199,Products!$A$2:$G$49,7,0)</f>
        <v>3.8720499999999998</v>
      </c>
      <c r="T199">
        <f t="shared" si="18"/>
        <v>7.7440999999999995</v>
      </c>
      <c r="U199" s="33">
        <f t="shared" si="19"/>
        <v>13</v>
      </c>
    </row>
    <row r="200" spans="1:21" x14ac:dyDescent="0.25">
      <c r="A200" s="1" t="s">
        <v>417</v>
      </c>
      <c r="B200" s="28">
        <v>44339</v>
      </c>
      <c r="C200" s="21" t="str">
        <f t="shared" si="16"/>
        <v>2021</v>
      </c>
      <c r="D200" s="19" t="str">
        <f t="shared" si="17"/>
        <v>May</v>
      </c>
      <c r="E200" s="3" t="s">
        <v>418</v>
      </c>
      <c r="F200" s="3" t="str">
        <f>VLOOKUP(E200,Customers!$A$2:$I$1001,2,0)</f>
        <v>Nealson Cuttler</v>
      </c>
      <c r="G200" s="3" t="str">
        <f>VLOOKUP(E200,Customers!$A$2:$I$1001,3,0)</f>
        <v>ncuttler5g@parallels.com</v>
      </c>
      <c r="H200" s="3" t="str">
        <f>VLOOKUP(E200,Customers!$A$2:$I$1001,4,0)</f>
        <v>UNKNOWN</v>
      </c>
      <c r="I200" s="25" t="str">
        <f>VLOOKUP(E200,Customers!$A$2:$I$1001,6,0)</f>
        <v>Washington</v>
      </c>
      <c r="J200" s="25" t="str">
        <f>VLOOKUP(E200,Customers!$A$2:$I$1001,7,0)</f>
        <v>United States</v>
      </c>
      <c r="K200" s="23" t="str">
        <f>VLOOKUP(E200,Customers!$A$2:$I$1001,9,0)</f>
        <v>No</v>
      </c>
      <c r="L200" s="4" t="s">
        <v>109</v>
      </c>
      <c r="M200" s="4" t="str">
        <f>VLOOKUP(L200,Products!$A$2:$G$49,2,0)</f>
        <v>Liberica</v>
      </c>
      <c r="N200" s="4" t="str">
        <f>VLOOKUP(L200,Products!$A$2:$G$49,3,0)</f>
        <v>Dark</v>
      </c>
      <c r="O200" s="25">
        <v>3</v>
      </c>
      <c r="P200" s="5">
        <f>INDEX([1]products!$A$1:$G$49,MATCH([1]orders!$D200,[1]products!$A$1:$A$49,0),MATCH([1]orders!K$1,[1]products!$A$1:$G$1,0))</f>
        <v>2.5</v>
      </c>
      <c r="Q200" s="6">
        <f>INDEX([1]products!$A$1:$G$49,MATCH([1]orders!$D200,[1]products!$A$1:$A$49,0),MATCH([1]orders!L$1,[1]products!$A$1:$G$1,0))</f>
        <v>29.784999999999997</v>
      </c>
      <c r="R200" s="6">
        <f t="shared" si="15"/>
        <v>89.35499999999999</v>
      </c>
      <c r="S200">
        <f>VLOOKUP(L200,Products!$A$2:$G$49,7,0)</f>
        <v>3.8720499999999998</v>
      </c>
      <c r="T200">
        <f t="shared" si="18"/>
        <v>11.616149999999999</v>
      </c>
      <c r="U200" s="33">
        <f t="shared" si="19"/>
        <v>13</v>
      </c>
    </row>
    <row r="201" spans="1:21" x14ac:dyDescent="0.25">
      <c r="A201" s="1" t="s">
        <v>417</v>
      </c>
      <c r="B201" s="28">
        <v>44339</v>
      </c>
      <c r="C201" s="21" t="str">
        <f t="shared" si="16"/>
        <v>2021</v>
      </c>
      <c r="D201" s="19" t="str">
        <f t="shared" si="17"/>
        <v>May</v>
      </c>
      <c r="E201" s="3" t="s">
        <v>418</v>
      </c>
      <c r="F201" s="3" t="str">
        <f>VLOOKUP(E201,Customers!$A$2:$I$1001,2,0)</f>
        <v>Nealson Cuttler</v>
      </c>
      <c r="G201" s="3" t="str">
        <f>VLOOKUP(E201,Customers!$A$2:$I$1001,3,0)</f>
        <v>ncuttler5g@parallels.com</v>
      </c>
      <c r="H201" s="3" t="str">
        <f>VLOOKUP(E201,Customers!$A$2:$I$1001,4,0)</f>
        <v>UNKNOWN</v>
      </c>
      <c r="I201" s="25" t="str">
        <f>VLOOKUP(E201,Customers!$A$2:$I$1001,6,0)</f>
        <v>Washington</v>
      </c>
      <c r="J201" s="25" t="str">
        <f>VLOOKUP(E201,Customers!$A$2:$I$1001,7,0)</f>
        <v>United States</v>
      </c>
      <c r="K201" s="23" t="str">
        <f>VLOOKUP(E201,Customers!$A$2:$I$1001,9,0)</f>
        <v>No</v>
      </c>
      <c r="L201" s="4" t="s">
        <v>83</v>
      </c>
      <c r="M201" s="4" t="str">
        <f>VLOOKUP(L201,Products!$A$2:$G$49,2,0)</f>
        <v>Liberica</v>
      </c>
      <c r="N201" s="4" t="str">
        <f>VLOOKUP(L201,Products!$A$2:$G$49,3,0)</f>
        <v>Light</v>
      </c>
      <c r="O201" s="25">
        <v>4</v>
      </c>
      <c r="P201" s="5">
        <f>INDEX([1]products!$A$1:$G$49,MATCH([1]orders!$D201,[1]products!$A$1:$A$49,0),MATCH([1]orders!K$1,[1]products!$A$1:$G$1,0))</f>
        <v>0.5</v>
      </c>
      <c r="Q201" s="6">
        <f>INDEX([1]products!$A$1:$G$49,MATCH([1]orders!$D201,[1]products!$A$1:$A$49,0),MATCH([1]orders!L$1,[1]products!$A$1:$G$1,0))</f>
        <v>9.51</v>
      </c>
      <c r="R201" s="6">
        <f t="shared" si="15"/>
        <v>38.04</v>
      </c>
      <c r="S201">
        <f>VLOOKUP(L201,Products!$A$2:$G$49,7,0)</f>
        <v>1.2363</v>
      </c>
      <c r="T201">
        <f t="shared" si="18"/>
        <v>4.9451999999999998</v>
      </c>
      <c r="U201" s="33">
        <f t="shared" si="19"/>
        <v>13</v>
      </c>
    </row>
    <row r="202" spans="1:21" x14ac:dyDescent="0.25">
      <c r="A202" s="1" t="s">
        <v>417</v>
      </c>
      <c r="B202" s="28">
        <v>44339</v>
      </c>
      <c r="C202" s="21" t="str">
        <f t="shared" si="16"/>
        <v>2021</v>
      </c>
      <c r="D202" s="19" t="str">
        <f t="shared" si="17"/>
        <v>May</v>
      </c>
      <c r="E202" s="3" t="s">
        <v>418</v>
      </c>
      <c r="F202" s="3" t="str">
        <f>VLOOKUP(E202,Customers!$A$2:$I$1001,2,0)</f>
        <v>Nealson Cuttler</v>
      </c>
      <c r="G202" s="3" t="str">
        <f>VLOOKUP(E202,Customers!$A$2:$I$1001,3,0)</f>
        <v>ncuttler5g@parallels.com</v>
      </c>
      <c r="H202" s="3" t="str">
        <f>VLOOKUP(E202,Customers!$A$2:$I$1001,4,0)</f>
        <v>UNKNOWN</v>
      </c>
      <c r="I202" s="25" t="str">
        <f>VLOOKUP(E202,Customers!$A$2:$I$1001,6,0)</f>
        <v>Washington</v>
      </c>
      <c r="J202" s="25" t="str">
        <f>VLOOKUP(E202,Customers!$A$2:$I$1001,7,0)</f>
        <v>United States</v>
      </c>
      <c r="K202" s="23" t="str">
        <f>VLOOKUP(E202,Customers!$A$2:$I$1001,9,0)</f>
        <v>No</v>
      </c>
      <c r="L202" s="4" t="s">
        <v>9</v>
      </c>
      <c r="M202" s="4" t="str">
        <f>VLOOKUP(L202,Products!$A$2:$G$49,2,0)</f>
        <v>Excelsa</v>
      </c>
      <c r="N202" s="4" t="str">
        <f>VLOOKUP(L202,Products!$A$2:$G$49,3,0)</f>
        <v>Medium</v>
      </c>
      <c r="O202" s="25">
        <v>3</v>
      </c>
      <c r="P202" s="5">
        <f>INDEX([1]products!$A$1:$G$49,MATCH([1]orders!$D202,[1]products!$A$1:$A$49,0),MATCH([1]orders!K$1,[1]products!$A$1:$G$1,0))</f>
        <v>1</v>
      </c>
      <c r="Q202" s="6">
        <f>INDEX([1]products!$A$1:$G$49,MATCH([1]orders!$D202,[1]products!$A$1:$A$49,0),MATCH([1]orders!L$1,[1]products!$A$1:$G$1,0))</f>
        <v>13.75</v>
      </c>
      <c r="R202" s="6">
        <f t="shared" si="15"/>
        <v>41.25</v>
      </c>
      <c r="S202">
        <f>VLOOKUP(L202,Products!$A$2:$G$49,7,0)</f>
        <v>1.5125</v>
      </c>
      <c r="T202">
        <f t="shared" si="18"/>
        <v>4.5374999999999996</v>
      </c>
      <c r="U202" s="33">
        <f t="shared" si="19"/>
        <v>10.999999999999998</v>
      </c>
    </row>
    <row r="203" spans="1:21" x14ac:dyDescent="0.25">
      <c r="A203" s="1" t="s">
        <v>419</v>
      </c>
      <c r="B203" s="28">
        <v>44294</v>
      </c>
      <c r="C203" s="21" t="str">
        <f t="shared" si="16"/>
        <v>2021</v>
      </c>
      <c r="D203" s="19" t="str">
        <f t="shared" si="17"/>
        <v>April</v>
      </c>
      <c r="E203" s="3" t="s">
        <v>420</v>
      </c>
      <c r="F203" s="3" t="str">
        <f>VLOOKUP(E203,Customers!$A$2:$I$1001,2,0)</f>
        <v>Adriana Lazarus</v>
      </c>
      <c r="G203" s="3" t="str">
        <f>VLOOKUP(E203,Customers!$A$2:$I$1001,3,0)</f>
        <v>UNKNOWN</v>
      </c>
      <c r="H203" s="3" t="str">
        <f>VLOOKUP(E203,Customers!$A$2:$I$1001,4,0)</f>
        <v>+1 (801) 581-0444</v>
      </c>
      <c r="I203" s="25" t="str">
        <f>VLOOKUP(E203,Customers!$A$2:$I$1001,6,0)</f>
        <v>Ogden</v>
      </c>
      <c r="J203" s="25" t="str">
        <f>VLOOKUP(E203,Customers!$A$2:$I$1001,7,0)</f>
        <v>United States</v>
      </c>
      <c r="K203" s="23" t="str">
        <f>VLOOKUP(E203,Customers!$A$2:$I$1001,9,0)</f>
        <v>No</v>
      </c>
      <c r="L203" s="4" t="s">
        <v>83</v>
      </c>
      <c r="M203" s="4" t="str">
        <f>VLOOKUP(L203,Products!$A$2:$G$49,2,0)</f>
        <v>Liberica</v>
      </c>
      <c r="N203" s="4" t="str">
        <f>VLOOKUP(L203,Products!$A$2:$G$49,3,0)</f>
        <v>Light</v>
      </c>
      <c r="O203" s="25">
        <v>6</v>
      </c>
      <c r="P203" s="5">
        <f>INDEX([1]products!$A$1:$G$49,MATCH([1]orders!$D203,[1]products!$A$1:$A$49,0),MATCH([1]orders!K$1,[1]products!$A$1:$G$1,0))</f>
        <v>0.5</v>
      </c>
      <c r="Q203" s="6">
        <f>INDEX([1]products!$A$1:$G$49,MATCH([1]orders!$D203,[1]products!$A$1:$A$49,0),MATCH([1]orders!L$1,[1]products!$A$1:$G$1,0))</f>
        <v>9.51</v>
      </c>
      <c r="R203" s="6">
        <f t="shared" si="15"/>
        <v>57.06</v>
      </c>
      <c r="S203">
        <f>VLOOKUP(L203,Products!$A$2:$G$49,7,0)</f>
        <v>1.2363</v>
      </c>
      <c r="T203">
        <f t="shared" si="18"/>
        <v>7.4177999999999997</v>
      </c>
      <c r="U203" s="33">
        <f t="shared" si="19"/>
        <v>12.999999999999998</v>
      </c>
    </row>
    <row r="204" spans="1:21" x14ac:dyDescent="0.25">
      <c r="A204" s="1" t="s">
        <v>421</v>
      </c>
      <c r="B204" s="28">
        <v>44486</v>
      </c>
      <c r="C204" s="21" t="str">
        <f t="shared" si="16"/>
        <v>2021</v>
      </c>
      <c r="D204" s="19" t="str">
        <f t="shared" si="17"/>
        <v>October</v>
      </c>
      <c r="E204" s="3" t="s">
        <v>422</v>
      </c>
      <c r="F204" s="3" t="str">
        <f>VLOOKUP(E204,Customers!$A$2:$I$1001,2,0)</f>
        <v>Tallie felip</v>
      </c>
      <c r="G204" s="3" t="str">
        <f>VLOOKUP(E204,Customers!$A$2:$I$1001,3,0)</f>
        <v>tfelip5m@typepad.com</v>
      </c>
      <c r="H204" s="3" t="str">
        <f>VLOOKUP(E204,Customers!$A$2:$I$1001,4,0)</f>
        <v>+1 (518) 651-0940</v>
      </c>
      <c r="I204" s="25" t="str">
        <f>VLOOKUP(E204,Customers!$A$2:$I$1001,6,0)</f>
        <v>Albany</v>
      </c>
      <c r="J204" s="25" t="str">
        <f>VLOOKUP(E204,Customers!$A$2:$I$1001,7,0)</f>
        <v>United States</v>
      </c>
      <c r="K204" s="23" t="str">
        <f>VLOOKUP(E204,Customers!$A$2:$I$1001,9,0)</f>
        <v>Yes</v>
      </c>
      <c r="L204" s="4" t="s">
        <v>109</v>
      </c>
      <c r="M204" s="4" t="str">
        <f>VLOOKUP(L204,Products!$A$2:$G$49,2,0)</f>
        <v>Liberica</v>
      </c>
      <c r="N204" s="4" t="str">
        <f>VLOOKUP(L204,Products!$A$2:$G$49,3,0)</f>
        <v>Dark</v>
      </c>
      <c r="O204" s="25">
        <v>6</v>
      </c>
      <c r="P204" s="5">
        <f>INDEX([1]products!$A$1:$G$49,MATCH([1]orders!$D204,[1]products!$A$1:$A$49,0),MATCH([1]orders!K$1,[1]products!$A$1:$G$1,0))</f>
        <v>2.5</v>
      </c>
      <c r="Q204" s="6">
        <f>INDEX([1]products!$A$1:$G$49,MATCH([1]orders!$D204,[1]products!$A$1:$A$49,0),MATCH([1]orders!L$1,[1]products!$A$1:$G$1,0))</f>
        <v>29.784999999999997</v>
      </c>
      <c r="R204" s="6">
        <f t="shared" si="15"/>
        <v>178.70999999999998</v>
      </c>
      <c r="S204">
        <f>VLOOKUP(L204,Products!$A$2:$G$49,7,0)</f>
        <v>3.8720499999999998</v>
      </c>
      <c r="T204">
        <f t="shared" si="18"/>
        <v>23.232299999999999</v>
      </c>
      <c r="U204" s="33">
        <f t="shared" si="19"/>
        <v>13</v>
      </c>
    </row>
    <row r="205" spans="1:21" x14ac:dyDescent="0.25">
      <c r="A205" s="1" t="s">
        <v>423</v>
      </c>
      <c r="B205" s="28">
        <v>44608</v>
      </c>
      <c r="C205" s="21" t="str">
        <f t="shared" si="16"/>
        <v>2022</v>
      </c>
      <c r="D205" s="19" t="str">
        <f t="shared" si="17"/>
        <v>February</v>
      </c>
      <c r="E205" s="3" t="s">
        <v>424</v>
      </c>
      <c r="F205" s="3" t="str">
        <f>VLOOKUP(E205,Customers!$A$2:$I$1001,2,0)</f>
        <v>Vanna Le - Count</v>
      </c>
      <c r="G205" s="3" t="str">
        <f>VLOOKUP(E205,Customers!$A$2:$I$1001,3,0)</f>
        <v>vle5n@disqus.com</v>
      </c>
      <c r="H205" s="3" t="str">
        <f>VLOOKUP(E205,Customers!$A$2:$I$1001,4,0)</f>
        <v>+1 (864) 694-6658</v>
      </c>
      <c r="I205" s="25" t="str">
        <f>VLOOKUP(E205,Customers!$A$2:$I$1001,6,0)</f>
        <v>Spartanburg</v>
      </c>
      <c r="J205" s="25" t="str">
        <f>VLOOKUP(E205,Customers!$A$2:$I$1001,7,0)</f>
        <v>United States</v>
      </c>
      <c r="K205" s="23" t="str">
        <f>VLOOKUP(E205,Customers!$A$2:$I$1001,9,0)</f>
        <v>No</v>
      </c>
      <c r="L205" s="4" t="s">
        <v>19</v>
      </c>
      <c r="M205" s="4" t="str">
        <f>VLOOKUP(L205,Products!$A$2:$G$49,2,0)</f>
        <v>Liberica</v>
      </c>
      <c r="N205" s="4" t="str">
        <f>VLOOKUP(L205,Products!$A$2:$G$49,3,0)</f>
        <v>Light</v>
      </c>
      <c r="O205" s="25">
        <v>1</v>
      </c>
      <c r="P205" s="5">
        <f>INDEX([1]products!$A$1:$G$49,MATCH([1]orders!$D205,[1]products!$A$1:$A$49,0),MATCH([1]orders!K$1,[1]products!$A$1:$G$1,0))</f>
        <v>0.2</v>
      </c>
      <c r="Q205" s="6">
        <f>INDEX([1]products!$A$1:$G$49,MATCH([1]orders!$D205,[1]products!$A$1:$A$49,0),MATCH([1]orders!L$1,[1]products!$A$1:$G$1,0))</f>
        <v>4.7549999999999999</v>
      </c>
      <c r="R205" s="6">
        <f t="shared" si="15"/>
        <v>4.7549999999999999</v>
      </c>
      <c r="S205">
        <f>VLOOKUP(L205,Products!$A$2:$G$49,7,0)</f>
        <v>0.61814999999999998</v>
      </c>
      <c r="T205">
        <f t="shared" si="18"/>
        <v>0.61814999999999998</v>
      </c>
      <c r="U205" s="33">
        <f t="shared" si="19"/>
        <v>13</v>
      </c>
    </row>
    <row r="206" spans="1:21" x14ac:dyDescent="0.25">
      <c r="A206" s="1" t="s">
        <v>425</v>
      </c>
      <c r="B206" s="28">
        <v>44027</v>
      </c>
      <c r="C206" s="21" t="str">
        <f t="shared" si="16"/>
        <v>2020</v>
      </c>
      <c r="D206" s="19" t="str">
        <f t="shared" si="17"/>
        <v>July</v>
      </c>
      <c r="E206" s="3" t="s">
        <v>426</v>
      </c>
      <c r="F206" s="3" t="str">
        <f>VLOOKUP(E206,Customers!$A$2:$I$1001,2,0)</f>
        <v>Sarette Ducarel</v>
      </c>
      <c r="G206" s="3" t="str">
        <f>VLOOKUP(E206,Customers!$A$2:$I$1001,3,0)</f>
        <v>UNKNOWN</v>
      </c>
      <c r="H206" s="3" t="str">
        <f>VLOOKUP(E206,Customers!$A$2:$I$1001,4,0)</f>
        <v>+1 (914) 915-4328</v>
      </c>
      <c r="I206" s="25" t="str">
        <f>VLOOKUP(E206,Customers!$A$2:$I$1001,6,0)</f>
        <v>Staten Island</v>
      </c>
      <c r="J206" s="25" t="str">
        <f>VLOOKUP(E206,Customers!$A$2:$I$1001,7,0)</f>
        <v>United States</v>
      </c>
      <c r="K206" s="23" t="str">
        <f>VLOOKUP(E206,Customers!$A$2:$I$1001,9,0)</f>
        <v>No</v>
      </c>
      <c r="L206" s="4" t="s">
        <v>9</v>
      </c>
      <c r="M206" s="4" t="str">
        <f>VLOOKUP(L206,Products!$A$2:$G$49,2,0)</f>
        <v>Excelsa</v>
      </c>
      <c r="N206" s="4" t="str">
        <f>VLOOKUP(L206,Products!$A$2:$G$49,3,0)</f>
        <v>Medium</v>
      </c>
      <c r="O206" s="25">
        <v>6</v>
      </c>
      <c r="P206" s="5">
        <f>INDEX([1]products!$A$1:$G$49,MATCH([1]orders!$D206,[1]products!$A$1:$A$49,0),MATCH([1]orders!K$1,[1]products!$A$1:$G$1,0))</f>
        <v>1</v>
      </c>
      <c r="Q206" s="6">
        <f>INDEX([1]products!$A$1:$G$49,MATCH([1]orders!$D206,[1]products!$A$1:$A$49,0),MATCH([1]orders!L$1,[1]products!$A$1:$G$1,0))</f>
        <v>13.75</v>
      </c>
      <c r="R206" s="6">
        <f t="shared" si="15"/>
        <v>82.5</v>
      </c>
      <c r="S206">
        <f>VLOOKUP(L206,Products!$A$2:$G$49,7,0)</f>
        <v>1.5125</v>
      </c>
      <c r="T206">
        <f t="shared" si="18"/>
        <v>9.0749999999999993</v>
      </c>
      <c r="U206" s="33">
        <f t="shared" si="19"/>
        <v>10.999999999999998</v>
      </c>
    </row>
    <row r="207" spans="1:21" x14ac:dyDescent="0.25">
      <c r="A207" s="1" t="s">
        <v>427</v>
      </c>
      <c r="B207" s="28">
        <v>43883</v>
      </c>
      <c r="C207" s="21" t="str">
        <f t="shared" si="16"/>
        <v>2020</v>
      </c>
      <c r="D207" s="19" t="str">
        <f t="shared" si="17"/>
        <v>February</v>
      </c>
      <c r="E207" s="3" t="s">
        <v>428</v>
      </c>
      <c r="F207" s="3" t="str">
        <f>VLOOKUP(E207,Customers!$A$2:$I$1001,2,0)</f>
        <v>Kendra Glison</v>
      </c>
      <c r="G207" s="3" t="str">
        <f>VLOOKUP(E207,Customers!$A$2:$I$1001,3,0)</f>
        <v>UNKNOWN</v>
      </c>
      <c r="H207" s="3" t="str">
        <f>VLOOKUP(E207,Customers!$A$2:$I$1001,4,0)</f>
        <v>+1 (202) 137-6867</v>
      </c>
      <c r="I207" s="25" t="str">
        <f>VLOOKUP(E207,Customers!$A$2:$I$1001,6,0)</f>
        <v>Washington</v>
      </c>
      <c r="J207" s="25" t="str">
        <f>VLOOKUP(E207,Customers!$A$2:$I$1001,7,0)</f>
        <v>United States</v>
      </c>
      <c r="K207" s="23" t="str">
        <f>VLOOKUP(E207,Customers!$A$2:$I$1001,9,0)</f>
        <v>Yes</v>
      </c>
      <c r="L207" s="4" t="s">
        <v>101</v>
      </c>
      <c r="M207" s="4" t="str">
        <f>VLOOKUP(L207,Products!$A$2:$G$49,2,0)</f>
        <v>Robusta</v>
      </c>
      <c r="N207" s="4" t="str">
        <f>VLOOKUP(L207,Products!$A$2:$G$49,3,0)</f>
        <v>Dark</v>
      </c>
      <c r="O207" s="25">
        <v>3</v>
      </c>
      <c r="P207" s="5">
        <f>INDEX([1]products!$A$1:$G$49,MATCH([1]orders!$D207,[1]products!$A$1:$A$49,0),MATCH([1]orders!K$1,[1]products!$A$1:$G$1,0))</f>
        <v>0.2</v>
      </c>
      <c r="Q207" s="6">
        <f>INDEX([1]products!$A$1:$G$49,MATCH([1]orders!$D207,[1]products!$A$1:$A$49,0),MATCH([1]orders!L$1,[1]products!$A$1:$G$1,0))</f>
        <v>2.6849999999999996</v>
      </c>
      <c r="R207" s="6">
        <f t="shared" si="15"/>
        <v>8.0549999999999997</v>
      </c>
      <c r="S207">
        <f>VLOOKUP(L207,Products!$A$2:$G$49,7,0)</f>
        <v>0.16109999999999997</v>
      </c>
      <c r="T207">
        <f t="shared" si="18"/>
        <v>0.4832999999999999</v>
      </c>
      <c r="U207" s="33">
        <f t="shared" si="19"/>
        <v>5.9999999999999991</v>
      </c>
    </row>
    <row r="208" spans="1:21" x14ac:dyDescent="0.25">
      <c r="A208" s="1" t="s">
        <v>429</v>
      </c>
      <c r="B208" s="28">
        <v>44211</v>
      </c>
      <c r="C208" s="21" t="str">
        <f t="shared" si="16"/>
        <v>2021</v>
      </c>
      <c r="D208" s="19" t="str">
        <f t="shared" si="17"/>
        <v>January</v>
      </c>
      <c r="E208" s="3" t="s">
        <v>430</v>
      </c>
      <c r="F208" s="3" t="str">
        <f>VLOOKUP(E208,Customers!$A$2:$I$1001,2,0)</f>
        <v>Nertie Poolman</v>
      </c>
      <c r="G208" s="3" t="str">
        <f>VLOOKUP(E208,Customers!$A$2:$I$1001,3,0)</f>
        <v>npoolman5q@howstuffworks.com</v>
      </c>
      <c r="H208" s="3" t="str">
        <f>VLOOKUP(E208,Customers!$A$2:$I$1001,4,0)</f>
        <v>UNKNOWN</v>
      </c>
      <c r="I208" s="25" t="str">
        <f>VLOOKUP(E208,Customers!$A$2:$I$1001,6,0)</f>
        <v>Charlotte</v>
      </c>
      <c r="J208" s="25" t="str">
        <f>VLOOKUP(E208,Customers!$A$2:$I$1001,7,0)</f>
        <v>United States</v>
      </c>
      <c r="K208" s="23" t="str">
        <f>VLOOKUP(E208,Customers!$A$2:$I$1001,9,0)</f>
        <v>No</v>
      </c>
      <c r="L208" s="4" t="s">
        <v>61</v>
      </c>
      <c r="M208" s="4" t="str">
        <f>VLOOKUP(L208,Products!$A$2:$G$49,2,0)</f>
        <v>Arabica</v>
      </c>
      <c r="N208" s="4" t="str">
        <f>VLOOKUP(L208,Products!$A$2:$G$49,3,0)</f>
        <v>Medium</v>
      </c>
      <c r="O208" s="25">
        <v>2</v>
      </c>
      <c r="P208" s="5">
        <f>INDEX([1]products!$A$1:$G$49,MATCH([1]orders!$D208,[1]products!$A$1:$A$49,0),MATCH([1]orders!K$1,[1]products!$A$1:$G$1,0))</f>
        <v>1</v>
      </c>
      <c r="Q208" s="6">
        <f>INDEX([1]products!$A$1:$G$49,MATCH([1]orders!$D208,[1]products!$A$1:$A$49,0),MATCH([1]orders!L$1,[1]products!$A$1:$G$1,0))</f>
        <v>11.25</v>
      </c>
      <c r="R208" s="6">
        <f t="shared" si="15"/>
        <v>22.5</v>
      </c>
      <c r="S208">
        <f>VLOOKUP(L208,Products!$A$2:$G$49,7,0)</f>
        <v>1.0125</v>
      </c>
      <c r="T208">
        <f t="shared" si="18"/>
        <v>2.0249999999999999</v>
      </c>
      <c r="U208" s="33">
        <f t="shared" si="19"/>
        <v>9</v>
      </c>
    </row>
    <row r="209" spans="1:21" x14ac:dyDescent="0.25">
      <c r="A209" s="1" t="s">
        <v>431</v>
      </c>
      <c r="B209" s="28">
        <v>44207</v>
      </c>
      <c r="C209" s="21" t="str">
        <f t="shared" si="16"/>
        <v>2021</v>
      </c>
      <c r="D209" s="19" t="str">
        <f t="shared" si="17"/>
        <v>January</v>
      </c>
      <c r="E209" s="3" t="s">
        <v>432</v>
      </c>
      <c r="F209" s="3" t="str">
        <f>VLOOKUP(E209,Customers!$A$2:$I$1001,2,0)</f>
        <v>Orbadiah Duny</v>
      </c>
      <c r="G209" s="3" t="str">
        <f>VLOOKUP(E209,Customers!$A$2:$I$1001,3,0)</f>
        <v>oduny5r@constantcontact.com</v>
      </c>
      <c r="H209" s="3" t="str">
        <f>VLOOKUP(E209,Customers!$A$2:$I$1001,4,0)</f>
        <v>+1 (806) 181-9003</v>
      </c>
      <c r="I209" s="25" t="str">
        <f>VLOOKUP(E209,Customers!$A$2:$I$1001,6,0)</f>
        <v>Lubbock</v>
      </c>
      <c r="J209" s="25" t="str">
        <f>VLOOKUP(E209,Customers!$A$2:$I$1001,7,0)</f>
        <v>United States</v>
      </c>
      <c r="K209" s="23" t="str">
        <f>VLOOKUP(E209,Customers!$A$2:$I$1001,9,0)</f>
        <v>Yes</v>
      </c>
      <c r="L209" s="4" t="s">
        <v>67</v>
      </c>
      <c r="M209" s="4" t="str">
        <f>VLOOKUP(L209,Products!$A$2:$G$49,2,0)</f>
        <v>Arabica</v>
      </c>
      <c r="N209" s="4" t="str">
        <f>VLOOKUP(L209,Products!$A$2:$G$49,3,0)</f>
        <v>Medium</v>
      </c>
      <c r="O209" s="25">
        <v>6</v>
      </c>
      <c r="P209" s="5">
        <f>INDEX([1]products!$A$1:$G$49,MATCH([1]orders!$D209,[1]products!$A$1:$A$49,0),MATCH([1]orders!K$1,[1]products!$A$1:$G$1,0))</f>
        <v>0.5</v>
      </c>
      <c r="Q209" s="6">
        <f>INDEX([1]products!$A$1:$G$49,MATCH([1]orders!$D209,[1]products!$A$1:$A$49,0),MATCH([1]orders!L$1,[1]products!$A$1:$G$1,0))</f>
        <v>6.75</v>
      </c>
      <c r="R209" s="6">
        <f t="shared" si="15"/>
        <v>40.5</v>
      </c>
      <c r="S209">
        <f>VLOOKUP(L209,Products!$A$2:$G$49,7,0)</f>
        <v>0.60749999999999993</v>
      </c>
      <c r="T209">
        <f t="shared" si="18"/>
        <v>3.6449999999999996</v>
      </c>
      <c r="U209" s="33">
        <f t="shared" si="19"/>
        <v>8.9999999999999982</v>
      </c>
    </row>
    <row r="210" spans="1:21" x14ac:dyDescent="0.25">
      <c r="A210" s="1" t="s">
        <v>433</v>
      </c>
      <c r="B210" s="28">
        <v>44659</v>
      </c>
      <c r="C210" s="21" t="str">
        <f t="shared" si="16"/>
        <v>2022</v>
      </c>
      <c r="D210" s="19" t="str">
        <f t="shared" si="17"/>
        <v>April</v>
      </c>
      <c r="E210" s="3" t="s">
        <v>434</v>
      </c>
      <c r="F210" s="3" t="str">
        <f>VLOOKUP(E210,Customers!$A$2:$I$1001,2,0)</f>
        <v>Constance Halfhide</v>
      </c>
      <c r="G210" s="3" t="str">
        <f>VLOOKUP(E210,Customers!$A$2:$I$1001,3,0)</f>
        <v>chalfhide5s@google.ru</v>
      </c>
      <c r="H210" s="3" t="str">
        <f>VLOOKUP(E210,Customers!$A$2:$I$1001,4,0)</f>
        <v>+353 (885) 827-8865</v>
      </c>
      <c r="I210" s="25" t="str">
        <f>VLOOKUP(E210,Customers!$A$2:$I$1001,6,0)</f>
        <v>Fermoy</v>
      </c>
      <c r="J210" s="25" t="str">
        <f>VLOOKUP(E210,Customers!$A$2:$I$1001,7,0)</f>
        <v>Ireland</v>
      </c>
      <c r="K210" s="23" t="str">
        <f>VLOOKUP(E210,Customers!$A$2:$I$1001,9,0)</f>
        <v>Yes</v>
      </c>
      <c r="L210" s="4" t="s">
        <v>16</v>
      </c>
      <c r="M210" s="4" t="str">
        <f>VLOOKUP(L210,Products!$A$2:$G$49,2,0)</f>
        <v>Excelsa</v>
      </c>
      <c r="N210" s="4" t="str">
        <f>VLOOKUP(L210,Products!$A$2:$G$49,3,0)</f>
        <v>Dark</v>
      </c>
      <c r="O210" s="25">
        <v>4</v>
      </c>
      <c r="P210" s="5">
        <f>INDEX([1]products!$A$1:$G$49,MATCH([1]orders!$D210,[1]products!$A$1:$A$49,0),MATCH([1]orders!K$1,[1]products!$A$1:$G$1,0))</f>
        <v>0.5</v>
      </c>
      <c r="Q210" s="6">
        <f>INDEX([1]products!$A$1:$G$49,MATCH([1]orders!$D210,[1]products!$A$1:$A$49,0),MATCH([1]orders!L$1,[1]products!$A$1:$G$1,0))</f>
        <v>7.29</v>
      </c>
      <c r="R210" s="6">
        <f t="shared" si="15"/>
        <v>29.16</v>
      </c>
      <c r="S210">
        <f>VLOOKUP(L210,Products!$A$2:$G$49,7,0)</f>
        <v>0.80190000000000006</v>
      </c>
      <c r="T210">
        <f t="shared" si="18"/>
        <v>3.2076000000000002</v>
      </c>
      <c r="U210" s="33">
        <f t="shared" si="19"/>
        <v>11</v>
      </c>
    </row>
    <row r="211" spans="1:21" x14ac:dyDescent="0.25">
      <c r="A211" s="1" t="s">
        <v>435</v>
      </c>
      <c r="B211" s="28">
        <v>44105</v>
      </c>
      <c r="C211" s="21" t="str">
        <f t="shared" si="16"/>
        <v>2020</v>
      </c>
      <c r="D211" s="19" t="str">
        <f t="shared" si="17"/>
        <v>October</v>
      </c>
      <c r="E211" s="3" t="s">
        <v>436</v>
      </c>
      <c r="F211" s="3" t="str">
        <f>VLOOKUP(E211,Customers!$A$2:$I$1001,2,0)</f>
        <v>Fransisco Malecky</v>
      </c>
      <c r="G211" s="3" t="str">
        <f>VLOOKUP(E211,Customers!$A$2:$I$1001,3,0)</f>
        <v>fmalecky5t@list-manage.com</v>
      </c>
      <c r="H211" s="3" t="str">
        <f>VLOOKUP(E211,Customers!$A$2:$I$1001,4,0)</f>
        <v>+44 (738) 660-4264</v>
      </c>
      <c r="I211" s="25" t="str">
        <f>VLOOKUP(E211,Customers!$A$2:$I$1001,6,0)</f>
        <v>Whitwell</v>
      </c>
      <c r="J211" s="25" t="str">
        <f>VLOOKUP(E211,Customers!$A$2:$I$1001,7,0)</f>
        <v>United Kingdom</v>
      </c>
      <c r="K211" s="23" t="str">
        <f>VLOOKUP(E211,Customers!$A$2:$I$1001,9,0)</f>
        <v>No</v>
      </c>
      <c r="L211" s="4" t="s">
        <v>67</v>
      </c>
      <c r="M211" s="4" t="str">
        <f>VLOOKUP(L211,Products!$A$2:$G$49,2,0)</f>
        <v>Arabica</v>
      </c>
      <c r="N211" s="4" t="str">
        <f>VLOOKUP(L211,Products!$A$2:$G$49,3,0)</f>
        <v>Medium</v>
      </c>
      <c r="O211" s="25">
        <v>1</v>
      </c>
      <c r="P211" s="5">
        <f>INDEX([1]products!$A$1:$G$49,MATCH([1]orders!$D211,[1]products!$A$1:$A$49,0),MATCH([1]orders!K$1,[1]products!$A$1:$G$1,0))</f>
        <v>0.5</v>
      </c>
      <c r="Q211" s="6">
        <f>INDEX([1]products!$A$1:$G$49,MATCH([1]orders!$D211,[1]products!$A$1:$A$49,0),MATCH([1]orders!L$1,[1]products!$A$1:$G$1,0))</f>
        <v>6.75</v>
      </c>
      <c r="R211" s="6">
        <f t="shared" si="15"/>
        <v>6.75</v>
      </c>
      <c r="S211">
        <f>VLOOKUP(L211,Products!$A$2:$G$49,7,0)</f>
        <v>0.60749999999999993</v>
      </c>
      <c r="T211">
        <f t="shared" si="18"/>
        <v>0.60749999999999993</v>
      </c>
      <c r="U211" s="33">
        <f t="shared" si="19"/>
        <v>8.9999999999999982</v>
      </c>
    </row>
    <row r="212" spans="1:21" x14ac:dyDescent="0.25">
      <c r="A212" s="1" t="s">
        <v>437</v>
      </c>
      <c r="B212" s="28">
        <v>43766</v>
      </c>
      <c r="C212" s="21" t="str">
        <f t="shared" si="16"/>
        <v>2019</v>
      </c>
      <c r="D212" s="19" t="str">
        <f t="shared" si="17"/>
        <v>October</v>
      </c>
      <c r="E212" s="3" t="s">
        <v>438</v>
      </c>
      <c r="F212" s="3" t="str">
        <f>VLOOKUP(E212,Customers!$A$2:$I$1001,2,0)</f>
        <v>Anselma Attwater</v>
      </c>
      <c r="G212" s="3" t="str">
        <f>VLOOKUP(E212,Customers!$A$2:$I$1001,3,0)</f>
        <v>aattwater5u@wikia.com</v>
      </c>
      <c r="H212" s="3" t="str">
        <f>VLOOKUP(E212,Customers!$A$2:$I$1001,4,0)</f>
        <v>+1 (434) 821-8618</v>
      </c>
      <c r="I212" s="25" t="str">
        <f>VLOOKUP(E212,Customers!$A$2:$I$1001,6,0)</f>
        <v>Charlottesville</v>
      </c>
      <c r="J212" s="25" t="str">
        <f>VLOOKUP(E212,Customers!$A$2:$I$1001,7,0)</f>
        <v>United States</v>
      </c>
      <c r="K212" s="23" t="str">
        <f>VLOOKUP(E212,Customers!$A$2:$I$1001,9,0)</f>
        <v>Yes</v>
      </c>
      <c r="L212" s="4" t="s">
        <v>13</v>
      </c>
      <c r="M212" s="4" t="str">
        <f>VLOOKUP(L212,Products!$A$2:$G$49,2,0)</f>
        <v>Liberica</v>
      </c>
      <c r="N212" s="4" t="str">
        <f>VLOOKUP(L212,Products!$A$2:$G$49,3,0)</f>
        <v>Dark</v>
      </c>
      <c r="O212" s="25">
        <v>4</v>
      </c>
      <c r="P212" s="5">
        <f>INDEX([1]products!$A$1:$G$49,MATCH([1]orders!$D212,[1]products!$A$1:$A$49,0),MATCH([1]orders!K$1,[1]products!$A$1:$G$1,0))</f>
        <v>1</v>
      </c>
      <c r="Q212" s="6">
        <f>INDEX([1]products!$A$1:$G$49,MATCH([1]orders!$D212,[1]products!$A$1:$A$49,0),MATCH([1]orders!L$1,[1]products!$A$1:$G$1,0))</f>
        <v>12.95</v>
      </c>
      <c r="R212" s="6">
        <f t="shared" si="15"/>
        <v>51.8</v>
      </c>
      <c r="S212">
        <f>VLOOKUP(L212,Products!$A$2:$G$49,7,0)</f>
        <v>1.6835</v>
      </c>
      <c r="T212">
        <f t="shared" si="18"/>
        <v>6.734</v>
      </c>
      <c r="U212" s="33">
        <f t="shared" si="19"/>
        <v>13</v>
      </c>
    </row>
    <row r="213" spans="1:21" x14ac:dyDescent="0.25">
      <c r="A213" s="1" t="s">
        <v>439</v>
      </c>
      <c r="B213" s="28">
        <v>44283</v>
      </c>
      <c r="C213" s="21" t="str">
        <f t="shared" si="16"/>
        <v>2021</v>
      </c>
      <c r="D213" s="19" t="str">
        <f t="shared" si="17"/>
        <v>March</v>
      </c>
      <c r="E213" s="3" t="s">
        <v>440</v>
      </c>
      <c r="F213" s="3" t="str">
        <f>VLOOKUP(E213,Customers!$A$2:$I$1001,2,0)</f>
        <v>Minette Whellans</v>
      </c>
      <c r="G213" s="3" t="str">
        <f>VLOOKUP(E213,Customers!$A$2:$I$1001,3,0)</f>
        <v>mwhellans5v@mapquest.com</v>
      </c>
      <c r="H213" s="3" t="str">
        <f>VLOOKUP(E213,Customers!$A$2:$I$1001,4,0)</f>
        <v>UNKNOWN</v>
      </c>
      <c r="I213" s="25" t="str">
        <f>VLOOKUP(E213,Customers!$A$2:$I$1001,6,0)</f>
        <v>New York City</v>
      </c>
      <c r="J213" s="25" t="str">
        <f>VLOOKUP(E213,Customers!$A$2:$I$1001,7,0)</f>
        <v>United States</v>
      </c>
      <c r="K213" s="23" t="str">
        <f>VLOOKUP(E213,Customers!$A$2:$I$1001,9,0)</f>
        <v>No</v>
      </c>
      <c r="L213" s="4" t="s">
        <v>176</v>
      </c>
      <c r="M213" s="4" t="str">
        <f>VLOOKUP(L213,Products!$A$2:$G$49,2,0)</f>
        <v>Excelsa</v>
      </c>
      <c r="N213" s="4" t="str">
        <f>VLOOKUP(L213,Products!$A$2:$G$49,3,0)</f>
        <v>Light</v>
      </c>
      <c r="O213" s="25">
        <v>6</v>
      </c>
      <c r="P213" s="5">
        <f>INDEX([1]products!$A$1:$G$49,MATCH([1]orders!$D213,[1]products!$A$1:$A$49,0),MATCH([1]orders!K$1,[1]products!$A$1:$G$1,0))</f>
        <v>0.5</v>
      </c>
      <c r="Q213" s="6">
        <f>INDEX([1]products!$A$1:$G$49,MATCH([1]orders!$D213,[1]products!$A$1:$A$49,0),MATCH([1]orders!L$1,[1]products!$A$1:$G$1,0))</f>
        <v>8.91</v>
      </c>
      <c r="R213" s="6">
        <f t="shared" si="15"/>
        <v>53.46</v>
      </c>
      <c r="S213">
        <f>VLOOKUP(L213,Products!$A$2:$G$49,7,0)</f>
        <v>0.98009999999999997</v>
      </c>
      <c r="T213">
        <f t="shared" si="18"/>
        <v>5.8805999999999994</v>
      </c>
      <c r="U213" s="33">
        <f t="shared" si="19"/>
        <v>10.999999999999998</v>
      </c>
    </row>
    <row r="214" spans="1:21" x14ac:dyDescent="0.25">
      <c r="A214" s="1" t="s">
        <v>441</v>
      </c>
      <c r="B214" s="28">
        <v>43921</v>
      </c>
      <c r="C214" s="21" t="str">
        <f t="shared" si="16"/>
        <v>2020</v>
      </c>
      <c r="D214" s="19" t="str">
        <f t="shared" si="17"/>
        <v>March</v>
      </c>
      <c r="E214" s="3" t="s">
        <v>442</v>
      </c>
      <c r="F214" s="3" t="str">
        <f>VLOOKUP(E214,Customers!$A$2:$I$1001,2,0)</f>
        <v>Dael Camilletti</v>
      </c>
      <c r="G214" s="3" t="str">
        <f>VLOOKUP(E214,Customers!$A$2:$I$1001,3,0)</f>
        <v>dcamilletti5w@businesswire.com</v>
      </c>
      <c r="H214" s="3" t="str">
        <f>VLOOKUP(E214,Customers!$A$2:$I$1001,4,0)</f>
        <v>+1 (540) 722-6065</v>
      </c>
      <c r="I214" s="25" t="str">
        <f>VLOOKUP(E214,Customers!$A$2:$I$1001,6,0)</f>
        <v>Roanoke</v>
      </c>
      <c r="J214" s="25" t="str">
        <f>VLOOKUP(E214,Customers!$A$2:$I$1001,7,0)</f>
        <v>United States</v>
      </c>
      <c r="K214" s="23" t="str">
        <f>VLOOKUP(E214,Customers!$A$2:$I$1001,9,0)</f>
        <v>Yes</v>
      </c>
      <c r="L214" s="4" t="s">
        <v>51</v>
      </c>
      <c r="M214" s="4" t="str">
        <f>VLOOKUP(L214,Products!$A$2:$G$49,2,0)</f>
        <v>Excelsa</v>
      </c>
      <c r="N214" s="4" t="str">
        <f>VLOOKUP(L214,Products!$A$2:$G$49,3,0)</f>
        <v>Dark</v>
      </c>
      <c r="O214" s="25">
        <v>4</v>
      </c>
      <c r="P214" s="5">
        <f>INDEX([1]products!$A$1:$G$49,MATCH([1]orders!$D214,[1]products!$A$1:$A$49,0),MATCH([1]orders!K$1,[1]products!$A$1:$G$1,0))</f>
        <v>0.2</v>
      </c>
      <c r="Q214" s="6">
        <f>INDEX([1]products!$A$1:$G$49,MATCH([1]orders!$D214,[1]products!$A$1:$A$49,0),MATCH([1]orders!L$1,[1]products!$A$1:$G$1,0))</f>
        <v>3.645</v>
      </c>
      <c r="R214" s="6">
        <f t="shared" si="15"/>
        <v>14.58</v>
      </c>
      <c r="S214">
        <f>VLOOKUP(L214,Products!$A$2:$G$49,7,0)</f>
        <v>0.40095000000000003</v>
      </c>
      <c r="T214">
        <f t="shared" si="18"/>
        <v>1.6038000000000001</v>
      </c>
      <c r="U214" s="33">
        <f t="shared" si="19"/>
        <v>11</v>
      </c>
    </row>
    <row r="215" spans="1:21" x14ac:dyDescent="0.25">
      <c r="A215" s="1" t="s">
        <v>443</v>
      </c>
      <c r="B215" s="28">
        <v>44646</v>
      </c>
      <c r="C215" s="21" t="str">
        <f t="shared" si="16"/>
        <v>2022</v>
      </c>
      <c r="D215" s="19" t="str">
        <f t="shared" si="17"/>
        <v>March</v>
      </c>
      <c r="E215" s="3" t="s">
        <v>444</v>
      </c>
      <c r="F215" s="3" t="str">
        <f>VLOOKUP(E215,Customers!$A$2:$I$1001,2,0)</f>
        <v>Emiline Galgey</v>
      </c>
      <c r="G215" s="3" t="str">
        <f>VLOOKUP(E215,Customers!$A$2:$I$1001,3,0)</f>
        <v>egalgey5x@wufoo.com</v>
      </c>
      <c r="H215" s="3" t="str">
        <f>VLOOKUP(E215,Customers!$A$2:$I$1001,4,0)</f>
        <v>+1 (718) 311-6732</v>
      </c>
      <c r="I215" s="25" t="str">
        <f>VLOOKUP(E215,Customers!$A$2:$I$1001,6,0)</f>
        <v>New York City</v>
      </c>
      <c r="J215" s="25" t="str">
        <f>VLOOKUP(E215,Customers!$A$2:$I$1001,7,0)</f>
        <v>United States</v>
      </c>
      <c r="K215" s="23" t="str">
        <f>VLOOKUP(E215,Customers!$A$2:$I$1001,9,0)</f>
        <v>No</v>
      </c>
      <c r="L215" s="4" t="s">
        <v>35</v>
      </c>
      <c r="M215" s="4" t="str">
        <f>VLOOKUP(L215,Products!$A$2:$G$49,2,0)</f>
        <v>Robusta</v>
      </c>
      <c r="N215" s="4" t="str">
        <f>VLOOKUP(L215,Products!$A$2:$G$49,3,0)</f>
        <v>Dark</v>
      </c>
      <c r="O215" s="25">
        <v>1</v>
      </c>
      <c r="P215" s="5">
        <f>INDEX([1]products!$A$1:$G$49,MATCH([1]orders!$D215,[1]products!$A$1:$A$49,0),MATCH([1]orders!K$1,[1]products!$A$1:$G$1,0))</f>
        <v>2.5</v>
      </c>
      <c r="Q215" s="6">
        <f>INDEX([1]products!$A$1:$G$49,MATCH([1]orders!$D215,[1]products!$A$1:$A$49,0),MATCH([1]orders!L$1,[1]products!$A$1:$G$1,0))</f>
        <v>20.584999999999997</v>
      </c>
      <c r="R215" s="6">
        <f t="shared" si="15"/>
        <v>20.584999999999997</v>
      </c>
      <c r="S215">
        <f>VLOOKUP(L215,Products!$A$2:$G$49,7,0)</f>
        <v>1.2350999999999999</v>
      </c>
      <c r="T215">
        <f t="shared" si="18"/>
        <v>1.2350999999999999</v>
      </c>
      <c r="U215" s="33">
        <f t="shared" si="19"/>
        <v>6.0000000000000009</v>
      </c>
    </row>
    <row r="216" spans="1:21" x14ac:dyDescent="0.25">
      <c r="A216" s="1" t="s">
        <v>445</v>
      </c>
      <c r="B216" s="28">
        <v>43775</v>
      </c>
      <c r="C216" s="21" t="str">
        <f t="shared" si="16"/>
        <v>2019</v>
      </c>
      <c r="D216" s="19" t="str">
        <f t="shared" si="17"/>
        <v>November</v>
      </c>
      <c r="E216" s="3" t="s">
        <v>446</v>
      </c>
      <c r="F216" s="3" t="str">
        <f>VLOOKUP(E216,Customers!$A$2:$I$1001,2,0)</f>
        <v>Murdock Hame</v>
      </c>
      <c r="G216" s="3" t="str">
        <f>VLOOKUP(E216,Customers!$A$2:$I$1001,3,0)</f>
        <v>mhame5y@newsvine.com</v>
      </c>
      <c r="H216" s="3" t="str">
        <f>VLOOKUP(E216,Customers!$A$2:$I$1001,4,0)</f>
        <v>+353 (649) 297-0884</v>
      </c>
      <c r="I216" s="25" t="str">
        <f>VLOOKUP(E216,Customers!$A$2:$I$1001,6,0)</f>
        <v>Balally</v>
      </c>
      <c r="J216" s="25" t="str">
        <f>VLOOKUP(E216,Customers!$A$2:$I$1001,7,0)</f>
        <v>Ireland</v>
      </c>
      <c r="K216" s="23" t="str">
        <f>VLOOKUP(E216,Customers!$A$2:$I$1001,9,0)</f>
        <v>No</v>
      </c>
      <c r="L216" s="4" t="s">
        <v>132</v>
      </c>
      <c r="M216" s="4" t="str">
        <f>VLOOKUP(L216,Products!$A$2:$G$49,2,0)</f>
        <v>Liberica</v>
      </c>
      <c r="N216" s="4" t="str">
        <f>VLOOKUP(L216,Products!$A$2:$G$49,3,0)</f>
        <v>Light</v>
      </c>
      <c r="O216" s="25">
        <v>2</v>
      </c>
      <c r="P216" s="5">
        <f>INDEX([1]products!$A$1:$G$49,MATCH([1]orders!$D216,[1]products!$A$1:$A$49,0),MATCH([1]orders!K$1,[1]products!$A$1:$G$1,0))</f>
        <v>1</v>
      </c>
      <c r="Q216" s="6">
        <f>INDEX([1]products!$A$1:$G$49,MATCH([1]orders!$D216,[1]products!$A$1:$A$49,0),MATCH([1]orders!L$1,[1]products!$A$1:$G$1,0))</f>
        <v>15.85</v>
      </c>
      <c r="R216" s="6">
        <f t="shared" si="15"/>
        <v>31.7</v>
      </c>
      <c r="S216">
        <f>VLOOKUP(L216,Products!$A$2:$G$49,7,0)</f>
        <v>2.0605000000000002</v>
      </c>
      <c r="T216">
        <f t="shared" si="18"/>
        <v>4.1210000000000004</v>
      </c>
      <c r="U216" s="33">
        <f t="shared" si="19"/>
        <v>13</v>
      </c>
    </row>
    <row r="217" spans="1:21" x14ac:dyDescent="0.25">
      <c r="A217" s="1" t="s">
        <v>447</v>
      </c>
      <c r="B217" s="28">
        <v>43829</v>
      </c>
      <c r="C217" s="21" t="str">
        <f t="shared" si="16"/>
        <v>2019</v>
      </c>
      <c r="D217" s="19" t="str">
        <f t="shared" si="17"/>
        <v>December</v>
      </c>
      <c r="E217" s="3" t="s">
        <v>448</v>
      </c>
      <c r="F217" s="3" t="str">
        <f>VLOOKUP(E217,Customers!$A$2:$I$1001,2,0)</f>
        <v>Ilka Gurnee</v>
      </c>
      <c r="G217" s="3" t="str">
        <f>VLOOKUP(E217,Customers!$A$2:$I$1001,3,0)</f>
        <v>igurnee5z@usnews.com</v>
      </c>
      <c r="H217" s="3" t="str">
        <f>VLOOKUP(E217,Customers!$A$2:$I$1001,4,0)</f>
        <v>+1 (801) 642-0352</v>
      </c>
      <c r="I217" s="25" t="str">
        <f>VLOOKUP(E217,Customers!$A$2:$I$1001,6,0)</f>
        <v>Salt Lake City</v>
      </c>
      <c r="J217" s="25" t="str">
        <f>VLOOKUP(E217,Customers!$A$2:$I$1001,7,0)</f>
        <v>United States</v>
      </c>
      <c r="K217" s="23" t="str">
        <f>VLOOKUP(E217,Customers!$A$2:$I$1001,9,0)</f>
        <v>No</v>
      </c>
      <c r="L217" s="4" t="s">
        <v>38</v>
      </c>
      <c r="M217" s="4" t="str">
        <f>VLOOKUP(L217,Products!$A$2:$G$49,2,0)</f>
        <v>Liberica</v>
      </c>
      <c r="N217" s="4" t="str">
        <f>VLOOKUP(L217,Products!$A$2:$G$49,3,0)</f>
        <v>Dark</v>
      </c>
      <c r="O217" s="25">
        <v>6</v>
      </c>
      <c r="P217" s="5">
        <f>INDEX([1]products!$A$1:$G$49,MATCH([1]orders!$D217,[1]products!$A$1:$A$49,0),MATCH([1]orders!K$1,[1]products!$A$1:$G$1,0))</f>
        <v>0.2</v>
      </c>
      <c r="Q217" s="6">
        <f>INDEX([1]products!$A$1:$G$49,MATCH([1]orders!$D217,[1]products!$A$1:$A$49,0),MATCH([1]orders!L$1,[1]products!$A$1:$G$1,0))</f>
        <v>3.8849999999999998</v>
      </c>
      <c r="R217" s="6">
        <f t="shared" si="15"/>
        <v>23.31</v>
      </c>
      <c r="S217">
        <f>VLOOKUP(L217,Products!$A$2:$G$49,7,0)</f>
        <v>0.50505</v>
      </c>
      <c r="T217">
        <f t="shared" si="18"/>
        <v>3.0303</v>
      </c>
      <c r="U217" s="33">
        <f t="shared" si="19"/>
        <v>13</v>
      </c>
    </row>
    <row r="218" spans="1:21" x14ac:dyDescent="0.25">
      <c r="A218" s="1" t="s">
        <v>449</v>
      </c>
      <c r="B218" s="28">
        <v>44470</v>
      </c>
      <c r="C218" s="21" t="str">
        <f t="shared" si="16"/>
        <v>2021</v>
      </c>
      <c r="D218" s="19" t="str">
        <f t="shared" si="17"/>
        <v>October</v>
      </c>
      <c r="E218" s="3" t="s">
        <v>450</v>
      </c>
      <c r="F218" s="3" t="str">
        <f>VLOOKUP(E218,Customers!$A$2:$I$1001,2,0)</f>
        <v>Alfy Snowding</v>
      </c>
      <c r="G218" s="3" t="str">
        <f>VLOOKUP(E218,Customers!$A$2:$I$1001,3,0)</f>
        <v>asnowding60@comsenz.com</v>
      </c>
      <c r="H218" s="3" t="str">
        <f>VLOOKUP(E218,Customers!$A$2:$I$1001,4,0)</f>
        <v>+1 (419) 996-2492</v>
      </c>
      <c r="I218" s="25" t="str">
        <f>VLOOKUP(E218,Customers!$A$2:$I$1001,6,0)</f>
        <v>Toledo</v>
      </c>
      <c r="J218" s="25" t="str">
        <f>VLOOKUP(E218,Customers!$A$2:$I$1001,7,0)</f>
        <v>United States</v>
      </c>
      <c r="K218" s="23" t="str">
        <f>VLOOKUP(E218,Customers!$A$2:$I$1001,9,0)</f>
        <v>Yes</v>
      </c>
      <c r="L218" s="4" t="s">
        <v>96</v>
      </c>
      <c r="M218" s="4" t="str">
        <f>VLOOKUP(L218,Products!$A$2:$G$49,2,0)</f>
        <v>Liberica</v>
      </c>
      <c r="N218" s="4" t="str">
        <f>VLOOKUP(L218,Products!$A$2:$G$49,3,0)</f>
        <v>Medium</v>
      </c>
      <c r="O218" s="25">
        <v>4</v>
      </c>
      <c r="P218" s="5">
        <f>INDEX([1]products!$A$1:$G$49,MATCH([1]orders!$D218,[1]products!$A$1:$A$49,0),MATCH([1]orders!K$1,[1]products!$A$1:$G$1,0))</f>
        <v>1</v>
      </c>
      <c r="Q218" s="6">
        <f>INDEX([1]products!$A$1:$G$49,MATCH([1]orders!$D218,[1]products!$A$1:$A$49,0),MATCH([1]orders!L$1,[1]products!$A$1:$G$1,0))</f>
        <v>14.55</v>
      </c>
      <c r="R218" s="6">
        <f t="shared" si="15"/>
        <v>58.2</v>
      </c>
      <c r="S218">
        <f>VLOOKUP(L218,Products!$A$2:$G$49,7,0)</f>
        <v>1.8915000000000002</v>
      </c>
      <c r="T218">
        <f t="shared" si="18"/>
        <v>7.5660000000000007</v>
      </c>
      <c r="U218" s="33">
        <f t="shared" si="19"/>
        <v>13</v>
      </c>
    </row>
    <row r="219" spans="1:21" x14ac:dyDescent="0.25">
      <c r="A219" s="1" t="s">
        <v>451</v>
      </c>
      <c r="B219" s="28">
        <v>44174</v>
      </c>
      <c r="C219" s="21" t="str">
        <f t="shared" si="16"/>
        <v>2020</v>
      </c>
      <c r="D219" s="19" t="str">
        <f t="shared" si="17"/>
        <v>December</v>
      </c>
      <c r="E219" s="3" t="s">
        <v>452</v>
      </c>
      <c r="F219" s="3" t="str">
        <f>VLOOKUP(E219,Customers!$A$2:$I$1001,2,0)</f>
        <v>Godfry Poinsett</v>
      </c>
      <c r="G219" s="3" t="str">
        <f>VLOOKUP(E219,Customers!$A$2:$I$1001,3,0)</f>
        <v>gpoinsett61@berkeley.edu</v>
      </c>
      <c r="H219" s="3" t="str">
        <f>VLOOKUP(E219,Customers!$A$2:$I$1001,4,0)</f>
        <v>+1 (626) 451-7397</v>
      </c>
      <c r="I219" s="25" t="str">
        <f>VLOOKUP(E219,Customers!$A$2:$I$1001,6,0)</f>
        <v>Pasadena</v>
      </c>
      <c r="J219" s="25" t="str">
        <f>VLOOKUP(E219,Customers!$A$2:$I$1001,7,0)</f>
        <v>United States</v>
      </c>
      <c r="K219" s="23" t="str">
        <f>VLOOKUP(E219,Customers!$A$2:$I$1001,9,0)</f>
        <v>No</v>
      </c>
      <c r="L219" s="4" t="s">
        <v>176</v>
      </c>
      <c r="M219" s="4" t="str">
        <f>VLOOKUP(L219,Products!$A$2:$G$49,2,0)</f>
        <v>Excelsa</v>
      </c>
      <c r="N219" s="4" t="str">
        <f>VLOOKUP(L219,Products!$A$2:$G$49,3,0)</f>
        <v>Light</v>
      </c>
      <c r="O219" s="25">
        <v>4</v>
      </c>
      <c r="P219" s="5">
        <f>INDEX([1]products!$A$1:$G$49,MATCH([1]orders!$D219,[1]products!$A$1:$A$49,0),MATCH([1]orders!K$1,[1]products!$A$1:$G$1,0))</f>
        <v>0.5</v>
      </c>
      <c r="Q219" s="6">
        <f>INDEX([1]products!$A$1:$G$49,MATCH([1]orders!$D219,[1]products!$A$1:$A$49,0),MATCH([1]orders!L$1,[1]products!$A$1:$G$1,0))</f>
        <v>8.91</v>
      </c>
      <c r="R219" s="6">
        <f t="shared" si="15"/>
        <v>35.64</v>
      </c>
      <c r="S219">
        <f>VLOOKUP(L219,Products!$A$2:$G$49,7,0)</f>
        <v>0.98009999999999997</v>
      </c>
      <c r="T219">
        <f t="shared" si="18"/>
        <v>3.9203999999999999</v>
      </c>
      <c r="U219" s="33">
        <f t="shared" si="19"/>
        <v>11</v>
      </c>
    </row>
    <row r="220" spans="1:21" x14ac:dyDescent="0.25">
      <c r="A220" s="1" t="s">
        <v>453</v>
      </c>
      <c r="B220" s="28">
        <v>44317</v>
      </c>
      <c r="C220" s="21" t="str">
        <f t="shared" si="16"/>
        <v>2021</v>
      </c>
      <c r="D220" s="19" t="str">
        <f t="shared" si="17"/>
        <v>May</v>
      </c>
      <c r="E220" s="3" t="s">
        <v>454</v>
      </c>
      <c r="F220" s="3" t="str">
        <f>VLOOKUP(E220,Customers!$A$2:$I$1001,2,0)</f>
        <v>Rem Furman</v>
      </c>
      <c r="G220" s="3" t="str">
        <f>VLOOKUP(E220,Customers!$A$2:$I$1001,3,0)</f>
        <v>rfurman62@t.co</v>
      </c>
      <c r="H220" s="3" t="str">
        <f>VLOOKUP(E220,Customers!$A$2:$I$1001,4,0)</f>
        <v>+353 (829) 808-4788</v>
      </c>
      <c r="I220" s="25" t="str">
        <f>VLOOKUP(E220,Customers!$A$2:$I$1001,6,0)</f>
        <v>Kinsale</v>
      </c>
      <c r="J220" s="25" t="str">
        <f>VLOOKUP(E220,Customers!$A$2:$I$1001,7,0)</f>
        <v>Ireland</v>
      </c>
      <c r="K220" s="23" t="str">
        <f>VLOOKUP(E220,Customers!$A$2:$I$1001,9,0)</f>
        <v>Yes</v>
      </c>
      <c r="L220" s="4" t="s">
        <v>61</v>
      </c>
      <c r="M220" s="4" t="str">
        <f>VLOOKUP(L220,Products!$A$2:$G$49,2,0)</f>
        <v>Arabica</v>
      </c>
      <c r="N220" s="4" t="str">
        <f>VLOOKUP(L220,Products!$A$2:$G$49,3,0)</f>
        <v>Medium</v>
      </c>
      <c r="O220" s="25">
        <v>5</v>
      </c>
      <c r="P220" s="5">
        <f>INDEX([1]products!$A$1:$G$49,MATCH([1]orders!$D220,[1]products!$A$1:$A$49,0),MATCH([1]orders!K$1,[1]products!$A$1:$G$1,0))</f>
        <v>1</v>
      </c>
      <c r="Q220" s="6">
        <f>INDEX([1]products!$A$1:$G$49,MATCH([1]orders!$D220,[1]products!$A$1:$A$49,0),MATCH([1]orders!L$1,[1]products!$A$1:$G$1,0))</f>
        <v>11.25</v>
      </c>
      <c r="R220" s="6">
        <f t="shared" si="15"/>
        <v>56.25</v>
      </c>
      <c r="S220">
        <f>VLOOKUP(L220,Products!$A$2:$G$49,7,0)</f>
        <v>1.0125</v>
      </c>
      <c r="T220">
        <f t="shared" si="18"/>
        <v>5.0625</v>
      </c>
      <c r="U220" s="33">
        <f t="shared" si="19"/>
        <v>9</v>
      </c>
    </row>
    <row r="221" spans="1:21" x14ac:dyDescent="0.25">
      <c r="A221" s="1" t="s">
        <v>455</v>
      </c>
      <c r="B221" s="28">
        <v>44777</v>
      </c>
      <c r="C221" s="21" t="str">
        <f t="shared" si="16"/>
        <v>2022</v>
      </c>
      <c r="D221" s="19" t="str">
        <f t="shared" si="17"/>
        <v>August</v>
      </c>
      <c r="E221" s="3" t="s">
        <v>456</v>
      </c>
      <c r="F221" s="3" t="str">
        <f>VLOOKUP(E221,Customers!$A$2:$I$1001,2,0)</f>
        <v>Charis Crosier</v>
      </c>
      <c r="G221" s="3" t="str">
        <f>VLOOKUP(E221,Customers!$A$2:$I$1001,3,0)</f>
        <v>ccrosier63@xrea.com</v>
      </c>
      <c r="H221" s="3" t="str">
        <f>VLOOKUP(E221,Customers!$A$2:$I$1001,4,0)</f>
        <v>+1 (816) 578-2743</v>
      </c>
      <c r="I221" s="25" t="str">
        <f>VLOOKUP(E221,Customers!$A$2:$I$1001,6,0)</f>
        <v>Lees Summit</v>
      </c>
      <c r="J221" s="25" t="str">
        <f>VLOOKUP(E221,Customers!$A$2:$I$1001,7,0)</f>
        <v>United States</v>
      </c>
      <c r="K221" s="23" t="str">
        <f>VLOOKUP(E221,Customers!$A$2:$I$1001,9,0)</f>
        <v>No</v>
      </c>
      <c r="L221" s="4" t="s">
        <v>182</v>
      </c>
      <c r="M221" s="4" t="str">
        <f>VLOOKUP(L221,Products!$A$2:$G$49,2,0)</f>
        <v>Robusta</v>
      </c>
      <c r="N221" s="4" t="str">
        <f>VLOOKUP(L221,Products!$A$2:$G$49,3,0)</f>
        <v>Light</v>
      </c>
      <c r="O221" s="25">
        <v>3</v>
      </c>
      <c r="P221" s="5">
        <f>INDEX([1]products!$A$1:$G$49,MATCH([1]orders!$D221,[1]products!$A$1:$A$49,0),MATCH([1]orders!K$1,[1]products!$A$1:$G$1,0))</f>
        <v>0.2</v>
      </c>
      <c r="Q221" s="6">
        <f>INDEX([1]products!$A$1:$G$49,MATCH([1]orders!$D221,[1]products!$A$1:$A$49,0),MATCH([1]orders!L$1,[1]products!$A$1:$G$1,0))</f>
        <v>3.5849999999999995</v>
      </c>
      <c r="R221" s="6">
        <f t="shared" si="15"/>
        <v>10.754999999999999</v>
      </c>
      <c r="S221">
        <f>VLOOKUP(L221,Products!$A$2:$G$49,7,0)</f>
        <v>0.21509999999999996</v>
      </c>
      <c r="T221">
        <f t="shared" si="18"/>
        <v>0.64529999999999987</v>
      </c>
      <c r="U221" s="33">
        <f t="shared" si="19"/>
        <v>5.9999999999999991</v>
      </c>
    </row>
    <row r="222" spans="1:21" x14ac:dyDescent="0.25">
      <c r="A222" s="1" t="s">
        <v>455</v>
      </c>
      <c r="B222" s="28">
        <v>44777</v>
      </c>
      <c r="C222" s="21" t="str">
        <f t="shared" si="16"/>
        <v>2022</v>
      </c>
      <c r="D222" s="19" t="str">
        <f t="shared" si="17"/>
        <v>August</v>
      </c>
      <c r="E222" s="3" t="s">
        <v>456</v>
      </c>
      <c r="F222" s="3" t="str">
        <f>VLOOKUP(E222,Customers!$A$2:$I$1001,2,0)</f>
        <v>Charis Crosier</v>
      </c>
      <c r="G222" s="3" t="str">
        <f>VLOOKUP(E222,Customers!$A$2:$I$1001,3,0)</f>
        <v>ccrosier63@xrea.com</v>
      </c>
      <c r="H222" s="3" t="str">
        <f>VLOOKUP(E222,Customers!$A$2:$I$1001,4,0)</f>
        <v>+1 (816) 578-2743</v>
      </c>
      <c r="I222" s="25" t="str">
        <f>VLOOKUP(E222,Customers!$A$2:$I$1001,6,0)</f>
        <v>Lees Summit</v>
      </c>
      <c r="J222" s="25" t="str">
        <f>VLOOKUP(E222,Customers!$A$2:$I$1001,7,0)</f>
        <v>United States</v>
      </c>
      <c r="K222" s="23" t="str">
        <f>VLOOKUP(E222,Customers!$A$2:$I$1001,9,0)</f>
        <v>No</v>
      </c>
      <c r="L222" s="4" t="s">
        <v>162</v>
      </c>
      <c r="M222" s="4" t="str">
        <f>VLOOKUP(L222,Products!$A$2:$G$49,2,0)</f>
        <v>Robusta</v>
      </c>
      <c r="N222" s="4" t="str">
        <f>VLOOKUP(L222,Products!$A$2:$G$49,3,0)</f>
        <v>Medium</v>
      </c>
      <c r="O222" s="25">
        <v>5</v>
      </c>
      <c r="P222" s="5">
        <f>INDEX([1]products!$A$1:$G$49,MATCH([1]orders!$D222,[1]products!$A$1:$A$49,0),MATCH([1]orders!K$1,[1]products!$A$1:$G$1,0))</f>
        <v>0.2</v>
      </c>
      <c r="Q222" s="6">
        <f>INDEX([1]products!$A$1:$G$49,MATCH([1]orders!$D222,[1]products!$A$1:$A$49,0),MATCH([1]orders!L$1,[1]products!$A$1:$G$1,0))</f>
        <v>2.9849999999999999</v>
      </c>
      <c r="R222" s="6">
        <f t="shared" si="15"/>
        <v>14.924999999999999</v>
      </c>
      <c r="S222">
        <f>VLOOKUP(L222,Products!$A$2:$G$49,7,0)</f>
        <v>0.17909999999999998</v>
      </c>
      <c r="T222">
        <f t="shared" si="18"/>
        <v>0.89549999999999996</v>
      </c>
      <c r="U222" s="33">
        <f t="shared" si="19"/>
        <v>6.0000000000000009</v>
      </c>
    </row>
    <row r="223" spans="1:21" x14ac:dyDescent="0.25">
      <c r="A223" s="1" t="s">
        <v>457</v>
      </c>
      <c r="B223" s="28">
        <v>44513</v>
      </c>
      <c r="C223" s="21" t="str">
        <f t="shared" si="16"/>
        <v>2021</v>
      </c>
      <c r="D223" s="19" t="str">
        <f t="shared" si="17"/>
        <v>November</v>
      </c>
      <c r="E223" s="3" t="s">
        <v>458</v>
      </c>
      <c r="F223" s="3" t="str">
        <f>VLOOKUP(E223,Customers!$A$2:$I$1001,2,0)</f>
        <v>Lenka Rushmer</v>
      </c>
      <c r="G223" s="3" t="str">
        <f>VLOOKUP(E223,Customers!$A$2:$I$1001,3,0)</f>
        <v>lrushmer65@europa.eu</v>
      </c>
      <c r="H223" s="3" t="str">
        <f>VLOOKUP(E223,Customers!$A$2:$I$1001,4,0)</f>
        <v>+1 (949) 869-7598</v>
      </c>
      <c r="I223" s="25" t="str">
        <f>VLOOKUP(E223,Customers!$A$2:$I$1001,6,0)</f>
        <v>Irvine</v>
      </c>
      <c r="J223" s="25" t="str">
        <f>VLOOKUP(E223,Customers!$A$2:$I$1001,7,0)</f>
        <v>United States</v>
      </c>
      <c r="K223" s="23" t="str">
        <f>VLOOKUP(E223,Customers!$A$2:$I$1001,9,0)</f>
        <v>Yes</v>
      </c>
      <c r="L223" s="4" t="s">
        <v>6</v>
      </c>
      <c r="M223" s="4" t="str">
        <f>VLOOKUP(L223,Products!$A$2:$G$49,2,0)</f>
        <v>Arabica</v>
      </c>
      <c r="N223" s="4" t="str">
        <f>VLOOKUP(L223,Products!$A$2:$G$49,3,0)</f>
        <v>Light</v>
      </c>
      <c r="O223" s="25">
        <v>6</v>
      </c>
      <c r="P223" s="5">
        <f>INDEX([1]products!$A$1:$G$49,MATCH([1]orders!$D223,[1]products!$A$1:$A$49,0),MATCH([1]orders!K$1,[1]products!$A$1:$G$1,0))</f>
        <v>1</v>
      </c>
      <c r="Q223" s="6">
        <f>INDEX([1]products!$A$1:$G$49,MATCH([1]orders!$D223,[1]products!$A$1:$A$49,0),MATCH([1]orders!L$1,[1]products!$A$1:$G$1,0))</f>
        <v>12.95</v>
      </c>
      <c r="R223" s="6">
        <f t="shared" si="15"/>
        <v>77.699999999999989</v>
      </c>
      <c r="S223">
        <f>VLOOKUP(L223,Products!$A$2:$G$49,7,0)</f>
        <v>1.1655</v>
      </c>
      <c r="T223">
        <f t="shared" si="18"/>
        <v>6.9930000000000003</v>
      </c>
      <c r="U223" s="33">
        <f t="shared" si="19"/>
        <v>9.0000000000000018</v>
      </c>
    </row>
    <row r="224" spans="1:21" x14ac:dyDescent="0.25">
      <c r="A224" s="1" t="s">
        <v>459</v>
      </c>
      <c r="B224" s="28">
        <v>44090</v>
      </c>
      <c r="C224" s="21" t="str">
        <f t="shared" si="16"/>
        <v>2020</v>
      </c>
      <c r="D224" s="19" t="str">
        <f t="shared" si="17"/>
        <v>September</v>
      </c>
      <c r="E224" s="3" t="s">
        <v>460</v>
      </c>
      <c r="F224" s="3" t="str">
        <f>VLOOKUP(E224,Customers!$A$2:$I$1001,2,0)</f>
        <v>Waneta Edinborough</v>
      </c>
      <c r="G224" s="3" t="str">
        <f>VLOOKUP(E224,Customers!$A$2:$I$1001,3,0)</f>
        <v>wedinborough66@github.io</v>
      </c>
      <c r="H224" s="3" t="str">
        <f>VLOOKUP(E224,Customers!$A$2:$I$1001,4,0)</f>
        <v>+1 (516) 445-4950</v>
      </c>
      <c r="I224" s="25" t="str">
        <f>VLOOKUP(E224,Customers!$A$2:$I$1001,6,0)</f>
        <v>Hicksville</v>
      </c>
      <c r="J224" s="25" t="str">
        <f>VLOOKUP(E224,Customers!$A$2:$I$1001,7,0)</f>
        <v>United States</v>
      </c>
      <c r="K224" s="23" t="str">
        <f>VLOOKUP(E224,Customers!$A$2:$I$1001,9,0)</f>
        <v>No</v>
      </c>
      <c r="L224" s="4" t="s">
        <v>123</v>
      </c>
      <c r="M224" s="4" t="str">
        <f>VLOOKUP(L224,Products!$A$2:$G$49,2,0)</f>
        <v>Liberica</v>
      </c>
      <c r="N224" s="4" t="str">
        <f>VLOOKUP(L224,Products!$A$2:$G$49,3,0)</f>
        <v>Dark</v>
      </c>
      <c r="O224" s="25">
        <v>3</v>
      </c>
      <c r="P224" s="5">
        <f>INDEX([1]products!$A$1:$G$49,MATCH([1]orders!$D224,[1]products!$A$1:$A$49,0),MATCH([1]orders!K$1,[1]products!$A$1:$G$1,0))</f>
        <v>0.5</v>
      </c>
      <c r="Q224" s="6">
        <f>INDEX([1]products!$A$1:$G$49,MATCH([1]orders!$D224,[1]products!$A$1:$A$49,0),MATCH([1]orders!L$1,[1]products!$A$1:$G$1,0))</f>
        <v>7.77</v>
      </c>
      <c r="R224" s="6">
        <f t="shared" si="15"/>
        <v>23.31</v>
      </c>
      <c r="S224">
        <f>VLOOKUP(L224,Products!$A$2:$G$49,7,0)</f>
        <v>1.0101</v>
      </c>
      <c r="T224">
        <f t="shared" si="18"/>
        <v>3.0303</v>
      </c>
      <c r="U224" s="33">
        <f t="shared" si="19"/>
        <v>13</v>
      </c>
    </row>
    <row r="225" spans="1:21" x14ac:dyDescent="0.25">
      <c r="A225" s="1" t="s">
        <v>461</v>
      </c>
      <c r="B225" s="28">
        <v>44109</v>
      </c>
      <c r="C225" s="21" t="str">
        <f t="shared" si="16"/>
        <v>2020</v>
      </c>
      <c r="D225" s="19" t="str">
        <f t="shared" si="17"/>
        <v>October</v>
      </c>
      <c r="E225" s="3" t="s">
        <v>462</v>
      </c>
      <c r="F225" s="3" t="str">
        <f>VLOOKUP(E225,Customers!$A$2:$I$1001,2,0)</f>
        <v>Bobbe Piggott</v>
      </c>
      <c r="G225" s="3" t="str">
        <f>VLOOKUP(E225,Customers!$A$2:$I$1001,3,0)</f>
        <v>UNKNOWN</v>
      </c>
      <c r="H225" s="3" t="str">
        <f>VLOOKUP(E225,Customers!$A$2:$I$1001,4,0)</f>
        <v>+1 (202) 650-1803</v>
      </c>
      <c r="I225" s="25" t="str">
        <f>VLOOKUP(E225,Customers!$A$2:$I$1001,6,0)</f>
        <v>Washington</v>
      </c>
      <c r="J225" s="25" t="str">
        <f>VLOOKUP(E225,Customers!$A$2:$I$1001,7,0)</f>
        <v>United States</v>
      </c>
      <c r="K225" s="23" t="str">
        <f>VLOOKUP(E225,Customers!$A$2:$I$1001,9,0)</f>
        <v>Yes</v>
      </c>
      <c r="L225" s="4" t="s">
        <v>137</v>
      </c>
      <c r="M225" s="4" t="str">
        <f>VLOOKUP(L225,Products!$A$2:$G$49,2,0)</f>
        <v>Excelsa</v>
      </c>
      <c r="N225" s="4" t="str">
        <f>VLOOKUP(L225,Products!$A$2:$G$49,3,0)</f>
        <v>Light</v>
      </c>
      <c r="O225" s="25">
        <v>4</v>
      </c>
      <c r="P225" s="5">
        <f>INDEX([1]products!$A$1:$G$49,MATCH([1]orders!$D225,[1]products!$A$1:$A$49,0),MATCH([1]orders!K$1,[1]products!$A$1:$G$1,0))</f>
        <v>1</v>
      </c>
      <c r="Q225" s="6">
        <f>INDEX([1]products!$A$1:$G$49,MATCH([1]orders!$D225,[1]products!$A$1:$A$49,0),MATCH([1]orders!L$1,[1]products!$A$1:$G$1,0))</f>
        <v>14.85</v>
      </c>
      <c r="R225" s="6">
        <f t="shared" si="15"/>
        <v>59.4</v>
      </c>
      <c r="S225">
        <f>VLOOKUP(L225,Products!$A$2:$G$49,7,0)</f>
        <v>1.6335</v>
      </c>
      <c r="T225">
        <f t="shared" si="18"/>
        <v>6.5339999999999998</v>
      </c>
      <c r="U225" s="33">
        <f t="shared" si="19"/>
        <v>11</v>
      </c>
    </row>
    <row r="226" spans="1:21" x14ac:dyDescent="0.25">
      <c r="A226" s="1" t="s">
        <v>463</v>
      </c>
      <c r="B226" s="28">
        <v>43836</v>
      </c>
      <c r="C226" s="21" t="str">
        <f t="shared" si="16"/>
        <v>2020</v>
      </c>
      <c r="D226" s="19" t="str">
        <f t="shared" si="17"/>
        <v>January</v>
      </c>
      <c r="E226" s="3" t="s">
        <v>464</v>
      </c>
      <c r="F226" s="3" t="str">
        <f>VLOOKUP(E226,Customers!$A$2:$I$1001,2,0)</f>
        <v>Ketty Bromehead</v>
      </c>
      <c r="G226" s="3" t="str">
        <f>VLOOKUP(E226,Customers!$A$2:$I$1001,3,0)</f>
        <v>kbromehead68@un.org</v>
      </c>
      <c r="H226" s="3" t="str">
        <f>VLOOKUP(E226,Customers!$A$2:$I$1001,4,0)</f>
        <v>+1 (646) 586-9964</v>
      </c>
      <c r="I226" s="25" t="str">
        <f>VLOOKUP(E226,Customers!$A$2:$I$1001,6,0)</f>
        <v>New York City</v>
      </c>
      <c r="J226" s="25" t="str">
        <f>VLOOKUP(E226,Customers!$A$2:$I$1001,7,0)</f>
        <v>United States</v>
      </c>
      <c r="K226" s="23" t="str">
        <f>VLOOKUP(E226,Customers!$A$2:$I$1001,9,0)</f>
        <v>Yes</v>
      </c>
      <c r="L226" s="4" t="s">
        <v>109</v>
      </c>
      <c r="M226" s="4" t="str">
        <f>VLOOKUP(L226,Products!$A$2:$G$49,2,0)</f>
        <v>Liberica</v>
      </c>
      <c r="N226" s="4" t="str">
        <f>VLOOKUP(L226,Products!$A$2:$G$49,3,0)</f>
        <v>Dark</v>
      </c>
      <c r="O226" s="25">
        <v>4</v>
      </c>
      <c r="P226" s="5">
        <f>INDEX([1]products!$A$1:$G$49,MATCH([1]orders!$D226,[1]products!$A$1:$A$49,0),MATCH([1]orders!K$1,[1]products!$A$1:$G$1,0))</f>
        <v>2.5</v>
      </c>
      <c r="Q226" s="6">
        <f>INDEX([1]products!$A$1:$G$49,MATCH([1]orders!$D226,[1]products!$A$1:$A$49,0),MATCH([1]orders!L$1,[1]products!$A$1:$G$1,0))</f>
        <v>29.784999999999997</v>
      </c>
      <c r="R226" s="6">
        <f t="shared" si="15"/>
        <v>119.13999999999999</v>
      </c>
      <c r="S226">
        <f>VLOOKUP(L226,Products!$A$2:$G$49,7,0)</f>
        <v>3.8720499999999998</v>
      </c>
      <c r="T226">
        <f t="shared" si="18"/>
        <v>15.488199999999999</v>
      </c>
      <c r="U226" s="33">
        <f t="shared" si="19"/>
        <v>13</v>
      </c>
    </row>
    <row r="227" spans="1:21" x14ac:dyDescent="0.25">
      <c r="A227" s="1" t="s">
        <v>465</v>
      </c>
      <c r="B227" s="28">
        <v>44337</v>
      </c>
      <c r="C227" s="21" t="str">
        <f t="shared" si="16"/>
        <v>2021</v>
      </c>
      <c r="D227" s="19" t="str">
        <f t="shared" si="17"/>
        <v>May</v>
      </c>
      <c r="E227" s="3" t="s">
        <v>466</v>
      </c>
      <c r="F227" s="3" t="str">
        <f>VLOOKUP(E227,Customers!$A$2:$I$1001,2,0)</f>
        <v>Elsbeth Westerman</v>
      </c>
      <c r="G227" s="3" t="str">
        <f>VLOOKUP(E227,Customers!$A$2:$I$1001,3,0)</f>
        <v>ewesterman69@si.edu</v>
      </c>
      <c r="H227" s="3" t="str">
        <f>VLOOKUP(E227,Customers!$A$2:$I$1001,4,0)</f>
        <v>+353 (343) 455-4020</v>
      </c>
      <c r="I227" s="25" t="str">
        <f>VLOOKUP(E227,Customers!$A$2:$I$1001,6,0)</f>
        <v>Newmarket on Fergus</v>
      </c>
      <c r="J227" s="25" t="str">
        <f>VLOOKUP(E227,Customers!$A$2:$I$1001,7,0)</f>
        <v>Ireland</v>
      </c>
      <c r="K227" s="23" t="str">
        <f>VLOOKUP(E227,Customers!$A$2:$I$1001,9,0)</f>
        <v>No</v>
      </c>
      <c r="L227" s="4" t="s">
        <v>182</v>
      </c>
      <c r="M227" s="4" t="str">
        <f>VLOOKUP(L227,Products!$A$2:$G$49,2,0)</f>
        <v>Robusta</v>
      </c>
      <c r="N227" s="4" t="str">
        <f>VLOOKUP(L227,Products!$A$2:$G$49,3,0)</f>
        <v>Light</v>
      </c>
      <c r="O227" s="25">
        <v>4</v>
      </c>
      <c r="P227" s="5">
        <f>INDEX([1]products!$A$1:$G$49,MATCH([1]orders!$D227,[1]products!$A$1:$A$49,0),MATCH([1]orders!K$1,[1]products!$A$1:$G$1,0))</f>
        <v>0.2</v>
      </c>
      <c r="Q227" s="6">
        <f>INDEX([1]products!$A$1:$G$49,MATCH([1]orders!$D227,[1]products!$A$1:$A$49,0),MATCH([1]orders!L$1,[1]products!$A$1:$G$1,0))</f>
        <v>3.5849999999999995</v>
      </c>
      <c r="R227" s="6">
        <f t="shared" si="15"/>
        <v>14.339999999999998</v>
      </c>
      <c r="S227">
        <f>VLOOKUP(L227,Products!$A$2:$G$49,7,0)</f>
        <v>0.21509999999999996</v>
      </c>
      <c r="T227">
        <f t="shared" si="18"/>
        <v>0.86039999999999983</v>
      </c>
      <c r="U227" s="33">
        <f t="shared" si="19"/>
        <v>6</v>
      </c>
    </row>
    <row r="228" spans="1:21" x14ac:dyDescent="0.25">
      <c r="A228" s="1" t="s">
        <v>467</v>
      </c>
      <c r="B228" s="28">
        <v>43887</v>
      </c>
      <c r="C228" s="21" t="str">
        <f t="shared" si="16"/>
        <v>2020</v>
      </c>
      <c r="D228" s="19" t="str">
        <f t="shared" si="17"/>
        <v>February</v>
      </c>
      <c r="E228" s="3" t="s">
        <v>468</v>
      </c>
      <c r="F228" s="3" t="str">
        <f>VLOOKUP(E228,Customers!$A$2:$I$1001,2,0)</f>
        <v>Anabelle Hutchens</v>
      </c>
      <c r="G228" s="3" t="str">
        <f>VLOOKUP(E228,Customers!$A$2:$I$1001,3,0)</f>
        <v>ahutchens6a@amazonaws.com</v>
      </c>
      <c r="H228" s="3" t="str">
        <f>VLOOKUP(E228,Customers!$A$2:$I$1001,4,0)</f>
        <v>+1 (913) 108-5997</v>
      </c>
      <c r="I228" s="25" t="str">
        <f>VLOOKUP(E228,Customers!$A$2:$I$1001,6,0)</f>
        <v>Shawnee Mission</v>
      </c>
      <c r="J228" s="25" t="str">
        <f>VLOOKUP(E228,Customers!$A$2:$I$1001,7,0)</f>
        <v>United States</v>
      </c>
      <c r="K228" s="23" t="str">
        <f>VLOOKUP(E228,Customers!$A$2:$I$1001,9,0)</f>
        <v>No</v>
      </c>
      <c r="L228" s="4" t="s">
        <v>171</v>
      </c>
      <c r="M228" s="4" t="str">
        <f>VLOOKUP(L228,Products!$A$2:$G$49,2,0)</f>
        <v>Arabica</v>
      </c>
      <c r="N228" s="4" t="str">
        <f>VLOOKUP(L228,Products!$A$2:$G$49,3,0)</f>
        <v>Medium</v>
      </c>
      <c r="O228" s="25">
        <v>5</v>
      </c>
      <c r="P228" s="5">
        <f>INDEX([1]products!$A$1:$G$49,MATCH([1]orders!$D228,[1]products!$A$1:$A$49,0),MATCH([1]orders!K$1,[1]products!$A$1:$G$1,0))</f>
        <v>2.5</v>
      </c>
      <c r="Q228" s="6">
        <f>INDEX([1]products!$A$1:$G$49,MATCH([1]orders!$D228,[1]products!$A$1:$A$49,0),MATCH([1]orders!L$1,[1]products!$A$1:$G$1,0))</f>
        <v>25.874999999999996</v>
      </c>
      <c r="R228" s="6">
        <f t="shared" si="15"/>
        <v>129.37499999999997</v>
      </c>
      <c r="S228">
        <f>VLOOKUP(L228,Products!$A$2:$G$49,7,0)</f>
        <v>2.3287499999999994</v>
      </c>
      <c r="T228">
        <f t="shared" si="18"/>
        <v>11.643749999999997</v>
      </c>
      <c r="U228" s="33">
        <f t="shared" si="19"/>
        <v>9</v>
      </c>
    </row>
    <row r="229" spans="1:21" x14ac:dyDescent="0.25">
      <c r="A229" s="1" t="s">
        <v>469</v>
      </c>
      <c r="B229" s="28">
        <v>43880</v>
      </c>
      <c r="C229" s="21" t="str">
        <f t="shared" si="16"/>
        <v>2020</v>
      </c>
      <c r="D229" s="19" t="str">
        <f t="shared" si="17"/>
        <v>February</v>
      </c>
      <c r="E229" s="3" t="s">
        <v>470</v>
      </c>
      <c r="F229" s="3" t="str">
        <f>VLOOKUP(E229,Customers!$A$2:$I$1001,2,0)</f>
        <v>Noak Wyvill</v>
      </c>
      <c r="G229" s="3" t="str">
        <f>VLOOKUP(E229,Customers!$A$2:$I$1001,3,0)</f>
        <v>nwyvill6b@naver.com</v>
      </c>
      <c r="H229" s="3" t="str">
        <f>VLOOKUP(E229,Customers!$A$2:$I$1001,4,0)</f>
        <v>+44 (872) 383-2829</v>
      </c>
      <c r="I229" s="25" t="str">
        <f>VLOOKUP(E229,Customers!$A$2:$I$1001,6,0)</f>
        <v>Edinburgh</v>
      </c>
      <c r="J229" s="25" t="str">
        <f>VLOOKUP(E229,Customers!$A$2:$I$1001,7,0)</f>
        <v>United Kingdom</v>
      </c>
      <c r="K229" s="23" t="str">
        <f>VLOOKUP(E229,Customers!$A$2:$I$1001,9,0)</f>
        <v>Yes</v>
      </c>
      <c r="L229" s="4" t="s">
        <v>101</v>
      </c>
      <c r="M229" s="4" t="str">
        <f>VLOOKUP(L229,Products!$A$2:$G$49,2,0)</f>
        <v>Robusta</v>
      </c>
      <c r="N229" s="4" t="str">
        <f>VLOOKUP(L229,Products!$A$2:$G$49,3,0)</f>
        <v>Dark</v>
      </c>
      <c r="O229" s="25">
        <v>6</v>
      </c>
      <c r="P229" s="5">
        <f>INDEX([1]products!$A$1:$G$49,MATCH([1]orders!$D229,[1]products!$A$1:$A$49,0),MATCH([1]orders!K$1,[1]products!$A$1:$G$1,0))</f>
        <v>0.2</v>
      </c>
      <c r="Q229" s="6">
        <f>INDEX([1]products!$A$1:$G$49,MATCH([1]orders!$D229,[1]products!$A$1:$A$49,0),MATCH([1]orders!L$1,[1]products!$A$1:$G$1,0))</f>
        <v>2.6849999999999996</v>
      </c>
      <c r="R229" s="6">
        <f t="shared" si="15"/>
        <v>16.11</v>
      </c>
      <c r="S229">
        <f>VLOOKUP(L229,Products!$A$2:$G$49,7,0)</f>
        <v>0.16109999999999997</v>
      </c>
      <c r="T229">
        <f t="shared" si="18"/>
        <v>0.96659999999999979</v>
      </c>
      <c r="U229" s="33">
        <f t="shared" si="19"/>
        <v>5.9999999999999991</v>
      </c>
    </row>
    <row r="230" spans="1:21" x14ac:dyDescent="0.25">
      <c r="A230" s="1" t="s">
        <v>471</v>
      </c>
      <c r="B230" s="28">
        <v>44376</v>
      </c>
      <c r="C230" s="21" t="str">
        <f t="shared" si="16"/>
        <v>2021</v>
      </c>
      <c r="D230" s="19" t="str">
        <f t="shared" si="17"/>
        <v>June</v>
      </c>
      <c r="E230" s="3" t="s">
        <v>472</v>
      </c>
      <c r="F230" s="3" t="str">
        <f>VLOOKUP(E230,Customers!$A$2:$I$1001,2,0)</f>
        <v>Beltran Mathon</v>
      </c>
      <c r="G230" s="3" t="str">
        <f>VLOOKUP(E230,Customers!$A$2:$I$1001,3,0)</f>
        <v>bmathon6c@barnesandnoble.com</v>
      </c>
      <c r="H230" s="3" t="str">
        <f>VLOOKUP(E230,Customers!$A$2:$I$1001,4,0)</f>
        <v>+1 (916) 915-5069</v>
      </c>
      <c r="I230" s="25" t="str">
        <f>VLOOKUP(E230,Customers!$A$2:$I$1001,6,0)</f>
        <v>Sacramento</v>
      </c>
      <c r="J230" s="25" t="str">
        <f>VLOOKUP(E230,Customers!$A$2:$I$1001,7,0)</f>
        <v>United States</v>
      </c>
      <c r="K230" s="23" t="str">
        <f>VLOOKUP(E230,Customers!$A$2:$I$1001,9,0)</f>
        <v>No</v>
      </c>
      <c r="L230" s="4" t="s">
        <v>182</v>
      </c>
      <c r="M230" s="4" t="str">
        <f>VLOOKUP(L230,Products!$A$2:$G$49,2,0)</f>
        <v>Robusta</v>
      </c>
      <c r="N230" s="4" t="str">
        <f>VLOOKUP(L230,Products!$A$2:$G$49,3,0)</f>
        <v>Light</v>
      </c>
      <c r="O230" s="25">
        <v>5</v>
      </c>
      <c r="P230" s="5">
        <f>INDEX([1]products!$A$1:$G$49,MATCH([1]orders!$D230,[1]products!$A$1:$A$49,0),MATCH([1]orders!K$1,[1]products!$A$1:$G$1,0))</f>
        <v>0.2</v>
      </c>
      <c r="Q230" s="6">
        <f>INDEX([1]products!$A$1:$G$49,MATCH([1]orders!$D230,[1]products!$A$1:$A$49,0),MATCH([1]orders!L$1,[1]products!$A$1:$G$1,0))</f>
        <v>3.5849999999999995</v>
      </c>
      <c r="R230" s="6">
        <f t="shared" si="15"/>
        <v>17.924999999999997</v>
      </c>
      <c r="S230">
        <f>VLOOKUP(L230,Products!$A$2:$G$49,7,0)</f>
        <v>0.21509999999999996</v>
      </c>
      <c r="T230">
        <f t="shared" si="18"/>
        <v>1.0754999999999999</v>
      </c>
      <c r="U230" s="33">
        <f t="shared" si="19"/>
        <v>6.0000000000000009</v>
      </c>
    </row>
    <row r="231" spans="1:21" x14ac:dyDescent="0.25">
      <c r="A231" s="1" t="s">
        <v>473</v>
      </c>
      <c r="B231" s="28">
        <v>44282</v>
      </c>
      <c r="C231" s="21" t="str">
        <f t="shared" si="16"/>
        <v>2021</v>
      </c>
      <c r="D231" s="19" t="str">
        <f t="shared" si="17"/>
        <v>March</v>
      </c>
      <c r="E231" s="3" t="s">
        <v>474</v>
      </c>
      <c r="F231" s="3" t="str">
        <f>VLOOKUP(E231,Customers!$A$2:$I$1001,2,0)</f>
        <v>Kristos Streight</v>
      </c>
      <c r="G231" s="3" t="str">
        <f>VLOOKUP(E231,Customers!$A$2:$I$1001,3,0)</f>
        <v>kstreight6d@about.com</v>
      </c>
      <c r="H231" s="3" t="str">
        <f>VLOOKUP(E231,Customers!$A$2:$I$1001,4,0)</f>
        <v>+1 (570) 873-3891</v>
      </c>
      <c r="I231" s="25" t="str">
        <f>VLOOKUP(E231,Customers!$A$2:$I$1001,6,0)</f>
        <v>Wilkes Barre</v>
      </c>
      <c r="J231" s="25" t="str">
        <f>VLOOKUP(E231,Customers!$A$2:$I$1001,7,0)</f>
        <v>United States</v>
      </c>
      <c r="K231" s="23" t="str">
        <f>VLOOKUP(E231,Customers!$A$2:$I$1001,9,0)</f>
        <v>No</v>
      </c>
      <c r="L231" s="4" t="s">
        <v>77</v>
      </c>
      <c r="M231" s="4" t="str">
        <f>VLOOKUP(L231,Products!$A$2:$G$49,2,0)</f>
        <v>Liberica</v>
      </c>
      <c r="N231" s="4" t="str">
        <f>VLOOKUP(L231,Products!$A$2:$G$49,3,0)</f>
        <v>Medium</v>
      </c>
      <c r="O231" s="25">
        <v>2</v>
      </c>
      <c r="P231" s="5">
        <f>INDEX([1]products!$A$1:$G$49,MATCH([1]orders!$D231,[1]products!$A$1:$A$49,0),MATCH([1]orders!K$1,[1]products!$A$1:$G$1,0))</f>
        <v>0.2</v>
      </c>
      <c r="Q231" s="6">
        <f>INDEX([1]products!$A$1:$G$49,MATCH([1]orders!$D231,[1]products!$A$1:$A$49,0),MATCH([1]orders!L$1,[1]products!$A$1:$G$1,0))</f>
        <v>4.3650000000000002</v>
      </c>
      <c r="R231" s="6">
        <f t="shared" si="15"/>
        <v>8.73</v>
      </c>
      <c r="S231">
        <f>VLOOKUP(L231,Products!$A$2:$G$49,7,0)</f>
        <v>0.56745000000000001</v>
      </c>
      <c r="T231">
        <f t="shared" si="18"/>
        <v>1.1349</v>
      </c>
      <c r="U231" s="33">
        <f t="shared" si="19"/>
        <v>13</v>
      </c>
    </row>
    <row r="232" spans="1:21" x14ac:dyDescent="0.25">
      <c r="A232" s="1" t="s">
        <v>475</v>
      </c>
      <c r="B232" s="28">
        <v>44496</v>
      </c>
      <c r="C232" s="21" t="str">
        <f t="shared" si="16"/>
        <v>2021</v>
      </c>
      <c r="D232" s="19" t="str">
        <f t="shared" si="17"/>
        <v>October</v>
      </c>
      <c r="E232" s="3" t="s">
        <v>476</v>
      </c>
      <c r="F232" s="3" t="str">
        <f>VLOOKUP(E232,Customers!$A$2:$I$1001,2,0)</f>
        <v>Portie Cutchie</v>
      </c>
      <c r="G232" s="3" t="str">
        <f>VLOOKUP(E232,Customers!$A$2:$I$1001,3,0)</f>
        <v>pcutchie6e@globo.com</v>
      </c>
      <c r="H232" s="3" t="str">
        <f>VLOOKUP(E232,Customers!$A$2:$I$1001,4,0)</f>
        <v>+1 (336) 679-7755</v>
      </c>
      <c r="I232" s="25" t="str">
        <f>VLOOKUP(E232,Customers!$A$2:$I$1001,6,0)</f>
        <v>Greensboro</v>
      </c>
      <c r="J232" s="25" t="str">
        <f>VLOOKUP(E232,Customers!$A$2:$I$1001,7,0)</f>
        <v>United States</v>
      </c>
      <c r="K232" s="23" t="str">
        <f>VLOOKUP(E232,Customers!$A$2:$I$1001,9,0)</f>
        <v>No</v>
      </c>
      <c r="L232" s="4" t="s">
        <v>171</v>
      </c>
      <c r="M232" s="4" t="str">
        <f>VLOOKUP(L232,Products!$A$2:$G$49,2,0)</f>
        <v>Arabica</v>
      </c>
      <c r="N232" s="4" t="str">
        <f>VLOOKUP(L232,Products!$A$2:$G$49,3,0)</f>
        <v>Medium</v>
      </c>
      <c r="O232" s="25">
        <v>2</v>
      </c>
      <c r="P232" s="5">
        <f>INDEX([1]products!$A$1:$G$49,MATCH([1]orders!$D232,[1]products!$A$1:$A$49,0),MATCH([1]orders!K$1,[1]products!$A$1:$G$1,0))</f>
        <v>2.5</v>
      </c>
      <c r="Q232" s="6">
        <f>INDEX([1]products!$A$1:$G$49,MATCH([1]orders!$D232,[1]products!$A$1:$A$49,0),MATCH([1]orders!L$1,[1]products!$A$1:$G$1,0))</f>
        <v>25.874999999999996</v>
      </c>
      <c r="R232" s="6">
        <f t="shared" si="15"/>
        <v>51.749999999999993</v>
      </c>
      <c r="S232">
        <f>VLOOKUP(L232,Products!$A$2:$G$49,7,0)</f>
        <v>2.3287499999999994</v>
      </c>
      <c r="T232">
        <f t="shared" si="18"/>
        <v>4.6574999999999989</v>
      </c>
      <c r="U232" s="33">
        <f t="shared" si="19"/>
        <v>9</v>
      </c>
    </row>
    <row r="233" spans="1:21" x14ac:dyDescent="0.25">
      <c r="A233" s="1" t="s">
        <v>477</v>
      </c>
      <c r="B233" s="28">
        <v>43628</v>
      </c>
      <c r="C233" s="21" t="str">
        <f t="shared" si="16"/>
        <v>2019</v>
      </c>
      <c r="D233" s="19" t="str">
        <f t="shared" si="17"/>
        <v>June</v>
      </c>
      <c r="E233" s="3" t="s">
        <v>478</v>
      </c>
      <c r="F233" s="3" t="str">
        <f>VLOOKUP(E233,Customers!$A$2:$I$1001,2,0)</f>
        <v>Sinclare Edsell</v>
      </c>
      <c r="G233" s="3" t="str">
        <f>VLOOKUP(E233,Customers!$A$2:$I$1001,3,0)</f>
        <v>UNKNOWN</v>
      </c>
      <c r="H233" s="3" t="str">
        <f>VLOOKUP(E233,Customers!$A$2:$I$1001,4,0)</f>
        <v>+1 (302) 746-8950</v>
      </c>
      <c r="I233" s="25" t="str">
        <f>VLOOKUP(E233,Customers!$A$2:$I$1001,6,0)</f>
        <v>Newark</v>
      </c>
      <c r="J233" s="25" t="str">
        <f>VLOOKUP(E233,Customers!$A$2:$I$1001,7,0)</f>
        <v>United States</v>
      </c>
      <c r="K233" s="23" t="str">
        <f>VLOOKUP(E233,Customers!$A$2:$I$1001,9,0)</f>
        <v>Yes</v>
      </c>
      <c r="L233" s="4" t="s">
        <v>77</v>
      </c>
      <c r="M233" s="4" t="str">
        <f>VLOOKUP(L233,Products!$A$2:$G$49,2,0)</f>
        <v>Liberica</v>
      </c>
      <c r="N233" s="4" t="str">
        <f>VLOOKUP(L233,Products!$A$2:$G$49,3,0)</f>
        <v>Medium</v>
      </c>
      <c r="O233" s="25">
        <v>2</v>
      </c>
      <c r="P233" s="5">
        <f>INDEX([1]products!$A$1:$G$49,MATCH([1]orders!$D233,[1]products!$A$1:$A$49,0),MATCH([1]orders!K$1,[1]products!$A$1:$G$1,0))</f>
        <v>0.2</v>
      </c>
      <c r="Q233" s="6">
        <f>INDEX([1]products!$A$1:$G$49,MATCH([1]orders!$D233,[1]products!$A$1:$A$49,0),MATCH([1]orders!L$1,[1]products!$A$1:$G$1,0))</f>
        <v>4.3650000000000002</v>
      </c>
      <c r="R233" s="6">
        <f t="shared" si="15"/>
        <v>8.73</v>
      </c>
      <c r="S233">
        <f>VLOOKUP(L233,Products!$A$2:$G$49,7,0)</f>
        <v>0.56745000000000001</v>
      </c>
      <c r="T233">
        <f t="shared" si="18"/>
        <v>1.1349</v>
      </c>
      <c r="U233" s="33">
        <f t="shared" si="19"/>
        <v>13</v>
      </c>
    </row>
    <row r="234" spans="1:21" x14ac:dyDescent="0.25">
      <c r="A234" s="1" t="s">
        <v>479</v>
      </c>
      <c r="B234" s="28">
        <v>44010</v>
      </c>
      <c r="C234" s="21" t="str">
        <f t="shared" si="16"/>
        <v>2020</v>
      </c>
      <c r="D234" s="19" t="str">
        <f t="shared" si="17"/>
        <v>June</v>
      </c>
      <c r="E234" s="3" t="s">
        <v>480</v>
      </c>
      <c r="F234" s="3" t="str">
        <f>VLOOKUP(E234,Customers!$A$2:$I$1001,2,0)</f>
        <v>Conny Gheraldi</v>
      </c>
      <c r="G234" s="3" t="str">
        <f>VLOOKUP(E234,Customers!$A$2:$I$1001,3,0)</f>
        <v>cgheraldi6g@opera.com</v>
      </c>
      <c r="H234" s="3" t="str">
        <f>VLOOKUP(E234,Customers!$A$2:$I$1001,4,0)</f>
        <v>+44 (494) 875-2364</v>
      </c>
      <c r="I234" s="25" t="str">
        <f>VLOOKUP(E234,Customers!$A$2:$I$1001,6,0)</f>
        <v>Kinloch</v>
      </c>
      <c r="J234" s="25" t="str">
        <f>VLOOKUP(E234,Customers!$A$2:$I$1001,7,0)</f>
        <v>United Kingdom</v>
      </c>
      <c r="K234" s="23" t="str">
        <f>VLOOKUP(E234,Customers!$A$2:$I$1001,9,0)</f>
        <v>No</v>
      </c>
      <c r="L234" s="4" t="s">
        <v>19</v>
      </c>
      <c r="M234" s="4" t="str">
        <f>VLOOKUP(L234,Products!$A$2:$G$49,2,0)</f>
        <v>Liberica</v>
      </c>
      <c r="N234" s="4" t="str">
        <f>VLOOKUP(L234,Products!$A$2:$G$49,3,0)</f>
        <v>Light</v>
      </c>
      <c r="O234" s="25">
        <v>5</v>
      </c>
      <c r="P234" s="5">
        <f>INDEX([1]products!$A$1:$G$49,MATCH([1]orders!$D234,[1]products!$A$1:$A$49,0),MATCH([1]orders!K$1,[1]products!$A$1:$G$1,0))</f>
        <v>0.2</v>
      </c>
      <c r="Q234" s="6">
        <f>INDEX([1]products!$A$1:$G$49,MATCH([1]orders!$D234,[1]products!$A$1:$A$49,0),MATCH([1]orders!L$1,[1]products!$A$1:$G$1,0))</f>
        <v>4.7549999999999999</v>
      </c>
      <c r="R234" s="6">
        <f t="shared" si="15"/>
        <v>23.774999999999999</v>
      </c>
      <c r="S234">
        <f>VLOOKUP(L234,Products!$A$2:$G$49,7,0)</f>
        <v>0.61814999999999998</v>
      </c>
      <c r="T234">
        <f t="shared" si="18"/>
        <v>3.0907499999999999</v>
      </c>
      <c r="U234" s="33">
        <f t="shared" si="19"/>
        <v>13</v>
      </c>
    </row>
    <row r="235" spans="1:21" x14ac:dyDescent="0.25">
      <c r="A235" s="1" t="s">
        <v>481</v>
      </c>
      <c r="B235" s="28">
        <v>44278</v>
      </c>
      <c r="C235" s="21" t="str">
        <f t="shared" si="16"/>
        <v>2021</v>
      </c>
      <c r="D235" s="19" t="str">
        <f t="shared" si="17"/>
        <v>March</v>
      </c>
      <c r="E235" s="3" t="s">
        <v>482</v>
      </c>
      <c r="F235" s="3" t="str">
        <f>VLOOKUP(E235,Customers!$A$2:$I$1001,2,0)</f>
        <v>Beryle Kenwell</v>
      </c>
      <c r="G235" s="3" t="str">
        <f>VLOOKUP(E235,Customers!$A$2:$I$1001,3,0)</f>
        <v>bkenwell6h@over-blog.com</v>
      </c>
      <c r="H235" s="3" t="str">
        <f>VLOOKUP(E235,Customers!$A$2:$I$1001,4,0)</f>
        <v>+1 (808) 836-6023</v>
      </c>
      <c r="I235" s="25" t="str">
        <f>VLOOKUP(E235,Customers!$A$2:$I$1001,6,0)</f>
        <v>Honolulu</v>
      </c>
      <c r="J235" s="25" t="str">
        <f>VLOOKUP(E235,Customers!$A$2:$I$1001,7,0)</f>
        <v>United States</v>
      </c>
      <c r="K235" s="23" t="str">
        <f>VLOOKUP(E235,Customers!$A$2:$I$1001,9,0)</f>
        <v>No</v>
      </c>
      <c r="L235" s="4" t="s">
        <v>64</v>
      </c>
      <c r="M235" s="4" t="str">
        <f>VLOOKUP(L235,Products!$A$2:$G$49,2,0)</f>
        <v>Excelsa</v>
      </c>
      <c r="N235" s="4" t="str">
        <f>VLOOKUP(L235,Products!$A$2:$G$49,3,0)</f>
        <v>Medium</v>
      </c>
      <c r="O235" s="25">
        <v>5</v>
      </c>
      <c r="P235" s="5">
        <f>INDEX([1]products!$A$1:$G$49,MATCH([1]orders!$D235,[1]products!$A$1:$A$49,0),MATCH([1]orders!K$1,[1]products!$A$1:$G$1,0))</f>
        <v>0.2</v>
      </c>
      <c r="Q235" s="6">
        <f>INDEX([1]products!$A$1:$G$49,MATCH([1]orders!$D235,[1]products!$A$1:$A$49,0),MATCH([1]orders!L$1,[1]products!$A$1:$G$1,0))</f>
        <v>4.125</v>
      </c>
      <c r="R235" s="6">
        <f t="shared" si="15"/>
        <v>20.625</v>
      </c>
      <c r="S235">
        <f>VLOOKUP(L235,Products!$A$2:$G$49,7,0)</f>
        <v>0.45374999999999999</v>
      </c>
      <c r="T235">
        <f t="shared" si="18"/>
        <v>2.2687499999999998</v>
      </c>
      <c r="U235" s="33">
        <f t="shared" si="19"/>
        <v>10.999999999999998</v>
      </c>
    </row>
    <row r="236" spans="1:21" x14ac:dyDescent="0.25">
      <c r="A236" s="1" t="s">
        <v>483</v>
      </c>
      <c r="B236" s="28">
        <v>44602</v>
      </c>
      <c r="C236" s="21" t="str">
        <f t="shared" si="16"/>
        <v>2022</v>
      </c>
      <c r="D236" s="19" t="str">
        <f t="shared" si="17"/>
        <v>February</v>
      </c>
      <c r="E236" s="3" t="s">
        <v>484</v>
      </c>
      <c r="F236" s="3" t="str">
        <f>VLOOKUP(E236,Customers!$A$2:$I$1001,2,0)</f>
        <v>Tomas Sutty</v>
      </c>
      <c r="G236" s="3" t="str">
        <f>VLOOKUP(E236,Customers!$A$2:$I$1001,3,0)</f>
        <v>tsutty6i@google.es</v>
      </c>
      <c r="H236" s="3" t="str">
        <f>VLOOKUP(E236,Customers!$A$2:$I$1001,4,0)</f>
        <v>+1 (212) 586-1957</v>
      </c>
      <c r="I236" s="25" t="str">
        <f>VLOOKUP(E236,Customers!$A$2:$I$1001,6,0)</f>
        <v>New York City</v>
      </c>
      <c r="J236" s="25" t="str">
        <f>VLOOKUP(E236,Customers!$A$2:$I$1001,7,0)</f>
        <v>United States</v>
      </c>
      <c r="K236" s="23" t="str">
        <f>VLOOKUP(E236,Customers!$A$2:$I$1001,9,0)</f>
        <v>No</v>
      </c>
      <c r="L236" s="4" t="s">
        <v>104</v>
      </c>
      <c r="M236" s="4" t="str">
        <f>VLOOKUP(L236,Products!$A$2:$G$49,2,0)</f>
        <v>Liberica</v>
      </c>
      <c r="N236" s="4" t="str">
        <f>VLOOKUP(L236,Products!$A$2:$G$49,3,0)</f>
        <v>Light</v>
      </c>
      <c r="O236" s="25">
        <v>1</v>
      </c>
      <c r="P236" s="5">
        <f>INDEX([1]products!$A$1:$G$49,MATCH([1]orders!$D236,[1]products!$A$1:$A$49,0),MATCH([1]orders!K$1,[1]products!$A$1:$G$1,0))</f>
        <v>2.5</v>
      </c>
      <c r="Q236" s="6">
        <f>INDEX([1]products!$A$1:$G$49,MATCH([1]orders!$D236,[1]products!$A$1:$A$49,0),MATCH([1]orders!L$1,[1]products!$A$1:$G$1,0))</f>
        <v>36.454999999999998</v>
      </c>
      <c r="R236" s="6">
        <f t="shared" si="15"/>
        <v>36.454999999999998</v>
      </c>
      <c r="S236">
        <f>VLOOKUP(L236,Products!$A$2:$G$49,7,0)</f>
        <v>4.7391499999999995</v>
      </c>
      <c r="T236">
        <f t="shared" si="18"/>
        <v>4.7391499999999995</v>
      </c>
      <c r="U236" s="33">
        <f t="shared" si="19"/>
        <v>13</v>
      </c>
    </row>
    <row r="237" spans="1:21" x14ac:dyDescent="0.25">
      <c r="A237" s="1" t="s">
        <v>485</v>
      </c>
      <c r="B237" s="28">
        <v>43571</v>
      </c>
      <c r="C237" s="21" t="str">
        <f t="shared" si="16"/>
        <v>2019</v>
      </c>
      <c r="D237" s="19" t="str">
        <f t="shared" si="17"/>
        <v>April</v>
      </c>
      <c r="E237" s="3" t="s">
        <v>486</v>
      </c>
      <c r="F237" s="3" t="str">
        <f>VLOOKUP(E237,Customers!$A$2:$I$1001,2,0)</f>
        <v>Samuele Ales0</v>
      </c>
      <c r="G237" s="3" t="str">
        <f>VLOOKUP(E237,Customers!$A$2:$I$1001,3,0)</f>
        <v>UNKNOWN</v>
      </c>
      <c r="H237" s="3" t="str">
        <f>VLOOKUP(E237,Customers!$A$2:$I$1001,4,0)</f>
        <v>UNKNOWN</v>
      </c>
      <c r="I237" s="25" t="str">
        <f>VLOOKUP(E237,Customers!$A$2:$I$1001,6,0)</f>
        <v>Ballinroad</v>
      </c>
      <c r="J237" s="25" t="str">
        <f>VLOOKUP(E237,Customers!$A$2:$I$1001,7,0)</f>
        <v>Ireland</v>
      </c>
      <c r="K237" s="23" t="str">
        <f>VLOOKUP(E237,Customers!$A$2:$I$1001,9,0)</f>
        <v>No</v>
      </c>
      <c r="L237" s="4" t="s">
        <v>104</v>
      </c>
      <c r="M237" s="4" t="str">
        <f>VLOOKUP(L237,Products!$A$2:$G$49,2,0)</f>
        <v>Liberica</v>
      </c>
      <c r="N237" s="4" t="str">
        <f>VLOOKUP(L237,Products!$A$2:$G$49,3,0)</f>
        <v>Light</v>
      </c>
      <c r="O237" s="25">
        <v>5</v>
      </c>
      <c r="P237" s="5">
        <f>INDEX([1]products!$A$1:$G$49,MATCH([1]orders!$D237,[1]products!$A$1:$A$49,0),MATCH([1]orders!K$1,[1]products!$A$1:$G$1,0))</f>
        <v>2.5</v>
      </c>
      <c r="Q237" s="6">
        <f>INDEX([1]products!$A$1:$G$49,MATCH([1]orders!$D237,[1]products!$A$1:$A$49,0),MATCH([1]orders!L$1,[1]products!$A$1:$G$1,0))</f>
        <v>36.454999999999998</v>
      </c>
      <c r="R237" s="6">
        <f t="shared" si="15"/>
        <v>182.27499999999998</v>
      </c>
      <c r="S237">
        <f>VLOOKUP(L237,Products!$A$2:$G$49,7,0)</f>
        <v>4.7391499999999995</v>
      </c>
      <c r="T237">
        <f t="shared" si="18"/>
        <v>23.695749999999997</v>
      </c>
      <c r="U237" s="33">
        <f t="shared" si="19"/>
        <v>13</v>
      </c>
    </row>
    <row r="238" spans="1:21" x14ac:dyDescent="0.25">
      <c r="A238" s="1" t="s">
        <v>487</v>
      </c>
      <c r="B238" s="28">
        <v>43873</v>
      </c>
      <c r="C238" s="21" t="str">
        <f t="shared" si="16"/>
        <v>2020</v>
      </c>
      <c r="D238" s="19" t="str">
        <f t="shared" si="17"/>
        <v>February</v>
      </c>
      <c r="E238" s="3" t="s">
        <v>488</v>
      </c>
      <c r="F238" s="3" t="str">
        <f>VLOOKUP(E238,Customers!$A$2:$I$1001,2,0)</f>
        <v>Carlie Harce</v>
      </c>
      <c r="G238" s="3" t="str">
        <f>VLOOKUP(E238,Customers!$A$2:$I$1001,3,0)</f>
        <v>charce6k@cafepress.com</v>
      </c>
      <c r="H238" s="3" t="str">
        <f>VLOOKUP(E238,Customers!$A$2:$I$1001,4,0)</f>
        <v>+353 (444) 423-0673</v>
      </c>
      <c r="I238" s="25" t="str">
        <f>VLOOKUP(E238,Customers!$A$2:$I$1001,6,0)</f>
        <v>D煤n Laoghaire</v>
      </c>
      <c r="J238" s="25" t="str">
        <f>VLOOKUP(E238,Customers!$A$2:$I$1001,7,0)</f>
        <v>Ireland</v>
      </c>
      <c r="K238" s="23" t="str">
        <f>VLOOKUP(E238,Customers!$A$2:$I$1001,9,0)</f>
        <v>No</v>
      </c>
      <c r="L238" s="4" t="s">
        <v>109</v>
      </c>
      <c r="M238" s="4" t="str">
        <f>VLOOKUP(L238,Products!$A$2:$G$49,2,0)</f>
        <v>Liberica</v>
      </c>
      <c r="N238" s="4" t="str">
        <f>VLOOKUP(L238,Products!$A$2:$G$49,3,0)</f>
        <v>Dark</v>
      </c>
      <c r="O238" s="25">
        <v>3</v>
      </c>
      <c r="P238" s="5">
        <f>INDEX([1]products!$A$1:$G$49,MATCH([1]orders!$D238,[1]products!$A$1:$A$49,0),MATCH([1]orders!K$1,[1]products!$A$1:$G$1,0))</f>
        <v>2.5</v>
      </c>
      <c r="Q238" s="6">
        <f>INDEX([1]products!$A$1:$G$49,MATCH([1]orders!$D238,[1]products!$A$1:$A$49,0),MATCH([1]orders!L$1,[1]products!$A$1:$G$1,0))</f>
        <v>29.784999999999997</v>
      </c>
      <c r="R238" s="6">
        <f t="shared" si="15"/>
        <v>89.35499999999999</v>
      </c>
      <c r="S238">
        <f>VLOOKUP(L238,Products!$A$2:$G$49,7,0)</f>
        <v>3.8720499999999998</v>
      </c>
      <c r="T238">
        <f t="shared" si="18"/>
        <v>11.616149999999999</v>
      </c>
      <c r="U238" s="33">
        <f t="shared" si="19"/>
        <v>13</v>
      </c>
    </row>
    <row r="239" spans="1:21" x14ac:dyDescent="0.25">
      <c r="A239" s="1" t="s">
        <v>489</v>
      </c>
      <c r="B239" s="28">
        <v>44563</v>
      </c>
      <c r="C239" s="21" t="str">
        <f t="shared" si="16"/>
        <v>2022</v>
      </c>
      <c r="D239" s="19" t="str">
        <f t="shared" si="17"/>
        <v>January</v>
      </c>
      <c r="E239" s="3" t="s">
        <v>490</v>
      </c>
      <c r="F239" s="3" t="str">
        <f>VLOOKUP(E239,Customers!$A$2:$I$1001,2,0)</f>
        <v>Craggy Bril</v>
      </c>
      <c r="G239" s="3" t="str">
        <f>VLOOKUP(E239,Customers!$A$2:$I$1001,3,0)</f>
        <v>UNKNOWN</v>
      </c>
      <c r="H239" s="3" t="str">
        <f>VLOOKUP(E239,Customers!$A$2:$I$1001,4,0)</f>
        <v>+1 (513) 461-0440</v>
      </c>
      <c r="I239" s="25" t="str">
        <f>VLOOKUP(E239,Customers!$A$2:$I$1001,6,0)</f>
        <v>Cincinnati</v>
      </c>
      <c r="J239" s="25" t="str">
        <f>VLOOKUP(E239,Customers!$A$2:$I$1001,7,0)</f>
        <v>United States</v>
      </c>
      <c r="K239" s="23" t="str">
        <f>VLOOKUP(E239,Customers!$A$2:$I$1001,9,0)</f>
        <v>Yes</v>
      </c>
      <c r="L239" s="4" t="s">
        <v>182</v>
      </c>
      <c r="M239" s="4" t="str">
        <f>VLOOKUP(L239,Products!$A$2:$G$49,2,0)</f>
        <v>Robusta</v>
      </c>
      <c r="N239" s="4" t="str">
        <f>VLOOKUP(L239,Products!$A$2:$G$49,3,0)</f>
        <v>Light</v>
      </c>
      <c r="O239" s="25">
        <v>1</v>
      </c>
      <c r="P239" s="5">
        <f>INDEX([1]products!$A$1:$G$49,MATCH([1]orders!$D239,[1]products!$A$1:$A$49,0),MATCH([1]orders!K$1,[1]products!$A$1:$G$1,0))</f>
        <v>0.2</v>
      </c>
      <c r="Q239" s="6">
        <f>INDEX([1]products!$A$1:$G$49,MATCH([1]orders!$D239,[1]products!$A$1:$A$49,0),MATCH([1]orders!L$1,[1]products!$A$1:$G$1,0))</f>
        <v>3.5849999999999995</v>
      </c>
      <c r="R239" s="6">
        <f t="shared" si="15"/>
        <v>3.5849999999999995</v>
      </c>
      <c r="S239">
        <f>VLOOKUP(L239,Products!$A$2:$G$49,7,0)</f>
        <v>0.21509999999999996</v>
      </c>
      <c r="T239">
        <f t="shared" si="18"/>
        <v>0.21509999999999996</v>
      </c>
      <c r="U239" s="33">
        <f t="shared" si="19"/>
        <v>6</v>
      </c>
    </row>
    <row r="240" spans="1:21" x14ac:dyDescent="0.25">
      <c r="A240" s="1" t="s">
        <v>491</v>
      </c>
      <c r="B240" s="28">
        <v>44172</v>
      </c>
      <c r="C240" s="21" t="str">
        <f t="shared" si="16"/>
        <v>2020</v>
      </c>
      <c r="D240" s="19" t="str">
        <f t="shared" si="17"/>
        <v>December</v>
      </c>
      <c r="E240" s="3" t="s">
        <v>492</v>
      </c>
      <c r="F240" s="3" t="str">
        <f>VLOOKUP(E240,Customers!$A$2:$I$1001,2,0)</f>
        <v>Friederike Drysdale</v>
      </c>
      <c r="G240" s="3" t="str">
        <f>VLOOKUP(E240,Customers!$A$2:$I$1001,3,0)</f>
        <v>fdrysdale6m@symantec.com</v>
      </c>
      <c r="H240" s="3" t="str">
        <f>VLOOKUP(E240,Customers!$A$2:$I$1001,4,0)</f>
        <v>+1 (989) 215-5282</v>
      </c>
      <c r="I240" s="25" t="str">
        <f>VLOOKUP(E240,Customers!$A$2:$I$1001,6,0)</f>
        <v>Midland</v>
      </c>
      <c r="J240" s="25" t="str">
        <f>VLOOKUP(E240,Customers!$A$2:$I$1001,7,0)</f>
        <v>United States</v>
      </c>
      <c r="K240" s="23" t="str">
        <f>VLOOKUP(E240,Customers!$A$2:$I$1001,9,0)</f>
        <v>Yes</v>
      </c>
      <c r="L240" s="4" t="s">
        <v>41</v>
      </c>
      <c r="M240" s="4" t="str">
        <f>VLOOKUP(L240,Products!$A$2:$G$49,2,0)</f>
        <v>Robusta</v>
      </c>
      <c r="N240" s="4" t="str">
        <f>VLOOKUP(L240,Products!$A$2:$G$49,3,0)</f>
        <v>Medium</v>
      </c>
      <c r="O240" s="25">
        <v>2</v>
      </c>
      <c r="P240" s="5">
        <f>INDEX([1]products!$A$1:$G$49,MATCH([1]orders!$D240,[1]products!$A$1:$A$49,0),MATCH([1]orders!K$1,[1]products!$A$1:$G$1,0))</f>
        <v>2.5</v>
      </c>
      <c r="Q240" s="6">
        <f>INDEX([1]products!$A$1:$G$49,MATCH([1]orders!$D240,[1]products!$A$1:$A$49,0),MATCH([1]orders!L$1,[1]products!$A$1:$G$1,0))</f>
        <v>22.884999999999998</v>
      </c>
      <c r="R240" s="6">
        <f t="shared" si="15"/>
        <v>45.769999999999996</v>
      </c>
      <c r="S240">
        <f>VLOOKUP(L240,Products!$A$2:$G$49,7,0)</f>
        <v>1.3730999999999998</v>
      </c>
      <c r="T240">
        <f t="shared" si="18"/>
        <v>2.7461999999999995</v>
      </c>
      <c r="U240" s="33">
        <f t="shared" si="19"/>
        <v>6</v>
      </c>
    </row>
    <row r="241" spans="1:21" x14ac:dyDescent="0.25">
      <c r="A241" s="1" t="s">
        <v>493</v>
      </c>
      <c r="B241" s="28">
        <v>43881</v>
      </c>
      <c r="C241" s="21" t="str">
        <f t="shared" si="16"/>
        <v>2020</v>
      </c>
      <c r="D241" s="19" t="str">
        <f t="shared" si="17"/>
        <v>February</v>
      </c>
      <c r="E241" s="3" t="s">
        <v>494</v>
      </c>
      <c r="F241" s="3" t="str">
        <f>VLOOKUP(E241,Customers!$A$2:$I$1001,2,0)</f>
        <v>Devon Magowan</v>
      </c>
      <c r="G241" s="3" t="str">
        <f>VLOOKUP(E241,Customers!$A$2:$I$1001,3,0)</f>
        <v>dmagowan6n@fc2.com</v>
      </c>
      <c r="H241" s="3" t="str">
        <f>VLOOKUP(E241,Customers!$A$2:$I$1001,4,0)</f>
        <v>+1 (307) 159-5237</v>
      </c>
      <c r="I241" s="25" t="str">
        <f>VLOOKUP(E241,Customers!$A$2:$I$1001,6,0)</f>
        <v>Cheyenne</v>
      </c>
      <c r="J241" s="25" t="str">
        <f>VLOOKUP(E241,Customers!$A$2:$I$1001,7,0)</f>
        <v>United States</v>
      </c>
      <c r="K241" s="23" t="str">
        <f>VLOOKUP(E241,Customers!$A$2:$I$1001,9,0)</f>
        <v>No</v>
      </c>
      <c r="L241" s="4" t="s">
        <v>137</v>
      </c>
      <c r="M241" s="4" t="str">
        <f>VLOOKUP(L241,Products!$A$2:$G$49,2,0)</f>
        <v>Excelsa</v>
      </c>
      <c r="N241" s="4" t="str">
        <f>VLOOKUP(L241,Products!$A$2:$G$49,3,0)</f>
        <v>Light</v>
      </c>
      <c r="O241" s="25">
        <v>4</v>
      </c>
      <c r="P241" s="5">
        <f>INDEX([1]products!$A$1:$G$49,MATCH([1]orders!$D241,[1]products!$A$1:$A$49,0),MATCH([1]orders!K$1,[1]products!$A$1:$G$1,0))</f>
        <v>1</v>
      </c>
      <c r="Q241" s="6">
        <f>INDEX([1]products!$A$1:$G$49,MATCH([1]orders!$D241,[1]products!$A$1:$A$49,0),MATCH([1]orders!L$1,[1]products!$A$1:$G$1,0))</f>
        <v>14.85</v>
      </c>
      <c r="R241" s="6">
        <f t="shared" si="15"/>
        <v>59.4</v>
      </c>
      <c r="S241">
        <f>VLOOKUP(L241,Products!$A$2:$G$49,7,0)</f>
        <v>1.6335</v>
      </c>
      <c r="T241">
        <f t="shared" si="18"/>
        <v>6.5339999999999998</v>
      </c>
      <c r="U241" s="33">
        <f t="shared" si="19"/>
        <v>11</v>
      </c>
    </row>
    <row r="242" spans="1:21" x14ac:dyDescent="0.25">
      <c r="A242" s="1" t="s">
        <v>495</v>
      </c>
      <c r="B242" s="28">
        <v>43993</v>
      </c>
      <c r="C242" s="21" t="str">
        <f t="shared" si="16"/>
        <v>2020</v>
      </c>
      <c r="D242" s="19" t="str">
        <f t="shared" si="17"/>
        <v>June</v>
      </c>
      <c r="E242" s="3" t="s">
        <v>496</v>
      </c>
      <c r="F242" s="3" t="str">
        <f>VLOOKUP(E242,Customers!$A$2:$I$1001,2,0)</f>
        <v>Codi Littrell</v>
      </c>
      <c r="G242" s="3" t="str">
        <f>VLOOKUP(E242,Customers!$A$2:$I$1001,3,0)</f>
        <v>UNKNOWN</v>
      </c>
      <c r="H242" s="3" t="str">
        <f>VLOOKUP(E242,Customers!$A$2:$I$1001,4,0)</f>
        <v>UNKNOWN</v>
      </c>
      <c r="I242" s="25" t="str">
        <f>VLOOKUP(E242,Customers!$A$2:$I$1001,6,0)</f>
        <v>Atlanta</v>
      </c>
      <c r="J242" s="25" t="str">
        <f>VLOOKUP(E242,Customers!$A$2:$I$1001,7,0)</f>
        <v>United States</v>
      </c>
      <c r="K242" s="23" t="str">
        <f>VLOOKUP(E242,Customers!$A$2:$I$1001,9,0)</f>
        <v>Yes</v>
      </c>
      <c r="L242" s="4" t="s">
        <v>171</v>
      </c>
      <c r="M242" s="4" t="str">
        <f>VLOOKUP(L242,Products!$A$2:$G$49,2,0)</f>
        <v>Arabica</v>
      </c>
      <c r="N242" s="4" t="str">
        <f>VLOOKUP(L242,Products!$A$2:$G$49,3,0)</f>
        <v>Medium</v>
      </c>
      <c r="O242" s="25">
        <v>6</v>
      </c>
      <c r="P242" s="5">
        <f>INDEX([1]products!$A$1:$G$49,MATCH([1]orders!$D242,[1]products!$A$1:$A$49,0),MATCH([1]orders!K$1,[1]products!$A$1:$G$1,0))</f>
        <v>2.5</v>
      </c>
      <c r="Q242" s="6">
        <f>INDEX([1]products!$A$1:$G$49,MATCH([1]orders!$D242,[1]products!$A$1:$A$49,0),MATCH([1]orders!L$1,[1]products!$A$1:$G$1,0))</f>
        <v>25.874999999999996</v>
      </c>
      <c r="R242" s="6">
        <f t="shared" si="15"/>
        <v>155.24999999999997</v>
      </c>
      <c r="S242">
        <f>VLOOKUP(L242,Products!$A$2:$G$49,7,0)</f>
        <v>2.3287499999999994</v>
      </c>
      <c r="T242">
        <f t="shared" si="18"/>
        <v>13.972499999999997</v>
      </c>
      <c r="U242" s="33">
        <f t="shared" si="19"/>
        <v>9</v>
      </c>
    </row>
    <row r="243" spans="1:21" x14ac:dyDescent="0.25">
      <c r="A243" s="1" t="s">
        <v>497</v>
      </c>
      <c r="B243" s="28">
        <v>44082</v>
      </c>
      <c r="C243" s="21" t="str">
        <f t="shared" si="16"/>
        <v>2020</v>
      </c>
      <c r="D243" s="19" t="str">
        <f t="shared" si="17"/>
        <v>September</v>
      </c>
      <c r="E243" s="3" t="s">
        <v>498</v>
      </c>
      <c r="F243" s="3" t="str">
        <f>VLOOKUP(E243,Customers!$A$2:$I$1001,2,0)</f>
        <v>Christel Speak</v>
      </c>
      <c r="G243" s="3" t="str">
        <f>VLOOKUP(E243,Customers!$A$2:$I$1001,3,0)</f>
        <v>UNKNOWN</v>
      </c>
      <c r="H243" s="3" t="str">
        <f>VLOOKUP(E243,Customers!$A$2:$I$1001,4,0)</f>
        <v>+1 (678) 222-0967</v>
      </c>
      <c r="I243" s="25" t="str">
        <f>VLOOKUP(E243,Customers!$A$2:$I$1001,6,0)</f>
        <v>Duluth</v>
      </c>
      <c r="J243" s="25" t="str">
        <f>VLOOKUP(E243,Customers!$A$2:$I$1001,7,0)</f>
        <v>United States</v>
      </c>
      <c r="K243" s="23" t="str">
        <f>VLOOKUP(E243,Customers!$A$2:$I$1001,9,0)</f>
        <v>No</v>
      </c>
      <c r="L243" s="4" t="s">
        <v>41</v>
      </c>
      <c r="M243" s="4" t="str">
        <f>VLOOKUP(L243,Products!$A$2:$G$49,2,0)</f>
        <v>Robusta</v>
      </c>
      <c r="N243" s="4" t="str">
        <f>VLOOKUP(L243,Products!$A$2:$G$49,3,0)</f>
        <v>Medium</v>
      </c>
      <c r="O243" s="25">
        <v>2</v>
      </c>
      <c r="P243" s="5">
        <f>INDEX([1]products!$A$1:$G$49,MATCH([1]orders!$D243,[1]products!$A$1:$A$49,0),MATCH([1]orders!K$1,[1]products!$A$1:$G$1,0))</f>
        <v>2.5</v>
      </c>
      <c r="Q243" s="6">
        <f>INDEX([1]products!$A$1:$G$49,MATCH([1]orders!$D243,[1]products!$A$1:$A$49,0),MATCH([1]orders!L$1,[1]products!$A$1:$G$1,0))</f>
        <v>22.884999999999998</v>
      </c>
      <c r="R243" s="6">
        <f t="shared" si="15"/>
        <v>45.769999999999996</v>
      </c>
      <c r="S243">
        <f>VLOOKUP(L243,Products!$A$2:$G$49,7,0)</f>
        <v>1.3730999999999998</v>
      </c>
      <c r="T243">
        <f t="shared" si="18"/>
        <v>2.7461999999999995</v>
      </c>
      <c r="U243" s="33">
        <f t="shared" si="19"/>
        <v>6</v>
      </c>
    </row>
    <row r="244" spans="1:21" x14ac:dyDescent="0.25">
      <c r="A244" s="1" t="s">
        <v>499</v>
      </c>
      <c r="B244" s="28">
        <v>43918</v>
      </c>
      <c r="C244" s="21" t="str">
        <f t="shared" si="16"/>
        <v>2020</v>
      </c>
      <c r="D244" s="19" t="str">
        <f t="shared" si="17"/>
        <v>March</v>
      </c>
      <c r="E244" s="3" t="s">
        <v>500</v>
      </c>
      <c r="F244" s="3" t="str">
        <f>VLOOKUP(E244,Customers!$A$2:$I$1001,2,0)</f>
        <v>Sibella Rushbrooke</v>
      </c>
      <c r="G244" s="3" t="str">
        <f>VLOOKUP(E244,Customers!$A$2:$I$1001,3,0)</f>
        <v>srushbrooke6q@youku.com</v>
      </c>
      <c r="H244" s="3" t="str">
        <f>VLOOKUP(E244,Customers!$A$2:$I$1001,4,0)</f>
        <v>+1 (916) 214-5665</v>
      </c>
      <c r="I244" s="25" t="str">
        <f>VLOOKUP(E244,Customers!$A$2:$I$1001,6,0)</f>
        <v>Sacramento</v>
      </c>
      <c r="J244" s="25" t="str">
        <f>VLOOKUP(E244,Customers!$A$2:$I$1001,7,0)</f>
        <v>United States</v>
      </c>
      <c r="K244" s="23" t="str">
        <f>VLOOKUP(E244,Customers!$A$2:$I$1001,9,0)</f>
        <v>Yes</v>
      </c>
      <c r="L244" s="4" t="s">
        <v>245</v>
      </c>
      <c r="M244" s="4" t="str">
        <f>VLOOKUP(L244,Products!$A$2:$G$49,2,0)</f>
        <v>Excelsa</v>
      </c>
      <c r="N244" s="4" t="str">
        <f>VLOOKUP(L244,Products!$A$2:$G$49,3,0)</f>
        <v>Dark</v>
      </c>
      <c r="O244" s="25">
        <v>3</v>
      </c>
      <c r="P244" s="5">
        <f>INDEX([1]products!$A$1:$G$49,MATCH([1]orders!$D244,[1]products!$A$1:$A$49,0),MATCH([1]orders!K$1,[1]products!$A$1:$G$1,0))</f>
        <v>1</v>
      </c>
      <c r="Q244" s="6">
        <f>INDEX([1]products!$A$1:$G$49,MATCH([1]orders!$D244,[1]products!$A$1:$A$49,0),MATCH([1]orders!L$1,[1]products!$A$1:$G$1,0))</f>
        <v>12.15</v>
      </c>
      <c r="R244" s="6">
        <f t="shared" si="15"/>
        <v>36.450000000000003</v>
      </c>
      <c r="S244">
        <f>VLOOKUP(L244,Products!$A$2:$G$49,7,0)</f>
        <v>1.3365</v>
      </c>
      <c r="T244">
        <f t="shared" si="18"/>
        <v>4.0095000000000001</v>
      </c>
      <c r="U244" s="33">
        <f t="shared" si="19"/>
        <v>10.999999999999998</v>
      </c>
    </row>
    <row r="245" spans="1:21" x14ac:dyDescent="0.25">
      <c r="A245" s="1" t="s">
        <v>501</v>
      </c>
      <c r="B245" s="28">
        <v>44114</v>
      </c>
      <c r="C245" s="21" t="str">
        <f t="shared" si="16"/>
        <v>2020</v>
      </c>
      <c r="D245" s="19" t="str">
        <f t="shared" si="17"/>
        <v>October</v>
      </c>
      <c r="E245" s="3" t="s">
        <v>502</v>
      </c>
      <c r="F245" s="3" t="str">
        <f>VLOOKUP(E245,Customers!$A$2:$I$1001,2,0)</f>
        <v>Tammie Drynan</v>
      </c>
      <c r="G245" s="3" t="str">
        <f>VLOOKUP(E245,Customers!$A$2:$I$1001,3,0)</f>
        <v>tdrynan6r@deviantart.com</v>
      </c>
      <c r="H245" s="3" t="str">
        <f>VLOOKUP(E245,Customers!$A$2:$I$1001,4,0)</f>
        <v>+1 (813) 619-0579</v>
      </c>
      <c r="I245" s="25" t="str">
        <f>VLOOKUP(E245,Customers!$A$2:$I$1001,6,0)</f>
        <v>Tampa</v>
      </c>
      <c r="J245" s="25" t="str">
        <f>VLOOKUP(E245,Customers!$A$2:$I$1001,7,0)</f>
        <v>United States</v>
      </c>
      <c r="K245" s="23" t="str">
        <f>VLOOKUP(E245,Customers!$A$2:$I$1001,9,0)</f>
        <v>Yes</v>
      </c>
      <c r="L245" s="4" t="s">
        <v>16</v>
      </c>
      <c r="M245" s="4" t="str">
        <f>VLOOKUP(L245,Products!$A$2:$G$49,2,0)</f>
        <v>Excelsa</v>
      </c>
      <c r="N245" s="4" t="str">
        <f>VLOOKUP(L245,Products!$A$2:$G$49,3,0)</f>
        <v>Dark</v>
      </c>
      <c r="O245" s="25">
        <v>4</v>
      </c>
      <c r="P245" s="5">
        <f>INDEX([1]products!$A$1:$G$49,MATCH([1]orders!$D245,[1]products!$A$1:$A$49,0),MATCH([1]orders!K$1,[1]products!$A$1:$G$1,0))</f>
        <v>0.5</v>
      </c>
      <c r="Q245" s="6">
        <f>INDEX([1]products!$A$1:$G$49,MATCH([1]orders!$D245,[1]products!$A$1:$A$49,0),MATCH([1]orders!L$1,[1]products!$A$1:$G$1,0))</f>
        <v>7.29</v>
      </c>
      <c r="R245" s="6">
        <f t="shared" si="15"/>
        <v>29.16</v>
      </c>
      <c r="S245">
        <f>VLOOKUP(L245,Products!$A$2:$G$49,7,0)</f>
        <v>0.80190000000000006</v>
      </c>
      <c r="T245">
        <f t="shared" si="18"/>
        <v>3.2076000000000002</v>
      </c>
      <c r="U245" s="33">
        <f t="shared" si="19"/>
        <v>11</v>
      </c>
    </row>
    <row r="246" spans="1:21" x14ac:dyDescent="0.25">
      <c r="A246" s="1" t="s">
        <v>503</v>
      </c>
      <c r="B246" s="28">
        <v>44702</v>
      </c>
      <c r="C246" s="21" t="str">
        <f t="shared" si="16"/>
        <v>2022</v>
      </c>
      <c r="D246" s="19" t="str">
        <f t="shared" si="17"/>
        <v>May</v>
      </c>
      <c r="E246" s="3" t="s">
        <v>504</v>
      </c>
      <c r="F246" s="3" t="str">
        <f>VLOOKUP(E246,Customers!$A$2:$I$1001,2,0)</f>
        <v>Effie Yurkov</v>
      </c>
      <c r="G246" s="3" t="str">
        <f>VLOOKUP(E246,Customers!$A$2:$I$1001,3,0)</f>
        <v>eyurkov6s@hud.gov</v>
      </c>
      <c r="H246" s="3" t="str">
        <f>VLOOKUP(E246,Customers!$A$2:$I$1001,4,0)</f>
        <v>+1 (808) 320-5976</v>
      </c>
      <c r="I246" s="25" t="str">
        <f>VLOOKUP(E246,Customers!$A$2:$I$1001,6,0)</f>
        <v>Honolulu</v>
      </c>
      <c r="J246" s="25" t="str">
        <f>VLOOKUP(E246,Customers!$A$2:$I$1001,7,0)</f>
        <v>United States</v>
      </c>
      <c r="K246" s="23" t="str">
        <f>VLOOKUP(E246,Customers!$A$2:$I$1001,9,0)</f>
        <v>No</v>
      </c>
      <c r="L246" s="4" t="s">
        <v>197</v>
      </c>
      <c r="M246" s="4" t="str">
        <f>VLOOKUP(L246,Products!$A$2:$G$49,2,0)</f>
        <v>Liberica</v>
      </c>
      <c r="N246" s="4" t="str">
        <f>VLOOKUP(L246,Products!$A$2:$G$49,3,0)</f>
        <v>Medium</v>
      </c>
      <c r="O246" s="25">
        <v>4</v>
      </c>
      <c r="P246" s="5">
        <f>INDEX([1]products!$A$1:$G$49,MATCH([1]orders!$D246,[1]products!$A$1:$A$49,0),MATCH([1]orders!K$1,[1]products!$A$1:$G$1,0))</f>
        <v>2.5</v>
      </c>
      <c r="Q246" s="6">
        <f>INDEX([1]products!$A$1:$G$49,MATCH([1]orders!$D246,[1]products!$A$1:$A$49,0),MATCH([1]orders!L$1,[1]products!$A$1:$G$1,0))</f>
        <v>33.464999999999996</v>
      </c>
      <c r="R246" s="6">
        <f t="shared" si="15"/>
        <v>133.85999999999999</v>
      </c>
      <c r="S246">
        <f>VLOOKUP(L246,Products!$A$2:$G$49,7,0)</f>
        <v>4.3504499999999995</v>
      </c>
      <c r="T246">
        <f t="shared" si="18"/>
        <v>17.401799999999998</v>
      </c>
      <c r="U246" s="33">
        <f t="shared" si="19"/>
        <v>13</v>
      </c>
    </row>
    <row r="247" spans="1:21" x14ac:dyDescent="0.25">
      <c r="A247" s="1" t="s">
        <v>505</v>
      </c>
      <c r="B247" s="28">
        <v>43951</v>
      </c>
      <c r="C247" s="21" t="str">
        <f t="shared" si="16"/>
        <v>2020</v>
      </c>
      <c r="D247" s="19" t="str">
        <f t="shared" si="17"/>
        <v>April</v>
      </c>
      <c r="E247" s="3" t="s">
        <v>506</v>
      </c>
      <c r="F247" s="3" t="str">
        <f>VLOOKUP(E247,Customers!$A$2:$I$1001,2,0)</f>
        <v>Lexie Mallan</v>
      </c>
      <c r="G247" s="3" t="str">
        <f>VLOOKUP(E247,Customers!$A$2:$I$1001,3,0)</f>
        <v>lmallan6t@state.gov</v>
      </c>
      <c r="H247" s="3" t="str">
        <f>VLOOKUP(E247,Customers!$A$2:$I$1001,4,0)</f>
        <v>+1 (225) 484-4771</v>
      </c>
      <c r="I247" s="25" t="str">
        <f>VLOOKUP(E247,Customers!$A$2:$I$1001,6,0)</f>
        <v>Baton Rouge</v>
      </c>
      <c r="J247" s="25" t="str">
        <f>VLOOKUP(E247,Customers!$A$2:$I$1001,7,0)</f>
        <v>United States</v>
      </c>
      <c r="K247" s="23" t="str">
        <f>VLOOKUP(E247,Customers!$A$2:$I$1001,9,0)</f>
        <v>Yes</v>
      </c>
      <c r="L247" s="4" t="s">
        <v>19</v>
      </c>
      <c r="M247" s="4" t="str">
        <f>VLOOKUP(L247,Products!$A$2:$G$49,2,0)</f>
        <v>Liberica</v>
      </c>
      <c r="N247" s="4" t="str">
        <f>VLOOKUP(L247,Products!$A$2:$G$49,3,0)</f>
        <v>Light</v>
      </c>
      <c r="O247" s="25">
        <v>5</v>
      </c>
      <c r="P247" s="5">
        <f>INDEX([1]products!$A$1:$G$49,MATCH([1]orders!$D247,[1]products!$A$1:$A$49,0),MATCH([1]orders!K$1,[1]products!$A$1:$G$1,0))</f>
        <v>0.2</v>
      </c>
      <c r="Q247" s="6">
        <f>INDEX([1]products!$A$1:$G$49,MATCH([1]orders!$D247,[1]products!$A$1:$A$49,0),MATCH([1]orders!L$1,[1]products!$A$1:$G$1,0))</f>
        <v>4.7549999999999999</v>
      </c>
      <c r="R247" s="6">
        <f t="shared" si="15"/>
        <v>23.774999999999999</v>
      </c>
      <c r="S247">
        <f>VLOOKUP(L247,Products!$A$2:$G$49,7,0)</f>
        <v>0.61814999999999998</v>
      </c>
      <c r="T247">
        <f t="shared" si="18"/>
        <v>3.0907499999999999</v>
      </c>
      <c r="U247" s="33">
        <f t="shared" si="19"/>
        <v>13</v>
      </c>
    </row>
    <row r="248" spans="1:21" x14ac:dyDescent="0.25">
      <c r="A248" s="1" t="s">
        <v>507</v>
      </c>
      <c r="B248" s="28">
        <v>44542</v>
      </c>
      <c r="C248" s="21" t="str">
        <f t="shared" si="16"/>
        <v>2021</v>
      </c>
      <c r="D248" s="19" t="str">
        <f t="shared" si="17"/>
        <v>December</v>
      </c>
      <c r="E248" s="3" t="s">
        <v>508</v>
      </c>
      <c r="F248" s="3" t="str">
        <f>VLOOKUP(E248,Customers!$A$2:$I$1001,2,0)</f>
        <v>Georgena Bentjens</v>
      </c>
      <c r="G248" s="3" t="str">
        <f>VLOOKUP(E248,Customers!$A$2:$I$1001,3,0)</f>
        <v>gbentjens6u@netlog.com</v>
      </c>
      <c r="H248" s="3" t="str">
        <f>VLOOKUP(E248,Customers!$A$2:$I$1001,4,0)</f>
        <v>+44 (610) 153-1208</v>
      </c>
      <c r="I248" s="25" t="str">
        <f>VLOOKUP(E248,Customers!$A$2:$I$1001,6,0)</f>
        <v>Newbiggin</v>
      </c>
      <c r="J248" s="25" t="str">
        <f>VLOOKUP(E248,Customers!$A$2:$I$1001,7,0)</f>
        <v>United Kingdom</v>
      </c>
      <c r="K248" s="23" t="str">
        <f>VLOOKUP(E248,Customers!$A$2:$I$1001,9,0)</f>
        <v>No</v>
      </c>
      <c r="L248" s="4" t="s">
        <v>13</v>
      </c>
      <c r="M248" s="4" t="str">
        <f>VLOOKUP(L248,Products!$A$2:$G$49,2,0)</f>
        <v>Liberica</v>
      </c>
      <c r="N248" s="4" t="str">
        <f>VLOOKUP(L248,Products!$A$2:$G$49,3,0)</f>
        <v>Dark</v>
      </c>
      <c r="O248" s="25">
        <v>3</v>
      </c>
      <c r="P248" s="5">
        <f>INDEX([1]products!$A$1:$G$49,MATCH([1]orders!$D248,[1]products!$A$1:$A$49,0),MATCH([1]orders!K$1,[1]products!$A$1:$G$1,0))</f>
        <v>1</v>
      </c>
      <c r="Q248" s="6">
        <f>INDEX([1]products!$A$1:$G$49,MATCH([1]orders!$D248,[1]products!$A$1:$A$49,0),MATCH([1]orders!L$1,[1]products!$A$1:$G$1,0))</f>
        <v>12.95</v>
      </c>
      <c r="R248" s="6">
        <f t="shared" si="15"/>
        <v>38.849999999999994</v>
      </c>
      <c r="S248">
        <f>VLOOKUP(L248,Products!$A$2:$G$49,7,0)</f>
        <v>1.6835</v>
      </c>
      <c r="T248">
        <f t="shared" si="18"/>
        <v>5.0504999999999995</v>
      </c>
      <c r="U248" s="33">
        <f t="shared" si="19"/>
        <v>13</v>
      </c>
    </row>
    <row r="249" spans="1:21" x14ac:dyDescent="0.25">
      <c r="A249" s="1" t="s">
        <v>509</v>
      </c>
      <c r="B249" s="28">
        <v>44131</v>
      </c>
      <c r="C249" s="21" t="str">
        <f t="shared" si="16"/>
        <v>2020</v>
      </c>
      <c r="D249" s="19" t="str">
        <f t="shared" si="17"/>
        <v>October</v>
      </c>
      <c r="E249" s="3" t="s">
        <v>510</v>
      </c>
      <c r="F249" s="3" t="str">
        <f>VLOOKUP(E249,Customers!$A$2:$I$1001,2,0)</f>
        <v>Delmar Beasant</v>
      </c>
      <c r="G249" s="3" t="str">
        <f>VLOOKUP(E249,Customers!$A$2:$I$1001,3,0)</f>
        <v>UNKNOWN</v>
      </c>
      <c r="H249" s="3" t="str">
        <f>VLOOKUP(E249,Customers!$A$2:$I$1001,4,0)</f>
        <v>+353 (382) 208-0531</v>
      </c>
      <c r="I249" s="25" t="str">
        <f>VLOOKUP(E249,Customers!$A$2:$I$1001,6,0)</f>
        <v>Kilkenny</v>
      </c>
      <c r="J249" s="25" t="str">
        <f>VLOOKUP(E249,Customers!$A$2:$I$1001,7,0)</f>
        <v>Ireland</v>
      </c>
      <c r="K249" s="23" t="str">
        <f>VLOOKUP(E249,Customers!$A$2:$I$1001,9,0)</f>
        <v>Yes</v>
      </c>
      <c r="L249" s="4" t="s">
        <v>182</v>
      </c>
      <c r="M249" s="4" t="str">
        <f>VLOOKUP(L249,Products!$A$2:$G$49,2,0)</f>
        <v>Robusta</v>
      </c>
      <c r="N249" s="4" t="str">
        <f>VLOOKUP(L249,Products!$A$2:$G$49,3,0)</f>
        <v>Light</v>
      </c>
      <c r="O249" s="25">
        <v>6</v>
      </c>
      <c r="P249" s="5">
        <f>INDEX([1]products!$A$1:$G$49,MATCH([1]orders!$D249,[1]products!$A$1:$A$49,0),MATCH([1]orders!K$1,[1]products!$A$1:$G$1,0))</f>
        <v>0.2</v>
      </c>
      <c r="Q249" s="6">
        <f>INDEX([1]products!$A$1:$G$49,MATCH([1]orders!$D249,[1]products!$A$1:$A$49,0),MATCH([1]orders!L$1,[1]products!$A$1:$G$1,0))</f>
        <v>3.5849999999999995</v>
      </c>
      <c r="R249" s="6">
        <f t="shared" si="15"/>
        <v>21.509999999999998</v>
      </c>
      <c r="S249">
        <f>VLOOKUP(L249,Products!$A$2:$G$49,7,0)</f>
        <v>0.21509999999999996</v>
      </c>
      <c r="T249">
        <f t="shared" si="18"/>
        <v>1.2905999999999997</v>
      </c>
      <c r="U249" s="33">
        <f t="shared" si="19"/>
        <v>5.9999999999999991</v>
      </c>
    </row>
    <row r="250" spans="1:21" x14ac:dyDescent="0.25">
      <c r="A250" s="1" t="s">
        <v>511</v>
      </c>
      <c r="B250" s="28">
        <v>44019</v>
      </c>
      <c r="C250" s="21" t="str">
        <f t="shared" si="16"/>
        <v>2020</v>
      </c>
      <c r="D250" s="19" t="str">
        <f t="shared" si="17"/>
        <v>July</v>
      </c>
      <c r="E250" s="3" t="s">
        <v>512</v>
      </c>
      <c r="F250" s="3" t="str">
        <f>VLOOKUP(E250,Customers!$A$2:$I$1001,2,0)</f>
        <v>Lyn Entwistle</v>
      </c>
      <c r="G250" s="3" t="str">
        <f>VLOOKUP(E250,Customers!$A$2:$I$1001,3,0)</f>
        <v>lentwistle6w@omniture.com</v>
      </c>
      <c r="H250" s="3" t="str">
        <f>VLOOKUP(E250,Customers!$A$2:$I$1001,4,0)</f>
        <v>+1 (612) 972-1256</v>
      </c>
      <c r="I250" s="25" t="str">
        <f>VLOOKUP(E250,Customers!$A$2:$I$1001,6,0)</f>
        <v>Minneapolis</v>
      </c>
      <c r="J250" s="25" t="str">
        <f>VLOOKUP(E250,Customers!$A$2:$I$1001,7,0)</f>
        <v>United States</v>
      </c>
      <c r="K250" s="23" t="str">
        <f>VLOOKUP(E250,Customers!$A$2:$I$1001,9,0)</f>
        <v>Yes</v>
      </c>
      <c r="L250" s="4" t="s">
        <v>27</v>
      </c>
      <c r="M250" s="4" t="str">
        <f>VLOOKUP(L250,Products!$A$2:$G$49,2,0)</f>
        <v>Arabica</v>
      </c>
      <c r="N250" s="4" t="str">
        <f>VLOOKUP(L250,Products!$A$2:$G$49,3,0)</f>
        <v>Dark</v>
      </c>
      <c r="O250" s="25">
        <v>1</v>
      </c>
      <c r="P250" s="5">
        <f>INDEX([1]products!$A$1:$G$49,MATCH([1]orders!$D250,[1]products!$A$1:$A$49,0),MATCH([1]orders!K$1,[1]products!$A$1:$G$1,0))</f>
        <v>1</v>
      </c>
      <c r="Q250" s="6">
        <f>INDEX([1]products!$A$1:$G$49,MATCH([1]orders!$D250,[1]products!$A$1:$A$49,0),MATCH([1]orders!L$1,[1]products!$A$1:$G$1,0))</f>
        <v>9.9499999999999993</v>
      </c>
      <c r="R250" s="6">
        <f t="shared" si="15"/>
        <v>9.9499999999999993</v>
      </c>
      <c r="S250">
        <f>VLOOKUP(L250,Products!$A$2:$G$49,7,0)</f>
        <v>0.89549999999999985</v>
      </c>
      <c r="T250">
        <f t="shared" si="18"/>
        <v>0.89549999999999985</v>
      </c>
      <c r="U250" s="33">
        <f t="shared" si="19"/>
        <v>9</v>
      </c>
    </row>
    <row r="251" spans="1:21" x14ac:dyDescent="0.25">
      <c r="A251" s="1" t="s">
        <v>513</v>
      </c>
      <c r="B251" s="28">
        <v>43861</v>
      </c>
      <c r="C251" s="21" t="str">
        <f t="shared" si="16"/>
        <v>2020</v>
      </c>
      <c r="D251" s="19" t="str">
        <f t="shared" si="17"/>
        <v>January</v>
      </c>
      <c r="E251" s="3" t="s">
        <v>514</v>
      </c>
      <c r="F251" s="3" t="str">
        <f>VLOOKUP(E251,Customers!$A$2:$I$1001,2,0)</f>
        <v>Zacharias Kiffe</v>
      </c>
      <c r="G251" s="3" t="str">
        <f>VLOOKUP(E251,Customers!$A$2:$I$1001,3,0)</f>
        <v>zkiffe74@cyberchimps.com</v>
      </c>
      <c r="H251" s="3" t="str">
        <f>VLOOKUP(E251,Customers!$A$2:$I$1001,4,0)</f>
        <v>+1 (414) 703-7269</v>
      </c>
      <c r="I251" s="25" t="str">
        <f>VLOOKUP(E251,Customers!$A$2:$I$1001,6,0)</f>
        <v>Milwaukee</v>
      </c>
      <c r="J251" s="25" t="str">
        <f>VLOOKUP(E251,Customers!$A$2:$I$1001,7,0)</f>
        <v>United States</v>
      </c>
      <c r="K251" s="23" t="str">
        <f>VLOOKUP(E251,Customers!$A$2:$I$1001,9,0)</f>
        <v>Yes</v>
      </c>
      <c r="L251" s="4" t="s">
        <v>132</v>
      </c>
      <c r="M251" s="4" t="str">
        <f>VLOOKUP(L251,Products!$A$2:$G$49,2,0)</f>
        <v>Liberica</v>
      </c>
      <c r="N251" s="4" t="str">
        <f>VLOOKUP(L251,Products!$A$2:$G$49,3,0)</f>
        <v>Light</v>
      </c>
      <c r="O251" s="25">
        <v>1</v>
      </c>
      <c r="P251" s="5">
        <f>INDEX([1]products!$A$1:$G$49,MATCH([1]orders!$D251,[1]products!$A$1:$A$49,0),MATCH([1]orders!K$1,[1]products!$A$1:$G$1,0))</f>
        <v>1</v>
      </c>
      <c r="Q251" s="6">
        <f>INDEX([1]products!$A$1:$G$49,MATCH([1]orders!$D251,[1]products!$A$1:$A$49,0),MATCH([1]orders!L$1,[1]products!$A$1:$G$1,0))</f>
        <v>15.85</v>
      </c>
      <c r="R251" s="6">
        <f t="shared" si="15"/>
        <v>15.85</v>
      </c>
      <c r="S251">
        <f>VLOOKUP(L251,Products!$A$2:$G$49,7,0)</f>
        <v>2.0605000000000002</v>
      </c>
      <c r="T251">
        <f t="shared" si="18"/>
        <v>2.0605000000000002</v>
      </c>
      <c r="U251" s="33">
        <f t="shared" si="19"/>
        <v>13</v>
      </c>
    </row>
    <row r="252" spans="1:21" x14ac:dyDescent="0.25">
      <c r="A252" s="1" t="s">
        <v>515</v>
      </c>
      <c r="B252" s="28">
        <v>43879</v>
      </c>
      <c r="C252" s="21" t="str">
        <f t="shared" si="16"/>
        <v>2020</v>
      </c>
      <c r="D252" s="19" t="str">
        <f t="shared" si="17"/>
        <v>February</v>
      </c>
      <c r="E252" s="3" t="s">
        <v>516</v>
      </c>
      <c r="F252" s="3" t="str">
        <f>VLOOKUP(E252,Customers!$A$2:$I$1001,2,0)</f>
        <v>Mercedes Acott</v>
      </c>
      <c r="G252" s="3" t="str">
        <f>VLOOKUP(E252,Customers!$A$2:$I$1001,3,0)</f>
        <v>macott6y@pagesperso-orange.fr</v>
      </c>
      <c r="H252" s="3" t="str">
        <f>VLOOKUP(E252,Customers!$A$2:$I$1001,4,0)</f>
        <v>+1 (704) 892-0605</v>
      </c>
      <c r="I252" s="25" t="str">
        <f>VLOOKUP(E252,Customers!$A$2:$I$1001,6,0)</f>
        <v>Charlotte</v>
      </c>
      <c r="J252" s="25" t="str">
        <f>VLOOKUP(E252,Customers!$A$2:$I$1001,7,0)</f>
        <v>United States</v>
      </c>
      <c r="K252" s="23" t="str">
        <f>VLOOKUP(E252,Customers!$A$2:$I$1001,9,0)</f>
        <v>Yes</v>
      </c>
      <c r="L252" s="4" t="s">
        <v>162</v>
      </c>
      <c r="M252" s="4" t="str">
        <f>VLOOKUP(L252,Products!$A$2:$G$49,2,0)</f>
        <v>Robusta</v>
      </c>
      <c r="N252" s="4" t="str">
        <f>VLOOKUP(L252,Products!$A$2:$G$49,3,0)</f>
        <v>Medium</v>
      </c>
      <c r="O252" s="25">
        <v>1</v>
      </c>
      <c r="P252" s="5">
        <f>INDEX([1]products!$A$1:$G$49,MATCH([1]orders!$D252,[1]products!$A$1:$A$49,0),MATCH([1]orders!K$1,[1]products!$A$1:$G$1,0))</f>
        <v>0.2</v>
      </c>
      <c r="Q252" s="6">
        <f>INDEX([1]products!$A$1:$G$49,MATCH([1]orders!$D252,[1]products!$A$1:$A$49,0),MATCH([1]orders!L$1,[1]products!$A$1:$G$1,0))</f>
        <v>2.9849999999999999</v>
      </c>
      <c r="R252" s="6">
        <f t="shared" si="15"/>
        <v>2.9849999999999999</v>
      </c>
      <c r="S252">
        <f>VLOOKUP(L252,Products!$A$2:$G$49,7,0)</f>
        <v>0.17909999999999998</v>
      </c>
      <c r="T252">
        <f t="shared" si="18"/>
        <v>0.17909999999999998</v>
      </c>
      <c r="U252" s="33">
        <f t="shared" si="19"/>
        <v>6</v>
      </c>
    </row>
    <row r="253" spans="1:21" x14ac:dyDescent="0.25">
      <c r="A253" s="1" t="s">
        <v>517</v>
      </c>
      <c r="B253" s="28">
        <v>44360</v>
      </c>
      <c r="C253" s="21" t="str">
        <f t="shared" si="16"/>
        <v>2021</v>
      </c>
      <c r="D253" s="19" t="str">
        <f t="shared" si="17"/>
        <v>June</v>
      </c>
      <c r="E253" s="3" t="s">
        <v>518</v>
      </c>
      <c r="F253" s="3" t="str">
        <f>VLOOKUP(E253,Customers!$A$2:$I$1001,2,0)</f>
        <v>Connor Heaviside</v>
      </c>
      <c r="G253" s="3" t="str">
        <f>VLOOKUP(E253,Customers!$A$2:$I$1001,3,0)</f>
        <v>cheaviside6z@rediff.com</v>
      </c>
      <c r="H253" s="3" t="str">
        <f>VLOOKUP(E253,Customers!$A$2:$I$1001,4,0)</f>
        <v>+1 (602) 260-2399</v>
      </c>
      <c r="I253" s="25" t="str">
        <f>VLOOKUP(E253,Customers!$A$2:$I$1001,6,0)</f>
        <v>Phoenix</v>
      </c>
      <c r="J253" s="25" t="str">
        <f>VLOOKUP(E253,Customers!$A$2:$I$1001,7,0)</f>
        <v>United States</v>
      </c>
      <c r="K253" s="23" t="str">
        <f>VLOOKUP(E253,Customers!$A$2:$I$1001,9,0)</f>
        <v>Yes</v>
      </c>
      <c r="L253" s="4" t="s">
        <v>9</v>
      </c>
      <c r="M253" s="4" t="str">
        <f>VLOOKUP(L253,Products!$A$2:$G$49,2,0)</f>
        <v>Excelsa</v>
      </c>
      <c r="N253" s="4" t="str">
        <f>VLOOKUP(L253,Products!$A$2:$G$49,3,0)</f>
        <v>Medium</v>
      </c>
      <c r="O253" s="25">
        <v>5</v>
      </c>
      <c r="P253" s="5">
        <f>INDEX([1]products!$A$1:$G$49,MATCH([1]orders!$D253,[1]products!$A$1:$A$49,0),MATCH([1]orders!K$1,[1]products!$A$1:$G$1,0))</f>
        <v>1</v>
      </c>
      <c r="Q253" s="6">
        <f>INDEX([1]products!$A$1:$G$49,MATCH([1]orders!$D253,[1]products!$A$1:$A$49,0),MATCH([1]orders!L$1,[1]products!$A$1:$G$1,0))</f>
        <v>13.75</v>
      </c>
      <c r="R253" s="6">
        <f t="shared" si="15"/>
        <v>68.75</v>
      </c>
      <c r="S253">
        <f>VLOOKUP(L253,Products!$A$2:$G$49,7,0)</f>
        <v>1.5125</v>
      </c>
      <c r="T253">
        <f t="shared" si="18"/>
        <v>7.5625</v>
      </c>
      <c r="U253" s="33">
        <f t="shared" si="19"/>
        <v>11</v>
      </c>
    </row>
    <row r="254" spans="1:21" x14ac:dyDescent="0.25">
      <c r="A254" s="1" t="s">
        <v>519</v>
      </c>
      <c r="B254" s="28">
        <v>44779</v>
      </c>
      <c r="C254" s="21" t="str">
        <f t="shared" si="16"/>
        <v>2022</v>
      </c>
      <c r="D254" s="19" t="str">
        <f t="shared" si="17"/>
        <v>August</v>
      </c>
      <c r="E254" s="3" t="s">
        <v>520</v>
      </c>
      <c r="F254" s="3" t="str">
        <f>VLOOKUP(E254,Customers!$A$2:$I$1001,2,0)</f>
        <v>Devy Bulbrook</v>
      </c>
      <c r="G254" s="3" t="str">
        <f>VLOOKUP(E254,Customers!$A$2:$I$1001,3,0)</f>
        <v>UNKNOWN</v>
      </c>
      <c r="H254" s="3" t="str">
        <f>VLOOKUP(E254,Customers!$A$2:$I$1001,4,0)</f>
        <v>+1 (212) 360-7479</v>
      </c>
      <c r="I254" s="25" t="str">
        <f>VLOOKUP(E254,Customers!$A$2:$I$1001,6,0)</f>
        <v>Jamaica</v>
      </c>
      <c r="J254" s="25" t="str">
        <f>VLOOKUP(E254,Customers!$A$2:$I$1001,7,0)</f>
        <v>United States</v>
      </c>
      <c r="K254" s="23" t="str">
        <f>VLOOKUP(E254,Customers!$A$2:$I$1001,9,0)</f>
        <v>No</v>
      </c>
      <c r="L254" s="4" t="s">
        <v>27</v>
      </c>
      <c r="M254" s="4" t="str">
        <f>VLOOKUP(L254,Products!$A$2:$G$49,2,0)</f>
        <v>Arabica</v>
      </c>
      <c r="N254" s="4" t="str">
        <f>VLOOKUP(L254,Products!$A$2:$G$49,3,0)</f>
        <v>Dark</v>
      </c>
      <c r="O254" s="25">
        <v>3</v>
      </c>
      <c r="P254" s="5">
        <f>INDEX([1]products!$A$1:$G$49,MATCH([1]orders!$D254,[1]products!$A$1:$A$49,0),MATCH([1]orders!K$1,[1]products!$A$1:$G$1,0))</f>
        <v>1</v>
      </c>
      <c r="Q254" s="6">
        <f>INDEX([1]products!$A$1:$G$49,MATCH([1]orders!$D254,[1]products!$A$1:$A$49,0),MATCH([1]orders!L$1,[1]products!$A$1:$G$1,0))</f>
        <v>9.9499999999999993</v>
      </c>
      <c r="R254" s="6">
        <f t="shared" si="15"/>
        <v>29.849999999999998</v>
      </c>
      <c r="S254">
        <f>VLOOKUP(L254,Products!$A$2:$G$49,7,0)</f>
        <v>0.89549999999999985</v>
      </c>
      <c r="T254">
        <f t="shared" si="18"/>
        <v>2.6864999999999997</v>
      </c>
      <c r="U254" s="33">
        <f t="shared" si="19"/>
        <v>9</v>
      </c>
    </row>
    <row r="255" spans="1:21" x14ac:dyDescent="0.25">
      <c r="A255" s="1" t="s">
        <v>521</v>
      </c>
      <c r="B255" s="28">
        <v>44523</v>
      </c>
      <c r="C255" s="21" t="str">
        <f t="shared" si="16"/>
        <v>2021</v>
      </c>
      <c r="D255" s="19" t="str">
        <f t="shared" si="17"/>
        <v>November</v>
      </c>
      <c r="E255" s="3" t="s">
        <v>522</v>
      </c>
      <c r="F255" s="3" t="str">
        <f>VLOOKUP(E255,Customers!$A$2:$I$1001,2,0)</f>
        <v>Leia Kernan</v>
      </c>
      <c r="G255" s="3" t="str">
        <f>VLOOKUP(E255,Customers!$A$2:$I$1001,3,0)</f>
        <v>lkernan71@wsj.com</v>
      </c>
      <c r="H255" s="3" t="str">
        <f>VLOOKUP(E255,Customers!$A$2:$I$1001,4,0)</f>
        <v>+1 (217) 146-0949</v>
      </c>
      <c r="I255" s="25" t="str">
        <f>VLOOKUP(E255,Customers!$A$2:$I$1001,6,0)</f>
        <v>Champaign</v>
      </c>
      <c r="J255" s="25" t="str">
        <f>VLOOKUP(E255,Customers!$A$2:$I$1001,7,0)</f>
        <v>United States</v>
      </c>
      <c r="K255" s="23" t="str">
        <f>VLOOKUP(E255,Customers!$A$2:$I$1001,9,0)</f>
        <v>No</v>
      </c>
      <c r="L255" s="4" t="s">
        <v>96</v>
      </c>
      <c r="M255" s="4" t="str">
        <f>VLOOKUP(L255,Products!$A$2:$G$49,2,0)</f>
        <v>Liberica</v>
      </c>
      <c r="N255" s="4" t="str">
        <f>VLOOKUP(L255,Products!$A$2:$G$49,3,0)</f>
        <v>Medium</v>
      </c>
      <c r="O255" s="25">
        <v>4</v>
      </c>
      <c r="P255" s="5">
        <f>INDEX([1]products!$A$1:$G$49,MATCH([1]orders!$D255,[1]products!$A$1:$A$49,0),MATCH([1]orders!K$1,[1]products!$A$1:$G$1,0))</f>
        <v>1</v>
      </c>
      <c r="Q255" s="6">
        <f>INDEX([1]products!$A$1:$G$49,MATCH([1]orders!$D255,[1]products!$A$1:$A$49,0),MATCH([1]orders!L$1,[1]products!$A$1:$G$1,0))</f>
        <v>14.55</v>
      </c>
      <c r="R255" s="6">
        <f t="shared" si="15"/>
        <v>58.2</v>
      </c>
      <c r="S255">
        <f>VLOOKUP(L255,Products!$A$2:$G$49,7,0)</f>
        <v>1.8915000000000002</v>
      </c>
      <c r="T255">
        <f t="shared" si="18"/>
        <v>7.5660000000000007</v>
      </c>
      <c r="U255" s="33">
        <f t="shared" si="19"/>
        <v>13</v>
      </c>
    </row>
    <row r="256" spans="1:21" x14ac:dyDescent="0.25">
      <c r="A256" s="1" t="s">
        <v>523</v>
      </c>
      <c r="B256" s="28">
        <v>44482</v>
      </c>
      <c r="C256" s="21" t="str">
        <f t="shared" si="16"/>
        <v>2021</v>
      </c>
      <c r="D256" s="19" t="str">
        <f t="shared" si="17"/>
        <v>October</v>
      </c>
      <c r="E256" s="3" t="s">
        <v>524</v>
      </c>
      <c r="F256" s="3" t="str">
        <f>VLOOKUP(E256,Customers!$A$2:$I$1001,2,0)</f>
        <v>Rosaline McLae</v>
      </c>
      <c r="G256" s="3" t="str">
        <f>VLOOKUP(E256,Customers!$A$2:$I$1001,3,0)</f>
        <v>rmclae72@dailymotion.com</v>
      </c>
      <c r="H256" s="3" t="str">
        <f>VLOOKUP(E256,Customers!$A$2:$I$1001,4,0)</f>
        <v>UNKNOWN</v>
      </c>
      <c r="I256" s="25" t="str">
        <f>VLOOKUP(E256,Customers!$A$2:$I$1001,6,0)</f>
        <v>Swindon</v>
      </c>
      <c r="J256" s="25" t="str">
        <f>VLOOKUP(E256,Customers!$A$2:$I$1001,7,0)</f>
        <v>United Kingdom</v>
      </c>
      <c r="K256" s="23" t="str">
        <f>VLOOKUP(E256,Customers!$A$2:$I$1001,9,0)</f>
        <v>No</v>
      </c>
      <c r="L256" s="4" t="s">
        <v>157</v>
      </c>
      <c r="M256" s="4" t="str">
        <f>VLOOKUP(L256,Products!$A$2:$G$49,2,0)</f>
        <v>Robusta</v>
      </c>
      <c r="N256" s="4" t="str">
        <f>VLOOKUP(L256,Products!$A$2:$G$49,3,0)</f>
        <v>Light</v>
      </c>
      <c r="O256" s="25">
        <v>4</v>
      </c>
      <c r="P256" s="5">
        <f>INDEX([1]products!$A$1:$G$49,MATCH([1]orders!$D256,[1]products!$A$1:$A$49,0),MATCH([1]orders!K$1,[1]products!$A$1:$G$1,0))</f>
        <v>0.5</v>
      </c>
      <c r="Q256" s="6">
        <f>INDEX([1]products!$A$1:$G$49,MATCH([1]orders!$D256,[1]products!$A$1:$A$49,0),MATCH([1]orders!L$1,[1]products!$A$1:$G$1,0))</f>
        <v>7.169999999999999</v>
      </c>
      <c r="R256" s="6">
        <f t="shared" si="15"/>
        <v>28.679999999999996</v>
      </c>
      <c r="S256">
        <f>VLOOKUP(L256,Products!$A$2:$G$49,7,0)</f>
        <v>0.43019999999999992</v>
      </c>
      <c r="T256">
        <f t="shared" si="18"/>
        <v>1.7207999999999997</v>
      </c>
      <c r="U256" s="33">
        <f t="shared" si="19"/>
        <v>6</v>
      </c>
    </row>
    <row r="257" spans="1:21" x14ac:dyDescent="0.25">
      <c r="A257" s="1" t="s">
        <v>525</v>
      </c>
      <c r="B257" s="28">
        <v>44439</v>
      </c>
      <c r="C257" s="21" t="str">
        <f t="shared" si="16"/>
        <v>2021</v>
      </c>
      <c r="D257" s="19" t="str">
        <f t="shared" si="17"/>
        <v>August</v>
      </c>
      <c r="E257" s="3" t="s">
        <v>526</v>
      </c>
      <c r="F257" s="3" t="str">
        <f>VLOOKUP(E257,Customers!$A$2:$I$1001,2,0)</f>
        <v>Cleve Blowfelde</v>
      </c>
      <c r="G257" s="3" t="str">
        <f>VLOOKUP(E257,Customers!$A$2:$I$1001,3,0)</f>
        <v>cblowfelde73@ustream.tv</v>
      </c>
      <c r="H257" s="3" t="str">
        <f>VLOOKUP(E257,Customers!$A$2:$I$1001,4,0)</f>
        <v>+1 (520) 951-0585</v>
      </c>
      <c r="I257" s="25" t="str">
        <f>VLOOKUP(E257,Customers!$A$2:$I$1001,6,0)</f>
        <v>Tucson</v>
      </c>
      <c r="J257" s="25" t="str">
        <f>VLOOKUP(E257,Customers!$A$2:$I$1001,7,0)</f>
        <v>United States</v>
      </c>
      <c r="K257" s="23" t="str">
        <f>VLOOKUP(E257,Customers!$A$2:$I$1001,9,0)</f>
        <v>No</v>
      </c>
      <c r="L257" s="4" t="s">
        <v>157</v>
      </c>
      <c r="M257" s="4" t="str">
        <f>VLOOKUP(L257,Products!$A$2:$G$49,2,0)</f>
        <v>Robusta</v>
      </c>
      <c r="N257" s="4" t="str">
        <f>VLOOKUP(L257,Products!$A$2:$G$49,3,0)</f>
        <v>Light</v>
      </c>
      <c r="O257" s="25">
        <v>3</v>
      </c>
      <c r="P257" s="5">
        <f>INDEX([1]products!$A$1:$G$49,MATCH([1]orders!$D257,[1]products!$A$1:$A$49,0),MATCH([1]orders!K$1,[1]products!$A$1:$G$1,0))</f>
        <v>0.5</v>
      </c>
      <c r="Q257" s="6">
        <f>INDEX([1]products!$A$1:$G$49,MATCH([1]orders!$D257,[1]products!$A$1:$A$49,0),MATCH([1]orders!L$1,[1]products!$A$1:$G$1,0))</f>
        <v>7.169999999999999</v>
      </c>
      <c r="R257" s="6">
        <f t="shared" si="15"/>
        <v>21.509999999999998</v>
      </c>
      <c r="S257">
        <f>VLOOKUP(L257,Products!$A$2:$G$49,7,0)</f>
        <v>0.43019999999999992</v>
      </c>
      <c r="T257">
        <f t="shared" si="18"/>
        <v>1.2905999999999997</v>
      </c>
      <c r="U257" s="33">
        <f t="shared" si="19"/>
        <v>5.9999999999999991</v>
      </c>
    </row>
    <row r="258" spans="1:21" x14ac:dyDescent="0.25">
      <c r="A258" s="1" t="s">
        <v>527</v>
      </c>
      <c r="B258" s="28">
        <v>43846</v>
      </c>
      <c r="C258" s="21" t="str">
        <f t="shared" si="16"/>
        <v>2020</v>
      </c>
      <c r="D258" s="19" t="str">
        <f t="shared" si="17"/>
        <v>January</v>
      </c>
      <c r="E258" s="3" t="s">
        <v>514</v>
      </c>
      <c r="F258" s="3" t="str">
        <f>VLOOKUP(E258,Customers!$A$2:$I$1001,2,0)</f>
        <v>Zacharias Kiffe</v>
      </c>
      <c r="G258" s="3" t="str">
        <f>VLOOKUP(E258,Customers!$A$2:$I$1001,3,0)</f>
        <v>zkiffe74@cyberchimps.com</v>
      </c>
      <c r="H258" s="3" t="str">
        <f>VLOOKUP(E258,Customers!$A$2:$I$1001,4,0)</f>
        <v>+1 (414) 703-7269</v>
      </c>
      <c r="I258" s="25" t="str">
        <f>VLOOKUP(E258,Customers!$A$2:$I$1001,6,0)</f>
        <v>Milwaukee</v>
      </c>
      <c r="J258" s="25" t="str">
        <f>VLOOKUP(E258,Customers!$A$2:$I$1001,7,0)</f>
        <v>United States</v>
      </c>
      <c r="K258" s="23" t="str">
        <f>VLOOKUP(E258,Customers!$A$2:$I$1001,9,0)</f>
        <v>Yes</v>
      </c>
      <c r="L258" s="4" t="s">
        <v>78</v>
      </c>
      <c r="M258" s="4" t="str">
        <f>VLOOKUP(L258,Products!$A$2:$G$49,2,0)</f>
        <v>Liberica</v>
      </c>
      <c r="N258" s="4" t="str">
        <f>VLOOKUP(L258,Products!$A$2:$G$49,3,0)</f>
        <v>Medium</v>
      </c>
      <c r="O258" s="25">
        <v>2</v>
      </c>
      <c r="P258" s="5">
        <f>INDEX([1]products!$A$1:$G$49,MATCH([1]orders!$D258,[1]products!$A$1:$A$49,0),MATCH([1]orders!K$1,[1]products!$A$1:$G$1,0))</f>
        <v>0.5</v>
      </c>
      <c r="Q258" s="6">
        <f>INDEX([1]products!$A$1:$G$49,MATCH([1]orders!$D258,[1]products!$A$1:$A$49,0),MATCH([1]orders!L$1,[1]products!$A$1:$G$1,0))</f>
        <v>8.73</v>
      </c>
      <c r="R258" s="6">
        <f t="shared" ref="R258:R321" si="20">O258*Q258</f>
        <v>17.46</v>
      </c>
      <c r="S258">
        <f>VLOOKUP(L258,Products!$A$2:$G$49,7,0)</f>
        <v>1.1349</v>
      </c>
      <c r="T258">
        <f t="shared" si="18"/>
        <v>2.2698</v>
      </c>
      <c r="U258" s="33">
        <f t="shared" si="19"/>
        <v>13</v>
      </c>
    </row>
    <row r="259" spans="1:21" x14ac:dyDescent="0.25">
      <c r="A259" s="1" t="s">
        <v>528</v>
      </c>
      <c r="B259" s="28">
        <v>44676</v>
      </c>
      <c r="C259" s="21" t="str">
        <f t="shared" ref="C259:C322" si="21">TEXT(B259,"yyyy")</f>
        <v>2022</v>
      </c>
      <c r="D259" s="19" t="str">
        <f t="shared" ref="D259:D322" si="22">TEXT(B259,"mmmm")</f>
        <v>April</v>
      </c>
      <c r="E259" s="3" t="s">
        <v>529</v>
      </c>
      <c r="F259" s="3" t="str">
        <f>VLOOKUP(E259,Customers!$A$2:$I$1001,2,0)</f>
        <v>Denyse O'Calleran</v>
      </c>
      <c r="G259" s="3" t="str">
        <f>VLOOKUP(E259,Customers!$A$2:$I$1001,3,0)</f>
        <v>docalleran75@ucla.edu</v>
      </c>
      <c r="H259" s="3" t="str">
        <f>VLOOKUP(E259,Customers!$A$2:$I$1001,4,0)</f>
        <v>+1 (954) 368-3867</v>
      </c>
      <c r="I259" s="25" t="str">
        <f>VLOOKUP(E259,Customers!$A$2:$I$1001,6,0)</f>
        <v>Pompano Beach</v>
      </c>
      <c r="J259" s="25" t="str">
        <f>VLOOKUP(E259,Customers!$A$2:$I$1001,7,0)</f>
        <v>United States</v>
      </c>
      <c r="K259" s="23" t="str">
        <f>VLOOKUP(E259,Customers!$A$2:$I$1001,9,0)</f>
        <v>Yes</v>
      </c>
      <c r="L259" s="4" t="s">
        <v>530</v>
      </c>
      <c r="M259" s="4" t="str">
        <f>VLOOKUP(L259,Products!$A$2:$G$49,2,0)</f>
        <v>Excelsa</v>
      </c>
      <c r="N259" s="4" t="str">
        <f>VLOOKUP(L259,Products!$A$2:$G$49,3,0)</f>
        <v>Dark</v>
      </c>
      <c r="O259" s="25">
        <v>1</v>
      </c>
      <c r="P259" s="5">
        <f>INDEX([1]products!$A$1:$G$49,MATCH([1]orders!$D259,[1]products!$A$1:$A$49,0),MATCH([1]orders!K$1,[1]products!$A$1:$G$1,0))</f>
        <v>2.5</v>
      </c>
      <c r="Q259" s="6">
        <f>INDEX([1]products!$A$1:$G$49,MATCH([1]orders!$D259,[1]products!$A$1:$A$49,0),MATCH([1]orders!L$1,[1]products!$A$1:$G$1,0))</f>
        <v>27.945</v>
      </c>
      <c r="R259" s="6">
        <f t="shared" si="20"/>
        <v>27.945</v>
      </c>
      <c r="S259">
        <f>VLOOKUP(L259,Products!$A$2:$G$49,7,0)</f>
        <v>3.07395</v>
      </c>
      <c r="T259">
        <f t="shared" ref="T259:T322" si="23">O259*S259</f>
        <v>3.07395</v>
      </c>
      <c r="U259" s="33">
        <f t="shared" ref="U259:U322" si="24">T259/R259*100</f>
        <v>11</v>
      </c>
    </row>
    <row r="260" spans="1:21" x14ac:dyDescent="0.25">
      <c r="A260" s="1" t="s">
        <v>531</v>
      </c>
      <c r="B260" s="28">
        <v>44513</v>
      </c>
      <c r="C260" s="21" t="str">
        <f t="shared" si="21"/>
        <v>2021</v>
      </c>
      <c r="D260" s="19" t="str">
        <f t="shared" si="22"/>
        <v>November</v>
      </c>
      <c r="E260" s="3" t="s">
        <v>532</v>
      </c>
      <c r="F260" s="3" t="str">
        <f>VLOOKUP(E260,Customers!$A$2:$I$1001,2,0)</f>
        <v>Cobby Cromwell</v>
      </c>
      <c r="G260" s="3" t="str">
        <f>VLOOKUP(E260,Customers!$A$2:$I$1001,3,0)</f>
        <v>ccromwell76@desdev.cn</v>
      </c>
      <c r="H260" s="3" t="str">
        <f>VLOOKUP(E260,Customers!$A$2:$I$1001,4,0)</f>
        <v>+1 (562) 516-6052</v>
      </c>
      <c r="I260" s="25" t="str">
        <f>VLOOKUP(E260,Customers!$A$2:$I$1001,6,0)</f>
        <v>Whittier</v>
      </c>
      <c r="J260" s="25" t="str">
        <f>VLOOKUP(E260,Customers!$A$2:$I$1001,7,0)</f>
        <v>United States</v>
      </c>
      <c r="K260" s="23" t="str">
        <f>VLOOKUP(E260,Customers!$A$2:$I$1001,9,0)</f>
        <v>No</v>
      </c>
      <c r="L260" s="4" t="s">
        <v>530</v>
      </c>
      <c r="M260" s="4" t="str">
        <f>VLOOKUP(L260,Products!$A$2:$G$49,2,0)</f>
        <v>Excelsa</v>
      </c>
      <c r="N260" s="4" t="str">
        <f>VLOOKUP(L260,Products!$A$2:$G$49,3,0)</f>
        <v>Dark</v>
      </c>
      <c r="O260" s="25">
        <v>5</v>
      </c>
      <c r="P260" s="5">
        <f>INDEX([1]products!$A$1:$G$49,MATCH([1]orders!$D260,[1]products!$A$1:$A$49,0),MATCH([1]orders!K$1,[1]products!$A$1:$G$1,0))</f>
        <v>2.5</v>
      </c>
      <c r="Q260" s="6">
        <f>INDEX([1]products!$A$1:$G$49,MATCH([1]orders!$D260,[1]products!$A$1:$A$49,0),MATCH([1]orders!L$1,[1]products!$A$1:$G$1,0))</f>
        <v>27.945</v>
      </c>
      <c r="R260" s="6">
        <f t="shared" si="20"/>
        <v>139.72499999999999</v>
      </c>
      <c r="S260">
        <f>VLOOKUP(L260,Products!$A$2:$G$49,7,0)</f>
        <v>3.07395</v>
      </c>
      <c r="T260">
        <f t="shared" si="23"/>
        <v>15.36975</v>
      </c>
      <c r="U260" s="33">
        <f t="shared" si="24"/>
        <v>11</v>
      </c>
    </row>
    <row r="261" spans="1:21" x14ac:dyDescent="0.25">
      <c r="A261" s="1" t="s">
        <v>533</v>
      </c>
      <c r="B261" s="28">
        <v>44355</v>
      </c>
      <c r="C261" s="21" t="str">
        <f t="shared" si="21"/>
        <v>2021</v>
      </c>
      <c r="D261" s="19" t="str">
        <f t="shared" si="22"/>
        <v>June</v>
      </c>
      <c r="E261" s="3" t="s">
        <v>534</v>
      </c>
      <c r="F261" s="3" t="str">
        <f>VLOOKUP(E261,Customers!$A$2:$I$1001,2,0)</f>
        <v>Irv Hay</v>
      </c>
      <c r="G261" s="3" t="str">
        <f>VLOOKUP(E261,Customers!$A$2:$I$1001,3,0)</f>
        <v>ihay77@lulu.com</v>
      </c>
      <c r="H261" s="3" t="str">
        <f>VLOOKUP(E261,Customers!$A$2:$I$1001,4,0)</f>
        <v>+44 (878) 199-6257</v>
      </c>
      <c r="I261" s="25" t="str">
        <f>VLOOKUP(E261,Customers!$A$2:$I$1001,6,0)</f>
        <v>Sheffield</v>
      </c>
      <c r="J261" s="25" t="str">
        <f>VLOOKUP(E261,Customers!$A$2:$I$1001,7,0)</f>
        <v>United Kingdom</v>
      </c>
      <c r="K261" s="23" t="str">
        <f>VLOOKUP(E261,Customers!$A$2:$I$1001,9,0)</f>
        <v>No</v>
      </c>
      <c r="L261" s="4" t="s">
        <v>162</v>
      </c>
      <c r="M261" s="4" t="str">
        <f>VLOOKUP(L261,Products!$A$2:$G$49,2,0)</f>
        <v>Robusta</v>
      </c>
      <c r="N261" s="4" t="str">
        <f>VLOOKUP(L261,Products!$A$2:$G$49,3,0)</f>
        <v>Medium</v>
      </c>
      <c r="O261" s="25">
        <v>2</v>
      </c>
      <c r="P261" s="5">
        <f>INDEX([1]products!$A$1:$G$49,MATCH([1]orders!$D261,[1]products!$A$1:$A$49,0),MATCH([1]orders!K$1,[1]products!$A$1:$G$1,0))</f>
        <v>0.2</v>
      </c>
      <c r="Q261" s="6">
        <f>INDEX([1]products!$A$1:$G$49,MATCH([1]orders!$D261,[1]products!$A$1:$A$49,0),MATCH([1]orders!L$1,[1]products!$A$1:$G$1,0))</f>
        <v>2.9849999999999999</v>
      </c>
      <c r="R261" s="6">
        <f t="shared" si="20"/>
        <v>5.97</v>
      </c>
      <c r="S261">
        <f>VLOOKUP(L261,Products!$A$2:$G$49,7,0)</f>
        <v>0.17909999999999998</v>
      </c>
      <c r="T261">
        <f t="shared" si="23"/>
        <v>0.35819999999999996</v>
      </c>
      <c r="U261" s="33">
        <f t="shared" si="24"/>
        <v>6</v>
      </c>
    </row>
    <row r="262" spans="1:21" x14ac:dyDescent="0.25">
      <c r="A262" s="1" t="s">
        <v>535</v>
      </c>
      <c r="B262" s="28">
        <v>44156</v>
      </c>
      <c r="C262" s="21" t="str">
        <f t="shared" si="21"/>
        <v>2020</v>
      </c>
      <c r="D262" s="19" t="str">
        <f t="shared" si="22"/>
        <v>November</v>
      </c>
      <c r="E262" s="3" t="s">
        <v>536</v>
      </c>
      <c r="F262" s="3" t="str">
        <f>VLOOKUP(E262,Customers!$A$2:$I$1001,2,0)</f>
        <v>Tani Taffarello</v>
      </c>
      <c r="G262" s="3" t="str">
        <f>VLOOKUP(E262,Customers!$A$2:$I$1001,3,0)</f>
        <v>ttaffarello78@sciencedaily.com</v>
      </c>
      <c r="H262" s="3" t="str">
        <f>VLOOKUP(E262,Customers!$A$2:$I$1001,4,0)</f>
        <v>UNKNOWN</v>
      </c>
      <c r="I262" s="25" t="str">
        <f>VLOOKUP(E262,Customers!$A$2:$I$1001,6,0)</f>
        <v>Saint Louis</v>
      </c>
      <c r="J262" s="25" t="str">
        <f>VLOOKUP(E262,Customers!$A$2:$I$1001,7,0)</f>
        <v>United States</v>
      </c>
      <c r="K262" s="23" t="str">
        <f>VLOOKUP(E262,Customers!$A$2:$I$1001,9,0)</f>
        <v>Yes</v>
      </c>
      <c r="L262" s="4" t="s">
        <v>10</v>
      </c>
      <c r="M262" s="4" t="str">
        <f>VLOOKUP(L262,Products!$A$2:$G$49,2,0)</f>
        <v>Robusta</v>
      </c>
      <c r="N262" s="4" t="str">
        <f>VLOOKUP(L262,Products!$A$2:$G$49,3,0)</f>
        <v>Light</v>
      </c>
      <c r="O262" s="25">
        <v>1</v>
      </c>
      <c r="P262" s="5">
        <f>INDEX([1]products!$A$1:$G$49,MATCH([1]orders!$D262,[1]products!$A$1:$A$49,0),MATCH([1]orders!K$1,[1]products!$A$1:$G$1,0))</f>
        <v>2.5</v>
      </c>
      <c r="Q262" s="6">
        <f>INDEX([1]products!$A$1:$G$49,MATCH([1]orders!$D262,[1]products!$A$1:$A$49,0),MATCH([1]orders!L$1,[1]products!$A$1:$G$1,0))</f>
        <v>27.484999999999996</v>
      </c>
      <c r="R262" s="6">
        <f t="shared" si="20"/>
        <v>27.484999999999996</v>
      </c>
      <c r="S262">
        <f>VLOOKUP(L262,Products!$A$2:$G$49,7,0)</f>
        <v>1.6490999999999998</v>
      </c>
      <c r="T262">
        <f t="shared" si="23"/>
        <v>1.6490999999999998</v>
      </c>
      <c r="U262" s="33">
        <f t="shared" si="24"/>
        <v>6.0000000000000009</v>
      </c>
    </row>
    <row r="263" spans="1:21" x14ac:dyDescent="0.25">
      <c r="A263" s="1" t="s">
        <v>537</v>
      </c>
      <c r="B263" s="28">
        <v>43538</v>
      </c>
      <c r="C263" s="21" t="str">
        <f t="shared" si="21"/>
        <v>2019</v>
      </c>
      <c r="D263" s="19" t="str">
        <f t="shared" si="22"/>
        <v>March</v>
      </c>
      <c r="E263" s="3" t="s">
        <v>538</v>
      </c>
      <c r="F263" s="3" t="str">
        <f>VLOOKUP(E263,Customers!$A$2:$I$1001,2,0)</f>
        <v>Monique Canty</v>
      </c>
      <c r="G263" s="3" t="str">
        <f>VLOOKUP(E263,Customers!$A$2:$I$1001,3,0)</f>
        <v>mcanty79@jigsy.com</v>
      </c>
      <c r="H263" s="3" t="str">
        <f>VLOOKUP(E263,Customers!$A$2:$I$1001,4,0)</f>
        <v>+1 (814) 215-3753</v>
      </c>
      <c r="I263" s="25" t="str">
        <f>VLOOKUP(E263,Customers!$A$2:$I$1001,6,0)</f>
        <v>Erie</v>
      </c>
      <c r="J263" s="25" t="str">
        <f>VLOOKUP(E263,Customers!$A$2:$I$1001,7,0)</f>
        <v>United States</v>
      </c>
      <c r="K263" s="23" t="str">
        <f>VLOOKUP(E263,Customers!$A$2:$I$1001,9,0)</f>
        <v>Yes</v>
      </c>
      <c r="L263" s="4" t="s">
        <v>189</v>
      </c>
      <c r="M263" s="4" t="str">
        <f>VLOOKUP(L263,Products!$A$2:$G$49,2,0)</f>
        <v>Robusta</v>
      </c>
      <c r="N263" s="4" t="str">
        <f>VLOOKUP(L263,Products!$A$2:$G$49,3,0)</f>
        <v>Light</v>
      </c>
      <c r="O263" s="25">
        <v>5</v>
      </c>
      <c r="P263" s="5">
        <f>INDEX([1]products!$A$1:$G$49,MATCH([1]orders!$D263,[1]products!$A$1:$A$49,0),MATCH([1]orders!K$1,[1]products!$A$1:$G$1,0))</f>
        <v>1</v>
      </c>
      <c r="Q263" s="6">
        <f>INDEX([1]products!$A$1:$G$49,MATCH([1]orders!$D263,[1]products!$A$1:$A$49,0),MATCH([1]orders!L$1,[1]products!$A$1:$G$1,0))</f>
        <v>11.95</v>
      </c>
      <c r="R263" s="6">
        <f t="shared" si="20"/>
        <v>59.75</v>
      </c>
      <c r="S263">
        <f>VLOOKUP(L263,Products!$A$2:$G$49,7,0)</f>
        <v>0.71699999999999997</v>
      </c>
      <c r="T263">
        <f t="shared" si="23"/>
        <v>3.585</v>
      </c>
      <c r="U263" s="33">
        <f t="shared" si="24"/>
        <v>6</v>
      </c>
    </row>
    <row r="264" spans="1:21" x14ac:dyDescent="0.25">
      <c r="A264" s="1" t="s">
        <v>539</v>
      </c>
      <c r="B264" s="28">
        <v>43693</v>
      </c>
      <c r="C264" s="21" t="str">
        <f t="shared" si="21"/>
        <v>2019</v>
      </c>
      <c r="D264" s="19" t="str">
        <f t="shared" si="22"/>
        <v>August</v>
      </c>
      <c r="E264" s="3" t="s">
        <v>540</v>
      </c>
      <c r="F264" s="3" t="str">
        <f>VLOOKUP(E264,Customers!$A$2:$I$1001,2,0)</f>
        <v>Javier Kopke</v>
      </c>
      <c r="G264" s="3" t="str">
        <f>VLOOKUP(E264,Customers!$A$2:$I$1001,3,0)</f>
        <v>jkopke7a@auda.org.au</v>
      </c>
      <c r="H264" s="3" t="str">
        <f>VLOOKUP(E264,Customers!$A$2:$I$1001,4,0)</f>
        <v>+1 (253) 638-4435</v>
      </c>
      <c r="I264" s="25" t="str">
        <f>VLOOKUP(E264,Customers!$A$2:$I$1001,6,0)</f>
        <v>Tacoma</v>
      </c>
      <c r="J264" s="25" t="str">
        <f>VLOOKUP(E264,Customers!$A$2:$I$1001,7,0)</f>
        <v>United States</v>
      </c>
      <c r="K264" s="23" t="str">
        <f>VLOOKUP(E264,Customers!$A$2:$I$1001,9,0)</f>
        <v>No</v>
      </c>
      <c r="L264" s="4" t="s">
        <v>9</v>
      </c>
      <c r="M264" s="4" t="str">
        <f>VLOOKUP(L264,Products!$A$2:$G$49,2,0)</f>
        <v>Excelsa</v>
      </c>
      <c r="N264" s="4" t="str">
        <f>VLOOKUP(L264,Products!$A$2:$G$49,3,0)</f>
        <v>Medium</v>
      </c>
      <c r="O264" s="25">
        <v>3</v>
      </c>
      <c r="P264" s="5">
        <f>INDEX([1]products!$A$1:$G$49,MATCH([1]orders!$D264,[1]products!$A$1:$A$49,0),MATCH([1]orders!K$1,[1]products!$A$1:$G$1,0))</f>
        <v>1</v>
      </c>
      <c r="Q264" s="6">
        <f>INDEX([1]products!$A$1:$G$49,MATCH([1]orders!$D264,[1]products!$A$1:$A$49,0),MATCH([1]orders!L$1,[1]products!$A$1:$G$1,0))</f>
        <v>13.75</v>
      </c>
      <c r="R264" s="6">
        <f t="shared" si="20"/>
        <v>41.25</v>
      </c>
      <c r="S264">
        <f>VLOOKUP(L264,Products!$A$2:$G$49,7,0)</f>
        <v>1.5125</v>
      </c>
      <c r="T264">
        <f t="shared" si="23"/>
        <v>4.5374999999999996</v>
      </c>
      <c r="U264" s="33">
        <f t="shared" si="24"/>
        <v>10.999999999999998</v>
      </c>
    </row>
    <row r="265" spans="1:21" x14ac:dyDescent="0.25">
      <c r="A265" s="1" t="s">
        <v>541</v>
      </c>
      <c r="B265" s="28">
        <v>43577</v>
      </c>
      <c r="C265" s="21" t="str">
        <f t="shared" si="21"/>
        <v>2019</v>
      </c>
      <c r="D265" s="19" t="str">
        <f t="shared" si="22"/>
        <v>April</v>
      </c>
      <c r="E265" s="3" t="s">
        <v>542</v>
      </c>
      <c r="F265" s="3" t="str">
        <f>VLOOKUP(E265,Customers!$A$2:$I$1001,2,0)</f>
        <v>Mar McIver</v>
      </c>
      <c r="G265" s="3" t="str">
        <f>VLOOKUP(E265,Customers!$A$2:$I$1001,3,0)</f>
        <v>UNKNOWN</v>
      </c>
      <c r="H265" s="3" t="str">
        <f>VLOOKUP(E265,Customers!$A$2:$I$1001,4,0)</f>
        <v>+1 (571) 479-3812</v>
      </c>
      <c r="I265" s="25" t="str">
        <f>VLOOKUP(E265,Customers!$A$2:$I$1001,6,0)</f>
        <v>Richmond</v>
      </c>
      <c r="J265" s="25" t="str">
        <f>VLOOKUP(E265,Customers!$A$2:$I$1001,7,0)</f>
        <v>United States</v>
      </c>
      <c r="K265" s="23" t="str">
        <f>VLOOKUP(E265,Customers!$A$2:$I$1001,9,0)</f>
        <v>No</v>
      </c>
      <c r="L265" s="4" t="s">
        <v>197</v>
      </c>
      <c r="M265" s="4" t="str">
        <f>VLOOKUP(L265,Products!$A$2:$G$49,2,0)</f>
        <v>Liberica</v>
      </c>
      <c r="N265" s="4" t="str">
        <f>VLOOKUP(L265,Products!$A$2:$G$49,3,0)</f>
        <v>Medium</v>
      </c>
      <c r="O265" s="25">
        <v>4</v>
      </c>
      <c r="P265" s="5">
        <f>INDEX([1]products!$A$1:$G$49,MATCH([1]orders!$D265,[1]products!$A$1:$A$49,0),MATCH([1]orders!K$1,[1]products!$A$1:$G$1,0))</f>
        <v>2.5</v>
      </c>
      <c r="Q265" s="6">
        <f>INDEX([1]products!$A$1:$G$49,MATCH([1]orders!$D265,[1]products!$A$1:$A$49,0),MATCH([1]orders!L$1,[1]products!$A$1:$G$1,0))</f>
        <v>33.464999999999996</v>
      </c>
      <c r="R265" s="6">
        <f t="shared" si="20"/>
        <v>133.85999999999999</v>
      </c>
      <c r="S265">
        <f>VLOOKUP(L265,Products!$A$2:$G$49,7,0)</f>
        <v>4.3504499999999995</v>
      </c>
      <c r="T265">
        <f t="shared" si="23"/>
        <v>17.401799999999998</v>
      </c>
      <c r="U265" s="33">
        <f t="shared" si="24"/>
        <v>13</v>
      </c>
    </row>
    <row r="266" spans="1:21" x14ac:dyDescent="0.25">
      <c r="A266" s="1" t="s">
        <v>543</v>
      </c>
      <c r="B266" s="28">
        <v>44683</v>
      </c>
      <c r="C266" s="21" t="str">
        <f t="shared" si="21"/>
        <v>2022</v>
      </c>
      <c r="D266" s="19" t="str">
        <f t="shared" si="22"/>
        <v>May</v>
      </c>
      <c r="E266" s="3" t="s">
        <v>544</v>
      </c>
      <c r="F266" s="3" t="str">
        <f>VLOOKUP(E266,Customers!$A$2:$I$1001,2,0)</f>
        <v>Arabella Fransewich</v>
      </c>
      <c r="G266" s="3" t="str">
        <f>VLOOKUP(E266,Customers!$A$2:$I$1001,3,0)</f>
        <v>UNKNOWN</v>
      </c>
      <c r="H266" s="3" t="str">
        <f>VLOOKUP(E266,Customers!$A$2:$I$1001,4,0)</f>
        <v>+353 (336) 656-6944</v>
      </c>
      <c r="I266" s="25" t="str">
        <f>VLOOKUP(E266,Customers!$A$2:$I$1001,6,0)</f>
        <v>Kinsealy-Drinan</v>
      </c>
      <c r="J266" s="25" t="str">
        <f>VLOOKUP(E266,Customers!$A$2:$I$1001,7,0)</f>
        <v>Ireland</v>
      </c>
      <c r="K266" s="23" t="str">
        <f>VLOOKUP(E266,Customers!$A$2:$I$1001,9,0)</f>
        <v>Yes</v>
      </c>
      <c r="L266" s="4" t="s">
        <v>189</v>
      </c>
      <c r="M266" s="4" t="str">
        <f>VLOOKUP(L266,Products!$A$2:$G$49,2,0)</f>
        <v>Robusta</v>
      </c>
      <c r="N266" s="4" t="str">
        <f>VLOOKUP(L266,Products!$A$2:$G$49,3,0)</f>
        <v>Light</v>
      </c>
      <c r="O266" s="25">
        <v>5</v>
      </c>
      <c r="P266" s="5">
        <f>INDEX([1]products!$A$1:$G$49,MATCH([1]orders!$D266,[1]products!$A$1:$A$49,0),MATCH([1]orders!K$1,[1]products!$A$1:$G$1,0))</f>
        <v>1</v>
      </c>
      <c r="Q266" s="6">
        <f>INDEX([1]products!$A$1:$G$49,MATCH([1]orders!$D266,[1]products!$A$1:$A$49,0),MATCH([1]orders!L$1,[1]products!$A$1:$G$1,0))</f>
        <v>11.95</v>
      </c>
      <c r="R266" s="6">
        <f t="shared" si="20"/>
        <v>59.75</v>
      </c>
      <c r="S266">
        <f>VLOOKUP(L266,Products!$A$2:$G$49,7,0)</f>
        <v>0.71699999999999997</v>
      </c>
      <c r="T266">
        <f t="shared" si="23"/>
        <v>3.585</v>
      </c>
      <c r="U266" s="33">
        <f t="shared" si="24"/>
        <v>6</v>
      </c>
    </row>
    <row r="267" spans="1:21" x14ac:dyDescent="0.25">
      <c r="A267" s="1" t="s">
        <v>545</v>
      </c>
      <c r="B267" s="28">
        <v>43872</v>
      </c>
      <c r="C267" s="21" t="str">
        <f t="shared" si="21"/>
        <v>2020</v>
      </c>
      <c r="D267" s="19" t="str">
        <f t="shared" si="22"/>
        <v>February</v>
      </c>
      <c r="E267" s="3" t="s">
        <v>546</v>
      </c>
      <c r="F267" s="3" t="str">
        <f>VLOOKUP(E267,Customers!$A$2:$I$1001,2,0)</f>
        <v>Violette Hellmore</v>
      </c>
      <c r="G267" s="3" t="str">
        <f>VLOOKUP(E267,Customers!$A$2:$I$1001,3,0)</f>
        <v>vhellmore7d@bbc.co.uk</v>
      </c>
      <c r="H267" s="3" t="str">
        <f>VLOOKUP(E267,Customers!$A$2:$I$1001,4,0)</f>
        <v>+1 (501) 899-4038</v>
      </c>
      <c r="I267" s="25" t="str">
        <f>VLOOKUP(E267,Customers!$A$2:$I$1001,6,0)</f>
        <v>Little Rock</v>
      </c>
      <c r="J267" s="25" t="str">
        <f>VLOOKUP(E267,Customers!$A$2:$I$1001,7,0)</f>
        <v>United States</v>
      </c>
      <c r="K267" s="23" t="str">
        <f>VLOOKUP(E267,Customers!$A$2:$I$1001,9,0)</f>
        <v>Yes</v>
      </c>
      <c r="L267" s="4" t="s">
        <v>72</v>
      </c>
      <c r="M267" s="4" t="str">
        <f>VLOOKUP(L267,Products!$A$2:$G$49,2,0)</f>
        <v>Arabica</v>
      </c>
      <c r="N267" s="4" t="str">
        <f>VLOOKUP(L267,Products!$A$2:$G$49,3,0)</f>
        <v>Dark</v>
      </c>
      <c r="O267" s="25">
        <v>1</v>
      </c>
      <c r="P267" s="5">
        <f>INDEX([1]products!$A$1:$G$49,MATCH([1]orders!$D267,[1]products!$A$1:$A$49,0),MATCH([1]orders!K$1,[1]products!$A$1:$G$1,0))</f>
        <v>0.5</v>
      </c>
      <c r="Q267" s="6">
        <f>INDEX([1]products!$A$1:$G$49,MATCH([1]orders!$D267,[1]products!$A$1:$A$49,0),MATCH([1]orders!L$1,[1]products!$A$1:$G$1,0))</f>
        <v>5.97</v>
      </c>
      <c r="R267" s="6">
        <f t="shared" si="20"/>
        <v>5.97</v>
      </c>
      <c r="S267">
        <f>VLOOKUP(L267,Products!$A$2:$G$49,7,0)</f>
        <v>0.5373</v>
      </c>
      <c r="T267">
        <f t="shared" si="23"/>
        <v>0.5373</v>
      </c>
      <c r="U267" s="33">
        <f t="shared" si="24"/>
        <v>9.0000000000000018</v>
      </c>
    </row>
    <row r="268" spans="1:21" x14ac:dyDescent="0.25">
      <c r="A268" s="1" t="s">
        <v>547</v>
      </c>
      <c r="B268" s="28">
        <v>44283</v>
      </c>
      <c r="C268" s="21" t="str">
        <f t="shared" si="21"/>
        <v>2021</v>
      </c>
      <c r="D268" s="19" t="str">
        <f t="shared" si="22"/>
        <v>March</v>
      </c>
      <c r="E268" s="3" t="s">
        <v>548</v>
      </c>
      <c r="F268" s="3" t="str">
        <f>VLOOKUP(E268,Customers!$A$2:$I$1001,2,0)</f>
        <v>Myles Seawright</v>
      </c>
      <c r="G268" s="3" t="str">
        <f>VLOOKUP(E268,Customers!$A$2:$I$1001,3,0)</f>
        <v>mseawright7e@nbcnews.com</v>
      </c>
      <c r="H268" s="3" t="str">
        <f>VLOOKUP(E268,Customers!$A$2:$I$1001,4,0)</f>
        <v>+44 (638) 528-2467</v>
      </c>
      <c r="I268" s="25" t="str">
        <f>VLOOKUP(E268,Customers!$A$2:$I$1001,6,0)</f>
        <v>Newton</v>
      </c>
      <c r="J268" s="25" t="str">
        <f>VLOOKUP(E268,Customers!$A$2:$I$1001,7,0)</f>
        <v>United Kingdom</v>
      </c>
      <c r="K268" s="23" t="str">
        <f>VLOOKUP(E268,Customers!$A$2:$I$1001,9,0)</f>
        <v>No</v>
      </c>
      <c r="L268" s="4" t="s">
        <v>245</v>
      </c>
      <c r="M268" s="4" t="str">
        <f>VLOOKUP(L268,Products!$A$2:$G$49,2,0)</f>
        <v>Excelsa</v>
      </c>
      <c r="N268" s="4" t="str">
        <f>VLOOKUP(L268,Products!$A$2:$G$49,3,0)</f>
        <v>Dark</v>
      </c>
      <c r="O268" s="25">
        <v>2</v>
      </c>
      <c r="P268" s="5">
        <f>INDEX([1]products!$A$1:$G$49,MATCH([1]orders!$D268,[1]products!$A$1:$A$49,0),MATCH([1]orders!K$1,[1]products!$A$1:$G$1,0))</f>
        <v>1</v>
      </c>
      <c r="Q268" s="6">
        <f>INDEX([1]products!$A$1:$G$49,MATCH([1]orders!$D268,[1]products!$A$1:$A$49,0),MATCH([1]orders!L$1,[1]products!$A$1:$G$1,0))</f>
        <v>12.15</v>
      </c>
      <c r="R268" s="6">
        <f t="shared" si="20"/>
        <v>24.3</v>
      </c>
      <c r="S268">
        <f>VLOOKUP(L268,Products!$A$2:$G$49,7,0)</f>
        <v>1.3365</v>
      </c>
      <c r="T268">
        <f t="shared" si="23"/>
        <v>2.673</v>
      </c>
      <c r="U268" s="33">
        <f t="shared" si="24"/>
        <v>11</v>
      </c>
    </row>
    <row r="269" spans="1:21" x14ac:dyDescent="0.25">
      <c r="A269" s="1" t="s">
        <v>549</v>
      </c>
      <c r="B269" s="28">
        <v>44324</v>
      </c>
      <c r="C269" s="21" t="str">
        <f t="shared" si="21"/>
        <v>2021</v>
      </c>
      <c r="D269" s="19" t="str">
        <f t="shared" si="22"/>
        <v>May</v>
      </c>
      <c r="E269" s="3" t="s">
        <v>550</v>
      </c>
      <c r="F269" s="3" t="str">
        <f>VLOOKUP(E269,Customers!$A$2:$I$1001,2,0)</f>
        <v>Silvana Northeast</v>
      </c>
      <c r="G269" s="3" t="str">
        <f>VLOOKUP(E269,Customers!$A$2:$I$1001,3,0)</f>
        <v>snortheast7f@mashable.com</v>
      </c>
      <c r="H269" s="3" t="str">
        <f>VLOOKUP(E269,Customers!$A$2:$I$1001,4,0)</f>
        <v>+1 (775) 344-1930</v>
      </c>
      <c r="I269" s="25" t="str">
        <f>VLOOKUP(E269,Customers!$A$2:$I$1001,6,0)</f>
        <v>Sparks</v>
      </c>
      <c r="J269" s="25" t="str">
        <f>VLOOKUP(E269,Customers!$A$2:$I$1001,7,0)</f>
        <v>United States</v>
      </c>
      <c r="K269" s="23" t="str">
        <f>VLOOKUP(E269,Customers!$A$2:$I$1001,9,0)</f>
        <v>Yes</v>
      </c>
      <c r="L269" s="4" t="s">
        <v>51</v>
      </c>
      <c r="M269" s="4" t="str">
        <f>VLOOKUP(L269,Products!$A$2:$G$49,2,0)</f>
        <v>Excelsa</v>
      </c>
      <c r="N269" s="4" t="str">
        <f>VLOOKUP(L269,Products!$A$2:$G$49,3,0)</f>
        <v>Dark</v>
      </c>
      <c r="O269" s="25">
        <v>6</v>
      </c>
      <c r="P269" s="5">
        <f>INDEX([1]products!$A$1:$G$49,MATCH([1]orders!$D269,[1]products!$A$1:$A$49,0),MATCH([1]orders!K$1,[1]products!$A$1:$G$1,0))</f>
        <v>0.2</v>
      </c>
      <c r="Q269" s="6">
        <f>INDEX([1]products!$A$1:$G$49,MATCH([1]orders!$D269,[1]products!$A$1:$A$49,0),MATCH([1]orders!L$1,[1]products!$A$1:$G$1,0))</f>
        <v>3.645</v>
      </c>
      <c r="R269" s="6">
        <f t="shared" si="20"/>
        <v>21.87</v>
      </c>
      <c r="S269">
        <f>VLOOKUP(L269,Products!$A$2:$G$49,7,0)</f>
        <v>0.40095000000000003</v>
      </c>
      <c r="T269">
        <f t="shared" si="23"/>
        <v>2.4057000000000004</v>
      </c>
      <c r="U269" s="33">
        <f t="shared" si="24"/>
        <v>11.000000000000002</v>
      </c>
    </row>
    <row r="270" spans="1:21" x14ac:dyDescent="0.25">
      <c r="A270" s="1" t="s">
        <v>551</v>
      </c>
      <c r="B270" s="28">
        <v>43790</v>
      </c>
      <c r="C270" s="21" t="str">
        <f t="shared" si="21"/>
        <v>2019</v>
      </c>
      <c r="D270" s="19" t="str">
        <f t="shared" si="22"/>
        <v>November</v>
      </c>
      <c r="E270" s="3" t="s">
        <v>438</v>
      </c>
      <c r="F270" s="3" t="str">
        <f>VLOOKUP(E270,Customers!$A$2:$I$1001,2,0)</f>
        <v>Anselma Attwater</v>
      </c>
      <c r="G270" s="3" t="str">
        <f>VLOOKUP(E270,Customers!$A$2:$I$1001,3,0)</f>
        <v>aattwater5u@wikia.com</v>
      </c>
      <c r="H270" s="3" t="str">
        <f>VLOOKUP(E270,Customers!$A$2:$I$1001,4,0)</f>
        <v>+1 (434) 821-8618</v>
      </c>
      <c r="I270" s="25" t="str">
        <f>VLOOKUP(E270,Customers!$A$2:$I$1001,6,0)</f>
        <v>Charlottesville</v>
      </c>
      <c r="J270" s="25" t="str">
        <f>VLOOKUP(E270,Customers!$A$2:$I$1001,7,0)</f>
        <v>United States</v>
      </c>
      <c r="K270" s="23" t="str">
        <f>VLOOKUP(E270,Customers!$A$2:$I$1001,9,0)</f>
        <v>Yes</v>
      </c>
      <c r="L270" s="4" t="s">
        <v>27</v>
      </c>
      <c r="M270" s="4" t="str">
        <f>VLOOKUP(L270,Products!$A$2:$G$49,2,0)</f>
        <v>Arabica</v>
      </c>
      <c r="N270" s="4" t="str">
        <f>VLOOKUP(L270,Products!$A$2:$G$49,3,0)</f>
        <v>Dark</v>
      </c>
      <c r="O270" s="25">
        <v>2</v>
      </c>
      <c r="P270" s="5">
        <f>INDEX([1]products!$A$1:$G$49,MATCH([1]orders!$D270,[1]products!$A$1:$A$49,0),MATCH([1]orders!K$1,[1]products!$A$1:$G$1,0))</f>
        <v>1</v>
      </c>
      <c r="Q270" s="6">
        <f>INDEX([1]products!$A$1:$G$49,MATCH([1]orders!$D270,[1]products!$A$1:$A$49,0),MATCH([1]orders!L$1,[1]products!$A$1:$G$1,0))</f>
        <v>9.9499999999999993</v>
      </c>
      <c r="R270" s="6">
        <f t="shared" si="20"/>
        <v>19.899999999999999</v>
      </c>
      <c r="S270">
        <f>VLOOKUP(L270,Products!$A$2:$G$49,7,0)</f>
        <v>0.89549999999999985</v>
      </c>
      <c r="T270">
        <f t="shared" si="23"/>
        <v>1.7909999999999997</v>
      </c>
      <c r="U270" s="33">
        <f t="shared" si="24"/>
        <v>9</v>
      </c>
    </row>
    <row r="271" spans="1:21" x14ac:dyDescent="0.25">
      <c r="A271" s="1" t="s">
        <v>552</v>
      </c>
      <c r="B271" s="28">
        <v>44333</v>
      </c>
      <c r="C271" s="21" t="str">
        <f t="shared" si="21"/>
        <v>2021</v>
      </c>
      <c r="D271" s="19" t="str">
        <f t="shared" si="22"/>
        <v>May</v>
      </c>
      <c r="E271" s="3" t="s">
        <v>553</v>
      </c>
      <c r="F271" s="3" t="str">
        <f>VLOOKUP(E271,Customers!$A$2:$I$1001,2,0)</f>
        <v>Monica Fearon</v>
      </c>
      <c r="G271" s="3" t="str">
        <f>VLOOKUP(E271,Customers!$A$2:$I$1001,3,0)</f>
        <v>mfearon7h@reverbnation.com</v>
      </c>
      <c r="H271" s="3" t="str">
        <f>VLOOKUP(E271,Customers!$A$2:$I$1001,4,0)</f>
        <v>+1 (972) 686-6332</v>
      </c>
      <c r="I271" s="25" t="str">
        <f>VLOOKUP(E271,Customers!$A$2:$I$1001,6,0)</f>
        <v>Denton</v>
      </c>
      <c r="J271" s="25" t="str">
        <f>VLOOKUP(E271,Customers!$A$2:$I$1001,7,0)</f>
        <v>United States</v>
      </c>
      <c r="K271" s="23" t="str">
        <f>VLOOKUP(E271,Customers!$A$2:$I$1001,9,0)</f>
        <v>No</v>
      </c>
      <c r="L271" s="4" t="s">
        <v>54</v>
      </c>
      <c r="M271" s="4" t="str">
        <f>VLOOKUP(L271,Products!$A$2:$G$49,2,0)</f>
        <v>Arabica</v>
      </c>
      <c r="N271" s="4" t="str">
        <f>VLOOKUP(L271,Products!$A$2:$G$49,3,0)</f>
        <v>Dark</v>
      </c>
      <c r="O271" s="25">
        <v>2</v>
      </c>
      <c r="P271" s="5">
        <f>INDEX([1]products!$A$1:$G$49,MATCH([1]orders!$D271,[1]products!$A$1:$A$49,0),MATCH([1]orders!K$1,[1]products!$A$1:$G$1,0))</f>
        <v>0.2</v>
      </c>
      <c r="Q271" s="6">
        <f>INDEX([1]products!$A$1:$G$49,MATCH([1]orders!$D271,[1]products!$A$1:$A$49,0),MATCH([1]orders!L$1,[1]products!$A$1:$G$1,0))</f>
        <v>2.9849999999999999</v>
      </c>
      <c r="R271" s="6">
        <f t="shared" si="20"/>
        <v>5.97</v>
      </c>
      <c r="S271">
        <f>VLOOKUP(L271,Products!$A$2:$G$49,7,0)</f>
        <v>0.26865</v>
      </c>
      <c r="T271">
        <f t="shared" si="23"/>
        <v>0.5373</v>
      </c>
      <c r="U271" s="33">
        <f t="shared" si="24"/>
        <v>9.0000000000000018</v>
      </c>
    </row>
    <row r="272" spans="1:21" x14ac:dyDescent="0.25">
      <c r="A272" s="1" t="s">
        <v>554</v>
      </c>
      <c r="B272" s="28">
        <v>43655</v>
      </c>
      <c r="C272" s="21" t="str">
        <f t="shared" si="21"/>
        <v>2019</v>
      </c>
      <c r="D272" s="19" t="str">
        <f t="shared" si="22"/>
        <v>July</v>
      </c>
      <c r="E272" s="3" t="s">
        <v>555</v>
      </c>
      <c r="F272" s="3" t="str">
        <f>VLOOKUP(E272,Customers!$A$2:$I$1001,2,0)</f>
        <v>Barney Chisnell</v>
      </c>
      <c r="G272" s="3" t="str">
        <f>VLOOKUP(E272,Customers!$A$2:$I$1001,3,0)</f>
        <v>UNKNOWN</v>
      </c>
      <c r="H272" s="3" t="str">
        <f>VLOOKUP(E272,Customers!$A$2:$I$1001,4,0)</f>
        <v>UNKNOWN</v>
      </c>
      <c r="I272" s="25" t="str">
        <f>VLOOKUP(E272,Customers!$A$2:$I$1001,6,0)</f>
        <v>Tullamore</v>
      </c>
      <c r="J272" s="25" t="str">
        <f>VLOOKUP(E272,Customers!$A$2:$I$1001,7,0)</f>
        <v>Ireland</v>
      </c>
      <c r="K272" s="23" t="str">
        <f>VLOOKUP(E272,Customers!$A$2:$I$1001,9,0)</f>
        <v>Yes</v>
      </c>
      <c r="L272" s="4" t="s">
        <v>16</v>
      </c>
      <c r="M272" s="4" t="str">
        <f>VLOOKUP(L272,Products!$A$2:$G$49,2,0)</f>
        <v>Excelsa</v>
      </c>
      <c r="N272" s="4" t="str">
        <f>VLOOKUP(L272,Products!$A$2:$G$49,3,0)</f>
        <v>Dark</v>
      </c>
      <c r="O272" s="25">
        <v>1</v>
      </c>
      <c r="P272" s="5">
        <f>INDEX([1]products!$A$1:$G$49,MATCH([1]orders!$D272,[1]products!$A$1:$A$49,0),MATCH([1]orders!K$1,[1]products!$A$1:$G$1,0))</f>
        <v>0.5</v>
      </c>
      <c r="Q272" s="6">
        <f>INDEX([1]products!$A$1:$G$49,MATCH([1]orders!$D272,[1]products!$A$1:$A$49,0),MATCH([1]orders!L$1,[1]products!$A$1:$G$1,0))</f>
        <v>7.29</v>
      </c>
      <c r="R272" s="6">
        <f t="shared" si="20"/>
        <v>7.29</v>
      </c>
      <c r="S272">
        <f>VLOOKUP(L272,Products!$A$2:$G$49,7,0)</f>
        <v>0.80190000000000006</v>
      </c>
      <c r="T272">
        <f t="shared" si="23"/>
        <v>0.80190000000000006</v>
      </c>
      <c r="U272" s="33">
        <f t="shared" si="24"/>
        <v>11</v>
      </c>
    </row>
    <row r="273" spans="1:21" x14ac:dyDescent="0.25">
      <c r="A273" s="1" t="s">
        <v>556</v>
      </c>
      <c r="B273" s="28">
        <v>43971</v>
      </c>
      <c r="C273" s="21" t="str">
        <f t="shared" si="21"/>
        <v>2020</v>
      </c>
      <c r="D273" s="19" t="str">
        <f t="shared" si="22"/>
        <v>May</v>
      </c>
      <c r="E273" s="3" t="s">
        <v>557</v>
      </c>
      <c r="F273" s="3" t="str">
        <f>VLOOKUP(E273,Customers!$A$2:$I$1001,2,0)</f>
        <v>Jasper Sisneros</v>
      </c>
      <c r="G273" s="3" t="str">
        <f>VLOOKUP(E273,Customers!$A$2:$I$1001,3,0)</f>
        <v>jsisneros7j@a8.net</v>
      </c>
      <c r="H273" s="3" t="str">
        <f>VLOOKUP(E273,Customers!$A$2:$I$1001,4,0)</f>
        <v>+1 (919) 448-8909</v>
      </c>
      <c r="I273" s="25" t="str">
        <f>VLOOKUP(E273,Customers!$A$2:$I$1001,6,0)</f>
        <v>Raleigh</v>
      </c>
      <c r="J273" s="25" t="str">
        <f>VLOOKUP(E273,Customers!$A$2:$I$1001,7,0)</f>
        <v>United States</v>
      </c>
      <c r="K273" s="23" t="str">
        <f>VLOOKUP(E273,Customers!$A$2:$I$1001,9,0)</f>
        <v>Yes</v>
      </c>
      <c r="L273" s="4" t="s">
        <v>54</v>
      </c>
      <c r="M273" s="4" t="str">
        <f>VLOOKUP(L273,Products!$A$2:$G$49,2,0)</f>
        <v>Arabica</v>
      </c>
      <c r="N273" s="4" t="str">
        <f>VLOOKUP(L273,Products!$A$2:$G$49,3,0)</f>
        <v>Dark</v>
      </c>
      <c r="O273" s="25">
        <v>4</v>
      </c>
      <c r="P273" s="5">
        <f>INDEX([1]products!$A$1:$G$49,MATCH([1]orders!$D273,[1]products!$A$1:$A$49,0),MATCH([1]orders!K$1,[1]products!$A$1:$G$1,0))</f>
        <v>0.2</v>
      </c>
      <c r="Q273" s="6">
        <f>INDEX([1]products!$A$1:$G$49,MATCH([1]orders!$D273,[1]products!$A$1:$A$49,0),MATCH([1]orders!L$1,[1]products!$A$1:$G$1,0))</f>
        <v>2.9849999999999999</v>
      </c>
      <c r="R273" s="6">
        <f t="shared" si="20"/>
        <v>11.94</v>
      </c>
      <c r="S273">
        <f>VLOOKUP(L273,Products!$A$2:$G$49,7,0)</f>
        <v>0.26865</v>
      </c>
      <c r="T273">
        <f t="shared" si="23"/>
        <v>1.0746</v>
      </c>
      <c r="U273" s="33">
        <f t="shared" si="24"/>
        <v>9.0000000000000018</v>
      </c>
    </row>
    <row r="274" spans="1:21" x14ac:dyDescent="0.25">
      <c r="A274" s="1" t="s">
        <v>558</v>
      </c>
      <c r="B274" s="28">
        <v>44435</v>
      </c>
      <c r="C274" s="21" t="str">
        <f t="shared" si="21"/>
        <v>2021</v>
      </c>
      <c r="D274" s="19" t="str">
        <f t="shared" si="22"/>
        <v>August</v>
      </c>
      <c r="E274" s="3" t="s">
        <v>559</v>
      </c>
      <c r="F274" s="3" t="str">
        <f>VLOOKUP(E274,Customers!$A$2:$I$1001,2,0)</f>
        <v>Zachariah Carlson</v>
      </c>
      <c r="G274" s="3" t="str">
        <f>VLOOKUP(E274,Customers!$A$2:$I$1001,3,0)</f>
        <v>zcarlson7k@bigcartel.com</v>
      </c>
      <c r="H274" s="3" t="str">
        <f>VLOOKUP(E274,Customers!$A$2:$I$1001,4,0)</f>
        <v>+353 (259) 651-4128</v>
      </c>
      <c r="I274" s="25" t="str">
        <f>VLOOKUP(E274,Customers!$A$2:$I$1001,6,0)</f>
        <v>Shankill</v>
      </c>
      <c r="J274" s="25" t="str">
        <f>VLOOKUP(E274,Customers!$A$2:$I$1001,7,0)</f>
        <v>Ireland</v>
      </c>
      <c r="K274" s="23" t="str">
        <f>VLOOKUP(E274,Customers!$A$2:$I$1001,9,0)</f>
        <v>Yes</v>
      </c>
      <c r="L274" s="4" t="s">
        <v>189</v>
      </c>
      <c r="M274" s="4" t="str">
        <f>VLOOKUP(L274,Products!$A$2:$G$49,2,0)</f>
        <v>Robusta</v>
      </c>
      <c r="N274" s="4" t="str">
        <f>VLOOKUP(L274,Products!$A$2:$G$49,3,0)</f>
        <v>Light</v>
      </c>
      <c r="O274" s="25">
        <v>6</v>
      </c>
      <c r="P274" s="5">
        <f>INDEX([1]products!$A$1:$G$49,MATCH([1]orders!$D274,[1]products!$A$1:$A$49,0),MATCH([1]orders!K$1,[1]products!$A$1:$G$1,0))</f>
        <v>1</v>
      </c>
      <c r="Q274" s="6">
        <f>INDEX([1]products!$A$1:$G$49,MATCH([1]orders!$D274,[1]products!$A$1:$A$49,0),MATCH([1]orders!L$1,[1]products!$A$1:$G$1,0))</f>
        <v>11.95</v>
      </c>
      <c r="R274" s="6">
        <f t="shared" si="20"/>
        <v>71.699999999999989</v>
      </c>
      <c r="S274">
        <f>VLOOKUP(L274,Products!$A$2:$G$49,7,0)</f>
        <v>0.71699999999999997</v>
      </c>
      <c r="T274">
        <f t="shared" si="23"/>
        <v>4.3019999999999996</v>
      </c>
      <c r="U274" s="33">
        <f t="shared" si="24"/>
        <v>6.0000000000000009</v>
      </c>
    </row>
    <row r="275" spans="1:21" x14ac:dyDescent="0.25">
      <c r="A275" s="1" t="s">
        <v>560</v>
      </c>
      <c r="B275" s="28">
        <v>44681</v>
      </c>
      <c r="C275" s="21" t="str">
        <f t="shared" si="21"/>
        <v>2022</v>
      </c>
      <c r="D275" s="19" t="str">
        <f t="shared" si="22"/>
        <v>April</v>
      </c>
      <c r="E275" s="3" t="s">
        <v>561</v>
      </c>
      <c r="F275" s="3" t="str">
        <f>VLOOKUP(E275,Customers!$A$2:$I$1001,2,0)</f>
        <v>Warner Maddox</v>
      </c>
      <c r="G275" s="3" t="str">
        <f>VLOOKUP(E275,Customers!$A$2:$I$1001,3,0)</f>
        <v>wmaddox7l@timesonline.co.uk</v>
      </c>
      <c r="H275" s="3" t="str">
        <f>VLOOKUP(E275,Customers!$A$2:$I$1001,4,0)</f>
        <v>+1 (917) 310-4684</v>
      </c>
      <c r="I275" s="25" t="str">
        <f>VLOOKUP(E275,Customers!$A$2:$I$1001,6,0)</f>
        <v>New York City</v>
      </c>
      <c r="J275" s="25" t="str">
        <f>VLOOKUP(E275,Customers!$A$2:$I$1001,7,0)</f>
        <v>United States</v>
      </c>
      <c r="K275" s="23" t="str">
        <f>VLOOKUP(E275,Customers!$A$2:$I$1001,9,0)</f>
        <v>No</v>
      </c>
      <c r="L275" s="4" t="s">
        <v>115</v>
      </c>
      <c r="M275" s="4" t="str">
        <f>VLOOKUP(L275,Products!$A$2:$G$49,2,0)</f>
        <v>Arabica</v>
      </c>
      <c r="N275" s="4" t="str">
        <f>VLOOKUP(L275,Products!$A$2:$G$49,3,0)</f>
        <v>Light</v>
      </c>
      <c r="O275" s="25">
        <v>2</v>
      </c>
      <c r="P275" s="5">
        <f>INDEX([1]products!$A$1:$G$49,MATCH([1]orders!$D275,[1]products!$A$1:$A$49,0),MATCH([1]orders!K$1,[1]products!$A$1:$G$1,0))</f>
        <v>0.2</v>
      </c>
      <c r="Q275" s="6">
        <f>INDEX([1]products!$A$1:$G$49,MATCH([1]orders!$D275,[1]products!$A$1:$A$49,0),MATCH([1]orders!L$1,[1]products!$A$1:$G$1,0))</f>
        <v>3.8849999999999998</v>
      </c>
      <c r="R275" s="6">
        <f t="shared" si="20"/>
        <v>7.77</v>
      </c>
      <c r="S275">
        <f>VLOOKUP(L275,Products!$A$2:$G$49,7,0)</f>
        <v>0.34964999999999996</v>
      </c>
      <c r="T275">
        <f t="shared" si="23"/>
        <v>0.69929999999999992</v>
      </c>
      <c r="U275" s="33">
        <f t="shared" si="24"/>
        <v>9</v>
      </c>
    </row>
    <row r="276" spans="1:21" x14ac:dyDescent="0.25">
      <c r="A276" s="1" t="s">
        <v>562</v>
      </c>
      <c r="B276" s="28">
        <v>43985</v>
      </c>
      <c r="C276" s="21" t="str">
        <f t="shared" si="21"/>
        <v>2020</v>
      </c>
      <c r="D276" s="19" t="str">
        <f t="shared" si="22"/>
        <v>June</v>
      </c>
      <c r="E276" s="3" t="s">
        <v>563</v>
      </c>
      <c r="F276" s="3" t="str">
        <f>VLOOKUP(E276,Customers!$A$2:$I$1001,2,0)</f>
        <v>Donnie Hedlestone</v>
      </c>
      <c r="G276" s="3" t="str">
        <f>VLOOKUP(E276,Customers!$A$2:$I$1001,3,0)</f>
        <v>dhedlestone7m@craigslist.org</v>
      </c>
      <c r="H276" s="3" t="str">
        <f>VLOOKUP(E276,Customers!$A$2:$I$1001,4,0)</f>
        <v>+1 (203) 768-3169</v>
      </c>
      <c r="I276" s="25" t="str">
        <f>VLOOKUP(E276,Customers!$A$2:$I$1001,6,0)</f>
        <v>Stamford</v>
      </c>
      <c r="J276" s="25" t="str">
        <f>VLOOKUP(E276,Customers!$A$2:$I$1001,7,0)</f>
        <v>United States</v>
      </c>
      <c r="K276" s="23" t="str">
        <f>VLOOKUP(E276,Customers!$A$2:$I$1001,9,0)</f>
        <v>No</v>
      </c>
      <c r="L276" s="4" t="s">
        <v>171</v>
      </c>
      <c r="M276" s="4" t="str">
        <f>VLOOKUP(L276,Products!$A$2:$G$49,2,0)</f>
        <v>Arabica</v>
      </c>
      <c r="N276" s="4" t="str">
        <f>VLOOKUP(L276,Products!$A$2:$G$49,3,0)</f>
        <v>Medium</v>
      </c>
      <c r="O276" s="25">
        <v>1</v>
      </c>
      <c r="P276" s="5">
        <f>INDEX([1]products!$A$1:$G$49,MATCH([1]orders!$D276,[1]products!$A$1:$A$49,0),MATCH([1]orders!K$1,[1]products!$A$1:$G$1,0))</f>
        <v>2.5</v>
      </c>
      <c r="Q276" s="6">
        <f>INDEX([1]products!$A$1:$G$49,MATCH([1]orders!$D276,[1]products!$A$1:$A$49,0),MATCH([1]orders!L$1,[1]products!$A$1:$G$1,0))</f>
        <v>25.874999999999996</v>
      </c>
      <c r="R276" s="6">
        <f t="shared" si="20"/>
        <v>25.874999999999996</v>
      </c>
      <c r="S276">
        <f>VLOOKUP(L276,Products!$A$2:$G$49,7,0)</f>
        <v>2.3287499999999994</v>
      </c>
      <c r="T276">
        <f t="shared" si="23"/>
        <v>2.3287499999999994</v>
      </c>
      <c r="U276" s="33">
        <f t="shared" si="24"/>
        <v>9</v>
      </c>
    </row>
    <row r="277" spans="1:21" x14ac:dyDescent="0.25">
      <c r="A277" s="1" t="s">
        <v>564</v>
      </c>
      <c r="B277" s="28">
        <v>44725</v>
      </c>
      <c r="C277" s="21" t="str">
        <f t="shared" si="21"/>
        <v>2022</v>
      </c>
      <c r="D277" s="19" t="str">
        <f t="shared" si="22"/>
        <v>June</v>
      </c>
      <c r="E277" s="3" t="s">
        <v>565</v>
      </c>
      <c r="F277" s="3" t="str">
        <f>VLOOKUP(E277,Customers!$A$2:$I$1001,2,0)</f>
        <v>Teddi Crowthe</v>
      </c>
      <c r="G277" s="3" t="str">
        <f>VLOOKUP(E277,Customers!$A$2:$I$1001,3,0)</f>
        <v>tcrowthe7n@europa.eu</v>
      </c>
      <c r="H277" s="3" t="str">
        <f>VLOOKUP(E277,Customers!$A$2:$I$1001,4,0)</f>
        <v>+1 (419) 561-6809</v>
      </c>
      <c r="I277" s="25" t="str">
        <f>VLOOKUP(E277,Customers!$A$2:$I$1001,6,0)</f>
        <v>Toledo</v>
      </c>
      <c r="J277" s="25" t="str">
        <f>VLOOKUP(E277,Customers!$A$2:$I$1001,7,0)</f>
        <v>United States</v>
      </c>
      <c r="K277" s="23" t="str">
        <f>VLOOKUP(E277,Customers!$A$2:$I$1001,9,0)</f>
        <v>No</v>
      </c>
      <c r="L277" s="4" t="s">
        <v>30</v>
      </c>
      <c r="M277" s="4" t="str">
        <f>VLOOKUP(L277,Products!$A$2:$G$49,2,0)</f>
        <v>Excelsa</v>
      </c>
      <c r="N277" s="4" t="str">
        <f>VLOOKUP(L277,Products!$A$2:$G$49,3,0)</f>
        <v>Light</v>
      </c>
      <c r="O277" s="25">
        <v>6</v>
      </c>
      <c r="P277" s="5">
        <f>INDEX([1]products!$A$1:$G$49,MATCH([1]orders!$D277,[1]products!$A$1:$A$49,0),MATCH([1]orders!K$1,[1]products!$A$1:$G$1,0))</f>
        <v>2.5</v>
      </c>
      <c r="Q277" s="6">
        <f>INDEX([1]products!$A$1:$G$49,MATCH([1]orders!$D277,[1]products!$A$1:$A$49,0),MATCH([1]orders!L$1,[1]products!$A$1:$G$1,0))</f>
        <v>34.154999999999994</v>
      </c>
      <c r="R277" s="6">
        <f t="shared" si="20"/>
        <v>204.92999999999995</v>
      </c>
      <c r="S277">
        <f>VLOOKUP(L277,Products!$A$2:$G$49,7,0)</f>
        <v>3.7570499999999996</v>
      </c>
      <c r="T277">
        <f t="shared" si="23"/>
        <v>22.542299999999997</v>
      </c>
      <c r="U277" s="33">
        <f t="shared" si="24"/>
        <v>11.000000000000002</v>
      </c>
    </row>
    <row r="278" spans="1:21" x14ac:dyDescent="0.25">
      <c r="A278" s="1" t="s">
        <v>566</v>
      </c>
      <c r="B278" s="28">
        <v>43992</v>
      </c>
      <c r="C278" s="21" t="str">
        <f t="shared" si="21"/>
        <v>2020</v>
      </c>
      <c r="D278" s="19" t="str">
        <f t="shared" si="22"/>
        <v>June</v>
      </c>
      <c r="E278" s="3" t="s">
        <v>567</v>
      </c>
      <c r="F278" s="3" t="str">
        <f>VLOOKUP(E278,Customers!$A$2:$I$1001,2,0)</f>
        <v>Dorelia Bury</v>
      </c>
      <c r="G278" s="3" t="str">
        <f>VLOOKUP(E278,Customers!$A$2:$I$1001,3,0)</f>
        <v>dbury7o@tinyurl.com</v>
      </c>
      <c r="H278" s="3" t="str">
        <f>VLOOKUP(E278,Customers!$A$2:$I$1001,4,0)</f>
        <v>+353 (262) 842-7103</v>
      </c>
      <c r="I278" s="25" t="str">
        <f>VLOOKUP(E278,Customers!$A$2:$I$1001,6,0)</f>
        <v>Castleblayney</v>
      </c>
      <c r="J278" s="25" t="str">
        <f>VLOOKUP(E278,Customers!$A$2:$I$1001,7,0)</f>
        <v>Ireland</v>
      </c>
      <c r="K278" s="23" t="str">
        <f>VLOOKUP(E278,Customers!$A$2:$I$1001,9,0)</f>
        <v>Yes</v>
      </c>
      <c r="L278" s="4" t="s">
        <v>10</v>
      </c>
      <c r="M278" s="4" t="str">
        <f>VLOOKUP(L278,Products!$A$2:$G$49,2,0)</f>
        <v>Robusta</v>
      </c>
      <c r="N278" s="4" t="str">
        <f>VLOOKUP(L278,Products!$A$2:$G$49,3,0)</f>
        <v>Light</v>
      </c>
      <c r="O278" s="25">
        <v>4</v>
      </c>
      <c r="P278" s="5">
        <f>INDEX([1]products!$A$1:$G$49,MATCH([1]orders!$D278,[1]products!$A$1:$A$49,0),MATCH([1]orders!K$1,[1]products!$A$1:$G$1,0))</f>
        <v>2.5</v>
      </c>
      <c r="Q278" s="6">
        <f>INDEX([1]products!$A$1:$G$49,MATCH([1]orders!$D278,[1]products!$A$1:$A$49,0),MATCH([1]orders!L$1,[1]products!$A$1:$G$1,0))</f>
        <v>27.484999999999996</v>
      </c>
      <c r="R278" s="6">
        <f t="shared" si="20"/>
        <v>109.93999999999998</v>
      </c>
      <c r="S278">
        <f>VLOOKUP(L278,Products!$A$2:$G$49,7,0)</f>
        <v>1.6490999999999998</v>
      </c>
      <c r="T278">
        <f t="shared" si="23"/>
        <v>6.5963999999999992</v>
      </c>
      <c r="U278" s="33">
        <f t="shared" si="24"/>
        <v>6.0000000000000009</v>
      </c>
    </row>
    <row r="279" spans="1:21" x14ac:dyDescent="0.25">
      <c r="A279" s="1" t="s">
        <v>568</v>
      </c>
      <c r="B279" s="28">
        <v>44183</v>
      </c>
      <c r="C279" s="21" t="str">
        <f t="shared" si="21"/>
        <v>2020</v>
      </c>
      <c r="D279" s="19" t="str">
        <f t="shared" si="22"/>
        <v>December</v>
      </c>
      <c r="E279" s="3" t="s">
        <v>569</v>
      </c>
      <c r="F279" s="3" t="str">
        <f>VLOOKUP(E279,Customers!$A$2:$I$1001,2,0)</f>
        <v>Gussy Broadbear</v>
      </c>
      <c r="G279" s="3" t="str">
        <f>VLOOKUP(E279,Customers!$A$2:$I$1001,3,0)</f>
        <v>gbroadbear7p@omniture.com</v>
      </c>
      <c r="H279" s="3" t="str">
        <f>VLOOKUP(E279,Customers!$A$2:$I$1001,4,0)</f>
        <v>+1 (573) 758-1104</v>
      </c>
      <c r="I279" s="25" t="str">
        <f>VLOOKUP(E279,Customers!$A$2:$I$1001,6,0)</f>
        <v>Columbia</v>
      </c>
      <c r="J279" s="25" t="str">
        <f>VLOOKUP(E279,Customers!$A$2:$I$1001,7,0)</f>
        <v>United States</v>
      </c>
      <c r="K279" s="23" t="str">
        <f>VLOOKUP(E279,Customers!$A$2:$I$1001,9,0)</f>
        <v>No</v>
      </c>
      <c r="L279" s="4" t="s">
        <v>137</v>
      </c>
      <c r="M279" s="4" t="str">
        <f>VLOOKUP(L279,Products!$A$2:$G$49,2,0)</f>
        <v>Excelsa</v>
      </c>
      <c r="N279" s="4" t="str">
        <f>VLOOKUP(L279,Products!$A$2:$G$49,3,0)</f>
        <v>Light</v>
      </c>
      <c r="O279" s="25">
        <v>6</v>
      </c>
      <c r="P279" s="5">
        <f>INDEX([1]products!$A$1:$G$49,MATCH([1]orders!$D279,[1]products!$A$1:$A$49,0),MATCH([1]orders!K$1,[1]products!$A$1:$G$1,0))</f>
        <v>1</v>
      </c>
      <c r="Q279" s="6">
        <f>INDEX([1]products!$A$1:$G$49,MATCH([1]orders!$D279,[1]products!$A$1:$A$49,0),MATCH([1]orders!L$1,[1]products!$A$1:$G$1,0))</f>
        <v>14.85</v>
      </c>
      <c r="R279" s="6">
        <f t="shared" si="20"/>
        <v>89.1</v>
      </c>
      <c r="S279">
        <f>VLOOKUP(L279,Products!$A$2:$G$49,7,0)</f>
        <v>1.6335</v>
      </c>
      <c r="T279">
        <f t="shared" si="23"/>
        <v>9.8010000000000002</v>
      </c>
      <c r="U279" s="33">
        <f t="shared" si="24"/>
        <v>11.000000000000002</v>
      </c>
    </row>
    <row r="280" spans="1:21" x14ac:dyDescent="0.25">
      <c r="A280" s="1" t="s">
        <v>570</v>
      </c>
      <c r="B280" s="28">
        <v>43708</v>
      </c>
      <c r="C280" s="21" t="str">
        <f t="shared" si="21"/>
        <v>2019</v>
      </c>
      <c r="D280" s="19" t="str">
        <f t="shared" si="22"/>
        <v>August</v>
      </c>
      <c r="E280" s="3" t="s">
        <v>571</v>
      </c>
      <c r="F280" s="3" t="str">
        <f>VLOOKUP(E280,Customers!$A$2:$I$1001,2,0)</f>
        <v>Emlynne Palfrey</v>
      </c>
      <c r="G280" s="3" t="str">
        <f>VLOOKUP(E280,Customers!$A$2:$I$1001,3,0)</f>
        <v>epalfrey7q@devhub.com</v>
      </c>
      <c r="H280" s="3" t="str">
        <f>VLOOKUP(E280,Customers!$A$2:$I$1001,4,0)</f>
        <v>+1 (260) 500-7893</v>
      </c>
      <c r="I280" s="25" t="str">
        <f>VLOOKUP(E280,Customers!$A$2:$I$1001,6,0)</f>
        <v>Fort Wayne</v>
      </c>
      <c r="J280" s="25" t="str">
        <f>VLOOKUP(E280,Customers!$A$2:$I$1001,7,0)</f>
        <v>United States</v>
      </c>
      <c r="K280" s="23" t="str">
        <f>VLOOKUP(E280,Customers!$A$2:$I$1001,9,0)</f>
        <v>Yes</v>
      </c>
      <c r="L280" s="4" t="s">
        <v>115</v>
      </c>
      <c r="M280" s="4" t="str">
        <f>VLOOKUP(L280,Products!$A$2:$G$49,2,0)</f>
        <v>Arabica</v>
      </c>
      <c r="N280" s="4" t="str">
        <f>VLOOKUP(L280,Products!$A$2:$G$49,3,0)</f>
        <v>Light</v>
      </c>
      <c r="O280" s="25">
        <v>2</v>
      </c>
      <c r="P280" s="5">
        <f>INDEX([1]products!$A$1:$G$49,MATCH([1]orders!$D280,[1]products!$A$1:$A$49,0),MATCH([1]orders!K$1,[1]products!$A$1:$G$1,0))</f>
        <v>0.2</v>
      </c>
      <c r="Q280" s="6">
        <f>INDEX([1]products!$A$1:$G$49,MATCH([1]orders!$D280,[1]products!$A$1:$A$49,0),MATCH([1]orders!L$1,[1]products!$A$1:$G$1,0))</f>
        <v>3.8849999999999998</v>
      </c>
      <c r="R280" s="6">
        <f t="shared" si="20"/>
        <v>7.77</v>
      </c>
      <c r="S280">
        <f>VLOOKUP(L280,Products!$A$2:$G$49,7,0)</f>
        <v>0.34964999999999996</v>
      </c>
      <c r="T280">
        <f t="shared" si="23"/>
        <v>0.69929999999999992</v>
      </c>
      <c r="U280" s="33">
        <f t="shared" si="24"/>
        <v>9</v>
      </c>
    </row>
    <row r="281" spans="1:21" x14ac:dyDescent="0.25">
      <c r="A281" s="1" t="s">
        <v>572</v>
      </c>
      <c r="B281" s="28">
        <v>43521</v>
      </c>
      <c r="C281" s="21" t="str">
        <f t="shared" si="21"/>
        <v>2019</v>
      </c>
      <c r="D281" s="19" t="str">
        <f t="shared" si="22"/>
        <v>February</v>
      </c>
      <c r="E281" s="3" t="s">
        <v>573</v>
      </c>
      <c r="F281" s="3" t="str">
        <f>VLOOKUP(E281,Customers!$A$2:$I$1001,2,0)</f>
        <v>Parsifal Metrick</v>
      </c>
      <c r="G281" s="3" t="str">
        <f>VLOOKUP(E281,Customers!$A$2:$I$1001,3,0)</f>
        <v>pmetrick7r@rakuten.co.jp</v>
      </c>
      <c r="H281" s="3" t="str">
        <f>VLOOKUP(E281,Customers!$A$2:$I$1001,4,0)</f>
        <v>+1 (314) 572-2164</v>
      </c>
      <c r="I281" s="25" t="str">
        <f>VLOOKUP(E281,Customers!$A$2:$I$1001,6,0)</f>
        <v>Saint Louis</v>
      </c>
      <c r="J281" s="25" t="str">
        <f>VLOOKUP(E281,Customers!$A$2:$I$1001,7,0)</f>
        <v>United States</v>
      </c>
      <c r="K281" s="23" t="str">
        <f>VLOOKUP(E281,Customers!$A$2:$I$1001,9,0)</f>
        <v>Yes</v>
      </c>
      <c r="L281" s="4" t="s">
        <v>197</v>
      </c>
      <c r="M281" s="4" t="str">
        <f>VLOOKUP(L281,Products!$A$2:$G$49,2,0)</f>
        <v>Liberica</v>
      </c>
      <c r="N281" s="4" t="str">
        <f>VLOOKUP(L281,Products!$A$2:$G$49,3,0)</f>
        <v>Medium</v>
      </c>
      <c r="O281" s="25">
        <v>1</v>
      </c>
      <c r="P281" s="5">
        <f>INDEX([1]products!$A$1:$G$49,MATCH([1]orders!$D281,[1]products!$A$1:$A$49,0),MATCH([1]orders!K$1,[1]products!$A$1:$G$1,0))</f>
        <v>2.5</v>
      </c>
      <c r="Q281" s="6">
        <f>INDEX([1]products!$A$1:$G$49,MATCH([1]orders!$D281,[1]products!$A$1:$A$49,0),MATCH([1]orders!L$1,[1]products!$A$1:$G$1,0))</f>
        <v>33.464999999999996</v>
      </c>
      <c r="R281" s="6">
        <f t="shared" si="20"/>
        <v>33.464999999999996</v>
      </c>
      <c r="S281">
        <f>VLOOKUP(L281,Products!$A$2:$G$49,7,0)</f>
        <v>4.3504499999999995</v>
      </c>
      <c r="T281">
        <f t="shared" si="23"/>
        <v>4.3504499999999995</v>
      </c>
      <c r="U281" s="33">
        <f t="shared" si="24"/>
        <v>13</v>
      </c>
    </row>
    <row r="282" spans="1:21" x14ac:dyDescent="0.25">
      <c r="A282" s="1" t="s">
        <v>574</v>
      </c>
      <c r="B282" s="28">
        <v>44234</v>
      </c>
      <c r="C282" s="21" t="str">
        <f t="shared" si="21"/>
        <v>2021</v>
      </c>
      <c r="D282" s="19" t="str">
        <f t="shared" si="22"/>
        <v>February</v>
      </c>
      <c r="E282" s="3" t="s">
        <v>575</v>
      </c>
      <c r="F282" s="3" t="str">
        <f>VLOOKUP(E282,Customers!$A$2:$I$1001,2,0)</f>
        <v>Christopher Grieveson</v>
      </c>
      <c r="G282" s="3" t="str">
        <f>VLOOKUP(E282,Customers!$A$2:$I$1001,3,0)</f>
        <v>UNKNOWN</v>
      </c>
      <c r="H282" s="3" t="str">
        <f>VLOOKUP(E282,Customers!$A$2:$I$1001,4,0)</f>
        <v>+1 (208) 826-3825</v>
      </c>
      <c r="I282" s="25" t="str">
        <f>VLOOKUP(E282,Customers!$A$2:$I$1001,6,0)</f>
        <v>Portland</v>
      </c>
      <c r="J282" s="25" t="str">
        <f>VLOOKUP(E282,Customers!$A$2:$I$1001,7,0)</f>
        <v>United States</v>
      </c>
      <c r="K282" s="23" t="str">
        <f>VLOOKUP(E282,Customers!$A$2:$I$1001,9,0)</f>
        <v>Yes</v>
      </c>
      <c r="L282" s="4" t="s">
        <v>3</v>
      </c>
      <c r="M282" s="4" t="str">
        <f>VLOOKUP(L282,Products!$A$2:$G$49,2,0)</f>
        <v>Excelsa</v>
      </c>
      <c r="N282" s="4" t="str">
        <f>VLOOKUP(L282,Products!$A$2:$G$49,3,0)</f>
        <v>Medium</v>
      </c>
      <c r="O282" s="25">
        <v>5</v>
      </c>
      <c r="P282" s="5">
        <f>INDEX([1]products!$A$1:$G$49,MATCH([1]orders!$D282,[1]products!$A$1:$A$49,0),MATCH([1]orders!K$1,[1]products!$A$1:$G$1,0))</f>
        <v>0.5</v>
      </c>
      <c r="Q282" s="6">
        <f>INDEX([1]products!$A$1:$G$49,MATCH([1]orders!$D282,[1]products!$A$1:$A$49,0),MATCH([1]orders!L$1,[1]products!$A$1:$G$1,0))</f>
        <v>8.25</v>
      </c>
      <c r="R282" s="6">
        <f t="shared" si="20"/>
        <v>41.25</v>
      </c>
      <c r="S282">
        <f>VLOOKUP(L282,Products!$A$2:$G$49,7,0)</f>
        <v>0.90749999999999997</v>
      </c>
      <c r="T282">
        <f t="shared" si="23"/>
        <v>4.5374999999999996</v>
      </c>
      <c r="U282" s="33">
        <f t="shared" si="24"/>
        <v>10.999999999999998</v>
      </c>
    </row>
    <row r="283" spans="1:21" x14ac:dyDescent="0.25">
      <c r="A283" s="1" t="s">
        <v>576</v>
      </c>
      <c r="B283" s="28">
        <v>44210</v>
      </c>
      <c r="C283" s="21" t="str">
        <f t="shared" si="21"/>
        <v>2021</v>
      </c>
      <c r="D283" s="19" t="str">
        <f t="shared" si="22"/>
        <v>January</v>
      </c>
      <c r="E283" s="3" t="s">
        <v>577</v>
      </c>
      <c r="F283" s="3" t="str">
        <f>VLOOKUP(E283,Customers!$A$2:$I$1001,2,0)</f>
        <v>Karlan Karby</v>
      </c>
      <c r="G283" s="3" t="str">
        <f>VLOOKUP(E283,Customers!$A$2:$I$1001,3,0)</f>
        <v>kkarby7t@sbwire.com</v>
      </c>
      <c r="H283" s="3" t="str">
        <f>VLOOKUP(E283,Customers!$A$2:$I$1001,4,0)</f>
        <v>+1 (303) 516-4935</v>
      </c>
      <c r="I283" s="25" t="str">
        <f>VLOOKUP(E283,Customers!$A$2:$I$1001,6,0)</f>
        <v>Boulder</v>
      </c>
      <c r="J283" s="25" t="str">
        <f>VLOOKUP(E283,Customers!$A$2:$I$1001,7,0)</f>
        <v>United States</v>
      </c>
      <c r="K283" s="23" t="str">
        <f>VLOOKUP(E283,Customers!$A$2:$I$1001,9,0)</f>
        <v>Yes</v>
      </c>
      <c r="L283" s="4" t="s">
        <v>137</v>
      </c>
      <c r="M283" s="4" t="str">
        <f>VLOOKUP(L283,Products!$A$2:$G$49,2,0)</f>
        <v>Excelsa</v>
      </c>
      <c r="N283" s="4" t="str">
        <f>VLOOKUP(L283,Products!$A$2:$G$49,3,0)</f>
        <v>Light</v>
      </c>
      <c r="O283" s="25">
        <v>4</v>
      </c>
      <c r="P283" s="5">
        <f>INDEX([1]products!$A$1:$G$49,MATCH([1]orders!$D283,[1]products!$A$1:$A$49,0),MATCH([1]orders!K$1,[1]products!$A$1:$G$1,0))</f>
        <v>1</v>
      </c>
      <c r="Q283" s="6">
        <f>INDEX([1]products!$A$1:$G$49,MATCH([1]orders!$D283,[1]products!$A$1:$A$49,0),MATCH([1]orders!L$1,[1]products!$A$1:$G$1,0))</f>
        <v>14.85</v>
      </c>
      <c r="R283" s="6">
        <f t="shared" si="20"/>
        <v>59.4</v>
      </c>
      <c r="S283">
        <f>VLOOKUP(L283,Products!$A$2:$G$49,7,0)</f>
        <v>1.6335</v>
      </c>
      <c r="T283">
        <f t="shared" si="23"/>
        <v>6.5339999999999998</v>
      </c>
      <c r="U283" s="33">
        <f t="shared" si="24"/>
        <v>11</v>
      </c>
    </row>
    <row r="284" spans="1:21" x14ac:dyDescent="0.25">
      <c r="A284" s="1" t="s">
        <v>578</v>
      </c>
      <c r="B284" s="28">
        <v>43520</v>
      </c>
      <c r="C284" s="21" t="str">
        <f t="shared" si="21"/>
        <v>2019</v>
      </c>
      <c r="D284" s="19" t="str">
        <f t="shared" si="22"/>
        <v>February</v>
      </c>
      <c r="E284" s="3" t="s">
        <v>579</v>
      </c>
      <c r="F284" s="3" t="str">
        <f>VLOOKUP(E284,Customers!$A$2:$I$1001,2,0)</f>
        <v>Flory Crumpe</v>
      </c>
      <c r="G284" s="3" t="str">
        <f>VLOOKUP(E284,Customers!$A$2:$I$1001,3,0)</f>
        <v>fcrumpe7u@ftc.gov</v>
      </c>
      <c r="H284" s="3" t="str">
        <f>VLOOKUP(E284,Customers!$A$2:$I$1001,4,0)</f>
        <v>+44 (564) 507-1056</v>
      </c>
      <c r="I284" s="25" t="str">
        <f>VLOOKUP(E284,Customers!$A$2:$I$1001,6,0)</f>
        <v>Norton</v>
      </c>
      <c r="J284" s="25" t="str">
        <f>VLOOKUP(E284,Customers!$A$2:$I$1001,7,0)</f>
        <v>United Kingdom</v>
      </c>
      <c r="K284" s="23" t="str">
        <f>VLOOKUP(E284,Customers!$A$2:$I$1001,9,0)</f>
        <v>No</v>
      </c>
      <c r="L284" s="4" t="s">
        <v>192</v>
      </c>
      <c r="M284" s="4" t="str">
        <f>VLOOKUP(L284,Products!$A$2:$G$49,2,0)</f>
        <v>Arabica</v>
      </c>
      <c r="N284" s="4" t="str">
        <f>VLOOKUP(L284,Products!$A$2:$G$49,3,0)</f>
        <v>Light</v>
      </c>
      <c r="O284" s="25">
        <v>1</v>
      </c>
      <c r="P284" s="5">
        <f>INDEX([1]products!$A$1:$G$49,MATCH([1]orders!$D284,[1]products!$A$1:$A$49,0),MATCH([1]orders!K$1,[1]products!$A$1:$G$1,0))</f>
        <v>0.5</v>
      </c>
      <c r="Q284" s="6">
        <f>INDEX([1]products!$A$1:$G$49,MATCH([1]orders!$D284,[1]products!$A$1:$A$49,0),MATCH([1]orders!L$1,[1]products!$A$1:$G$1,0))</f>
        <v>7.77</v>
      </c>
      <c r="R284" s="6">
        <f t="shared" si="20"/>
        <v>7.77</v>
      </c>
      <c r="S284">
        <f>VLOOKUP(L284,Products!$A$2:$G$49,7,0)</f>
        <v>0.69929999999999992</v>
      </c>
      <c r="T284">
        <f t="shared" si="23"/>
        <v>0.69929999999999992</v>
      </c>
      <c r="U284" s="33">
        <f t="shared" si="24"/>
        <v>9</v>
      </c>
    </row>
    <row r="285" spans="1:21" x14ac:dyDescent="0.25">
      <c r="A285" s="1" t="s">
        <v>580</v>
      </c>
      <c r="B285" s="28">
        <v>43639</v>
      </c>
      <c r="C285" s="21" t="str">
        <f t="shared" si="21"/>
        <v>2019</v>
      </c>
      <c r="D285" s="19" t="str">
        <f t="shared" si="22"/>
        <v>June</v>
      </c>
      <c r="E285" s="3" t="s">
        <v>581</v>
      </c>
      <c r="F285" s="3" t="str">
        <f>VLOOKUP(E285,Customers!$A$2:$I$1001,2,0)</f>
        <v>Amity Chatto</v>
      </c>
      <c r="G285" s="3" t="str">
        <f>VLOOKUP(E285,Customers!$A$2:$I$1001,3,0)</f>
        <v>achatto7v@sakura.ne.jp</v>
      </c>
      <c r="H285" s="3" t="str">
        <f>VLOOKUP(E285,Customers!$A$2:$I$1001,4,0)</f>
        <v>+44 (522) 740-3583</v>
      </c>
      <c r="I285" s="25" t="str">
        <f>VLOOKUP(E285,Customers!$A$2:$I$1001,6,0)</f>
        <v>Sheffield</v>
      </c>
      <c r="J285" s="25" t="str">
        <f>VLOOKUP(E285,Customers!$A$2:$I$1001,7,0)</f>
        <v>United Kingdom</v>
      </c>
      <c r="K285" s="23" t="str">
        <f>VLOOKUP(E285,Customers!$A$2:$I$1001,9,0)</f>
        <v>Yes</v>
      </c>
      <c r="L285" s="4" t="s">
        <v>146</v>
      </c>
      <c r="M285" s="4" t="str">
        <f>VLOOKUP(L285,Products!$A$2:$G$49,2,0)</f>
        <v>Robusta</v>
      </c>
      <c r="N285" s="4" t="str">
        <f>VLOOKUP(L285,Products!$A$2:$G$49,3,0)</f>
        <v>Dark</v>
      </c>
      <c r="O285" s="25">
        <v>1</v>
      </c>
      <c r="P285" s="5">
        <f>INDEX([1]products!$A$1:$G$49,MATCH([1]orders!$D285,[1]products!$A$1:$A$49,0),MATCH([1]orders!K$1,[1]products!$A$1:$G$1,0))</f>
        <v>0.5</v>
      </c>
      <c r="Q285" s="6">
        <f>INDEX([1]products!$A$1:$G$49,MATCH([1]orders!$D285,[1]products!$A$1:$A$49,0),MATCH([1]orders!L$1,[1]products!$A$1:$G$1,0))</f>
        <v>5.3699999999999992</v>
      </c>
      <c r="R285" s="6">
        <f t="shared" si="20"/>
        <v>5.3699999999999992</v>
      </c>
      <c r="S285">
        <f>VLOOKUP(L285,Products!$A$2:$G$49,7,0)</f>
        <v>0.32219999999999993</v>
      </c>
      <c r="T285">
        <f t="shared" si="23"/>
        <v>0.32219999999999993</v>
      </c>
      <c r="U285" s="33">
        <f t="shared" si="24"/>
        <v>6</v>
      </c>
    </row>
    <row r="286" spans="1:21" x14ac:dyDescent="0.25">
      <c r="A286" s="1" t="s">
        <v>582</v>
      </c>
      <c r="B286" s="28">
        <v>43960</v>
      </c>
      <c r="C286" s="21" t="str">
        <f t="shared" si="21"/>
        <v>2020</v>
      </c>
      <c r="D286" s="19" t="str">
        <f t="shared" si="22"/>
        <v>May</v>
      </c>
      <c r="E286" s="3" t="s">
        <v>583</v>
      </c>
      <c r="F286" s="3" t="str">
        <f>VLOOKUP(E286,Customers!$A$2:$I$1001,2,0)</f>
        <v>Nanine McCarthy</v>
      </c>
      <c r="G286" s="3" t="str">
        <f>VLOOKUP(E286,Customers!$A$2:$I$1001,3,0)</f>
        <v>UNKNOWN</v>
      </c>
      <c r="H286" s="3" t="str">
        <f>VLOOKUP(E286,Customers!$A$2:$I$1001,4,0)</f>
        <v>+1 (502) 913-2943</v>
      </c>
      <c r="I286" s="25" t="str">
        <f>VLOOKUP(E286,Customers!$A$2:$I$1001,6,0)</f>
        <v>Louisville</v>
      </c>
      <c r="J286" s="25" t="str">
        <f>VLOOKUP(E286,Customers!$A$2:$I$1001,7,0)</f>
        <v>United States</v>
      </c>
      <c r="K286" s="23" t="str">
        <f>VLOOKUP(E286,Customers!$A$2:$I$1001,9,0)</f>
        <v>No</v>
      </c>
      <c r="L286" s="4" t="s">
        <v>112</v>
      </c>
      <c r="M286" s="4" t="str">
        <f>VLOOKUP(L286,Products!$A$2:$G$49,2,0)</f>
        <v>Excelsa</v>
      </c>
      <c r="N286" s="4" t="str">
        <f>VLOOKUP(L286,Products!$A$2:$G$49,3,0)</f>
        <v>Medium</v>
      </c>
      <c r="O286" s="25">
        <v>3</v>
      </c>
      <c r="P286" s="5">
        <f>INDEX([1]products!$A$1:$G$49,MATCH([1]orders!$D286,[1]products!$A$1:$A$49,0),MATCH([1]orders!K$1,[1]products!$A$1:$G$1,0))</f>
        <v>2.5</v>
      </c>
      <c r="Q286" s="6">
        <f>INDEX([1]products!$A$1:$G$49,MATCH([1]orders!$D286,[1]products!$A$1:$A$49,0),MATCH([1]orders!L$1,[1]products!$A$1:$G$1,0))</f>
        <v>31.624999999999996</v>
      </c>
      <c r="R286" s="6">
        <f t="shared" si="20"/>
        <v>94.874999999999986</v>
      </c>
      <c r="S286">
        <f>VLOOKUP(L286,Products!$A$2:$G$49,7,0)</f>
        <v>3.4787499999999998</v>
      </c>
      <c r="T286">
        <f t="shared" si="23"/>
        <v>10.436249999999999</v>
      </c>
      <c r="U286" s="33">
        <f t="shared" si="24"/>
        <v>11.000000000000002</v>
      </c>
    </row>
    <row r="287" spans="1:21" x14ac:dyDescent="0.25">
      <c r="A287" s="1" t="s">
        <v>584</v>
      </c>
      <c r="B287" s="28">
        <v>44030</v>
      </c>
      <c r="C287" s="21" t="str">
        <f t="shared" si="21"/>
        <v>2020</v>
      </c>
      <c r="D287" s="19" t="str">
        <f t="shared" si="22"/>
        <v>July</v>
      </c>
      <c r="E287" s="3" t="s">
        <v>585</v>
      </c>
      <c r="F287" s="3" t="str">
        <f>VLOOKUP(E287,Customers!$A$2:$I$1001,2,0)</f>
        <v>Lyndsey Megany</v>
      </c>
      <c r="G287" s="3" t="str">
        <f>VLOOKUP(E287,Customers!$A$2:$I$1001,3,0)</f>
        <v>UNKNOWN</v>
      </c>
      <c r="H287" s="3" t="str">
        <f>VLOOKUP(E287,Customers!$A$2:$I$1001,4,0)</f>
        <v>+1 (716) 790-4379</v>
      </c>
      <c r="I287" s="25" t="str">
        <f>VLOOKUP(E287,Customers!$A$2:$I$1001,6,0)</f>
        <v>Buffalo</v>
      </c>
      <c r="J287" s="25" t="str">
        <f>VLOOKUP(E287,Customers!$A$2:$I$1001,7,0)</f>
        <v>United States</v>
      </c>
      <c r="K287" s="23" t="str">
        <f>VLOOKUP(E287,Customers!$A$2:$I$1001,9,0)</f>
        <v>No</v>
      </c>
      <c r="L287" s="4" t="s">
        <v>104</v>
      </c>
      <c r="M287" s="4" t="str">
        <f>VLOOKUP(L287,Products!$A$2:$G$49,2,0)</f>
        <v>Liberica</v>
      </c>
      <c r="N287" s="4" t="str">
        <f>VLOOKUP(L287,Products!$A$2:$G$49,3,0)</f>
        <v>Light</v>
      </c>
      <c r="O287" s="25">
        <v>1</v>
      </c>
      <c r="P287" s="5">
        <f>INDEX([1]products!$A$1:$G$49,MATCH([1]orders!$D287,[1]products!$A$1:$A$49,0),MATCH([1]orders!K$1,[1]products!$A$1:$G$1,0))</f>
        <v>2.5</v>
      </c>
      <c r="Q287" s="6">
        <f>INDEX([1]products!$A$1:$G$49,MATCH([1]orders!$D287,[1]products!$A$1:$A$49,0),MATCH([1]orders!L$1,[1]products!$A$1:$G$1,0))</f>
        <v>36.454999999999998</v>
      </c>
      <c r="R287" s="6">
        <f t="shared" si="20"/>
        <v>36.454999999999998</v>
      </c>
      <c r="S287">
        <f>VLOOKUP(L287,Products!$A$2:$G$49,7,0)</f>
        <v>4.7391499999999995</v>
      </c>
      <c r="T287">
        <f t="shared" si="23"/>
        <v>4.7391499999999995</v>
      </c>
      <c r="U287" s="33">
        <f t="shared" si="24"/>
        <v>13</v>
      </c>
    </row>
    <row r="288" spans="1:21" x14ac:dyDescent="0.25">
      <c r="A288" s="1" t="s">
        <v>586</v>
      </c>
      <c r="B288" s="28">
        <v>43755</v>
      </c>
      <c r="C288" s="21" t="str">
        <f t="shared" si="21"/>
        <v>2019</v>
      </c>
      <c r="D288" s="19" t="str">
        <f t="shared" si="22"/>
        <v>October</v>
      </c>
      <c r="E288" s="3" t="s">
        <v>587</v>
      </c>
      <c r="F288" s="3" t="str">
        <f>VLOOKUP(E288,Customers!$A$2:$I$1001,2,0)</f>
        <v>Byram Mergue</v>
      </c>
      <c r="G288" s="3" t="str">
        <f>VLOOKUP(E288,Customers!$A$2:$I$1001,3,0)</f>
        <v>bmergue7y@umn.edu</v>
      </c>
      <c r="H288" s="3" t="str">
        <f>VLOOKUP(E288,Customers!$A$2:$I$1001,4,0)</f>
        <v>UNKNOWN</v>
      </c>
      <c r="I288" s="25" t="str">
        <f>VLOOKUP(E288,Customers!$A$2:$I$1001,6,0)</f>
        <v>Canton</v>
      </c>
      <c r="J288" s="25" t="str">
        <f>VLOOKUP(E288,Customers!$A$2:$I$1001,7,0)</f>
        <v>United States</v>
      </c>
      <c r="K288" s="23" t="str">
        <f>VLOOKUP(E288,Customers!$A$2:$I$1001,9,0)</f>
        <v>Yes</v>
      </c>
      <c r="L288" s="4" t="s">
        <v>44</v>
      </c>
      <c r="M288" s="4" t="str">
        <f>VLOOKUP(L288,Products!$A$2:$G$49,2,0)</f>
        <v>Arabica</v>
      </c>
      <c r="N288" s="4" t="str">
        <f>VLOOKUP(L288,Products!$A$2:$G$49,3,0)</f>
        <v>Medium</v>
      </c>
      <c r="O288" s="25">
        <v>4</v>
      </c>
      <c r="P288" s="5">
        <f>INDEX([1]products!$A$1:$G$49,MATCH([1]orders!$D288,[1]products!$A$1:$A$49,0),MATCH([1]orders!K$1,[1]products!$A$1:$G$1,0))</f>
        <v>0.2</v>
      </c>
      <c r="Q288" s="6">
        <f>INDEX([1]products!$A$1:$G$49,MATCH([1]orders!$D288,[1]products!$A$1:$A$49,0),MATCH([1]orders!L$1,[1]products!$A$1:$G$1,0))</f>
        <v>3.375</v>
      </c>
      <c r="R288" s="6">
        <f t="shared" si="20"/>
        <v>13.5</v>
      </c>
      <c r="S288">
        <f>VLOOKUP(L288,Products!$A$2:$G$49,7,0)</f>
        <v>0.30374999999999996</v>
      </c>
      <c r="T288">
        <f t="shared" si="23"/>
        <v>1.2149999999999999</v>
      </c>
      <c r="U288" s="33">
        <f t="shared" si="24"/>
        <v>8.9999999999999982</v>
      </c>
    </row>
    <row r="289" spans="1:21" x14ac:dyDescent="0.25">
      <c r="A289" s="1" t="s">
        <v>588</v>
      </c>
      <c r="B289" s="28">
        <v>44697</v>
      </c>
      <c r="C289" s="21" t="str">
        <f t="shared" si="21"/>
        <v>2022</v>
      </c>
      <c r="D289" s="19" t="str">
        <f t="shared" si="22"/>
        <v>May</v>
      </c>
      <c r="E289" s="3" t="s">
        <v>589</v>
      </c>
      <c r="F289" s="3" t="str">
        <f>VLOOKUP(E289,Customers!$A$2:$I$1001,2,0)</f>
        <v>Kerr Patise</v>
      </c>
      <c r="G289" s="3" t="str">
        <f>VLOOKUP(E289,Customers!$A$2:$I$1001,3,0)</f>
        <v>kpatise7z@jigsy.com</v>
      </c>
      <c r="H289" s="3" t="str">
        <f>VLOOKUP(E289,Customers!$A$2:$I$1001,4,0)</f>
        <v>+1 (617) 552-8968</v>
      </c>
      <c r="I289" s="25" t="str">
        <f>VLOOKUP(E289,Customers!$A$2:$I$1001,6,0)</f>
        <v>Boston</v>
      </c>
      <c r="J289" s="25" t="str">
        <f>VLOOKUP(E289,Customers!$A$2:$I$1001,7,0)</f>
        <v>United States</v>
      </c>
      <c r="K289" s="23" t="str">
        <f>VLOOKUP(E289,Customers!$A$2:$I$1001,9,0)</f>
        <v>No</v>
      </c>
      <c r="L289" s="4" t="s">
        <v>182</v>
      </c>
      <c r="M289" s="4" t="str">
        <f>VLOOKUP(L289,Products!$A$2:$G$49,2,0)</f>
        <v>Robusta</v>
      </c>
      <c r="N289" s="4" t="str">
        <f>VLOOKUP(L289,Products!$A$2:$G$49,3,0)</f>
        <v>Light</v>
      </c>
      <c r="O289" s="25">
        <v>4</v>
      </c>
      <c r="P289" s="5">
        <f>INDEX([1]products!$A$1:$G$49,MATCH([1]orders!$D289,[1]products!$A$1:$A$49,0),MATCH([1]orders!K$1,[1]products!$A$1:$G$1,0))</f>
        <v>0.2</v>
      </c>
      <c r="Q289" s="6">
        <f>INDEX([1]products!$A$1:$G$49,MATCH([1]orders!$D289,[1]products!$A$1:$A$49,0),MATCH([1]orders!L$1,[1]products!$A$1:$G$1,0))</f>
        <v>3.5849999999999995</v>
      </c>
      <c r="R289" s="6">
        <f t="shared" si="20"/>
        <v>14.339999999999998</v>
      </c>
      <c r="S289">
        <f>VLOOKUP(L289,Products!$A$2:$G$49,7,0)</f>
        <v>0.21509999999999996</v>
      </c>
      <c r="T289">
        <f t="shared" si="23"/>
        <v>0.86039999999999983</v>
      </c>
      <c r="U289" s="33">
        <f t="shared" si="24"/>
        <v>6</v>
      </c>
    </row>
    <row r="290" spans="1:21" x14ac:dyDescent="0.25">
      <c r="A290" s="1" t="s">
        <v>590</v>
      </c>
      <c r="B290" s="28">
        <v>44279</v>
      </c>
      <c r="C290" s="21" t="str">
        <f t="shared" si="21"/>
        <v>2021</v>
      </c>
      <c r="D290" s="19" t="str">
        <f t="shared" si="22"/>
        <v>March</v>
      </c>
      <c r="E290" s="3" t="s">
        <v>591</v>
      </c>
      <c r="F290" s="3" t="str">
        <f>VLOOKUP(E290,Customers!$A$2:$I$1001,2,0)</f>
        <v>Mathew Goulter</v>
      </c>
      <c r="G290" s="3" t="str">
        <f>VLOOKUP(E290,Customers!$A$2:$I$1001,3,0)</f>
        <v>UNKNOWN</v>
      </c>
      <c r="H290" s="3" t="str">
        <f>VLOOKUP(E290,Customers!$A$2:$I$1001,4,0)</f>
        <v>+353 (968) 887-1849</v>
      </c>
      <c r="I290" s="25" t="str">
        <f>VLOOKUP(E290,Customers!$A$2:$I$1001,6,0)</f>
        <v>Kinlough</v>
      </c>
      <c r="J290" s="25" t="str">
        <f>VLOOKUP(E290,Customers!$A$2:$I$1001,7,0)</f>
        <v>Ireland</v>
      </c>
      <c r="K290" s="23" t="str">
        <f>VLOOKUP(E290,Customers!$A$2:$I$1001,9,0)</f>
        <v>Yes</v>
      </c>
      <c r="L290" s="4" t="s">
        <v>3</v>
      </c>
      <c r="M290" s="4" t="str">
        <f>VLOOKUP(L290,Products!$A$2:$G$49,2,0)</f>
        <v>Excelsa</v>
      </c>
      <c r="N290" s="4" t="str">
        <f>VLOOKUP(L290,Products!$A$2:$G$49,3,0)</f>
        <v>Medium</v>
      </c>
      <c r="O290" s="25">
        <v>1</v>
      </c>
      <c r="P290" s="5">
        <f>INDEX([1]products!$A$1:$G$49,MATCH([1]orders!$D290,[1]products!$A$1:$A$49,0),MATCH([1]orders!K$1,[1]products!$A$1:$G$1,0))</f>
        <v>0.5</v>
      </c>
      <c r="Q290" s="6">
        <f>INDEX([1]products!$A$1:$G$49,MATCH([1]orders!$D290,[1]products!$A$1:$A$49,0),MATCH([1]orders!L$1,[1]products!$A$1:$G$1,0))</f>
        <v>8.25</v>
      </c>
      <c r="R290" s="6">
        <f t="shared" si="20"/>
        <v>8.25</v>
      </c>
      <c r="S290">
        <f>VLOOKUP(L290,Products!$A$2:$G$49,7,0)</f>
        <v>0.90749999999999997</v>
      </c>
      <c r="T290">
        <f t="shared" si="23"/>
        <v>0.90749999999999997</v>
      </c>
      <c r="U290" s="33">
        <f t="shared" si="24"/>
        <v>11</v>
      </c>
    </row>
    <row r="291" spans="1:21" x14ac:dyDescent="0.25">
      <c r="A291" s="1" t="s">
        <v>592</v>
      </c>
      <c r="B291" s="28">
        <v>43772</v>
      </c>
      <c r="C291" s="21" t="str">
        <f t="shared" si="21"/>
        <v>2019</v>
      </c>
      <c r="D291" s="19" t="str">
        <f t="shared" si="22"/>
        <v>November</v>
      </c>
      <c r="E291" s="3" t="s">
        <v>593</v>
      </c>
      <c r="F291" s="3" t="str">
        <f>VLOOKUP(E291,Customers!$A$2:$I$1001,2,0)</f>
        <v>Marris Grcic</v>
      </c>
      <c r="G291" s="3" t="str">
        <f>VLOOKUP(E291,Customers!$A$2:$I$1001,3,0)</f>
        <v>UNKNOWN</v>
      </c>
      <c r="H291" s="3" t="str">
        <f>VLOOKUP(E291,Customers!$A$2:$I$1001,4,0)</f>
        <v>UNKNOWN</v>
      </c>
      <c r="I291" s="25" t="str">
        <f>VLOOKUP(E291,Customers!$A$2:$I$1001,6,0)</f>
        <v>Lynchburg</v>
      </c>
      <c r="J291" s="25" t="str">
        <f>VLOOKUP(E291,Customers!$A$2:$I$1001,7,0)</f>
        <v>United States</v>
      </c>
      <c r="K291" s="23" t="str">
        <f>VLOOKUP(E291,Customers!$A$2:$I$1001,9,0)</f>
        <v>Yes</v>
      </c>
      <c r="L291" s="4" t="s">
        <v>101</v>
      </c>
      <c r="M291" s="4" t="str">
        <f>VLOOKUP(L291,Products!$A$2:$G$49,2,0)</f>
        <v>Robusta</v>
      </c>
      <c r="N291" s="4" t="str">
        <f>VLOOKUP(L291,Products!$A$2:$G$49,3,0)</f>
        <v>Dark</v>
      </c>
      <c r="O291" s="25">
        <v>5</v>
      </c>
      <c r="P291" s="5">
        <f>INDEX([1]products!$A$1:$G$49,MATCH([1]orders!$D291,[1]products!$A$1:$A$49,0),MATCH([1]orders!K$1,[1]products!$A$1:$G$1,0))</f>
        <v>0.2</v>
      </c>
      <c r="Q291" s="6">
        <f>INDEX([1]products!$A$1:$G$49,MATCH([1]orders!$D291,[1]products!$A$1:$A$49,0),MATCH([1]orders!L$1,[1]products!$A$1:$G$1,0))</f>
        <v>2.6849999999999996</v>
      </c>
      <c r="R291" s="6">
        <f t="shared" si="20"/>
        <v>13.424999999999997</v>
      </c>
      <c r="S291">
        <f>VLOOKUP(L291,Products!$A$2:$G$49,7,0)</f>
        <v>0.16109999999999997</v>
      </c>
      <c r="T291">
        <f t="shared" si="23"/>
        <v>0.80549999999999988</v>
      </c>
      <c r="U291" s="33">
        <f t="shared" si="24"/>
        <v>6.0000000000000009</v>
      </c>
    </row>
    <row r="292" spans="1:21" x14ac:dyDescent="0.25">
      <c r="A292" s="1" t="s">
        <v>594</v>
      </c>
      <c r="B292" s="28">
        <v>44497</v>
      </c>
      <c r="C292" s="21" t="str">
        <f t="shared" si="21"/>
        <v>2021</v>
      </c>
      <c r="D292" s="19" t="str">
        <f t="shared" si="22"/>
        <v>October</v>
      </c>
      <c r="E292" s="3" t="s">
        <v>595</v>
      </c>
      <c r="F292" s="3" t="str">
        <f>VLOOKUP(E292,Customers!$A$2:$I$1001,2,0)</f>
        <v>Domeniga Duke</v>
      </c>
      <c r="G292" s="3" t="str">
        <f>VLOOKUP(E292,Customers!$A$2:$I$1001,3,0)</f>
        <v>dduke82@vkontakte.ru</v>
      </c>
      <c r="H292" s="3" t="str">
        <f>VLOOKUP(E292,Customers!$A$2:$I$1001,4,0)</f>
        <v>+1 (626) 268-7265</v>
      </c>
      <c r="I292" s="25" t="str">
        <f>VLOOKUP(E292,Customers!$A$2:$I$1001,6,0)</f>
        <v>Los Angeles</v>
      </c>
      <c r="J292" s="25" t="str">
        <f>VLOOKUP(E292,Customers!$A$2:$I$1001,7,0)</f>
        <v>United States</v>
      </c>
      <c r="K292" s="23" t="str">
        <f>VLOOKUP(E292,Customers!$A$2:$I$1001,9,0)</f>
        <v>No</v>
      </c>
      <c r="L292" s="4" t="s">
        <v>27</v>
      </c>
      <c r="M292" s="4" t="str">
        <f>VLOOKUP(L292,Products!$A$2:$G$49,2,0)</f>
        <v>Arabica</v>
      </c>
      <c r="N292" s="4" t="str">
        <f>VLOOKUP(L292,Products!$A$2:$G$49,3,0)</f>
        <v>Dark</v>
      </c>
      <c r="O292" s="25">
        <v>5</v>
      </c>
      <c r="P292" s="5">
        <f>INDEX([1]products!$A$1:$G$49,MATCH([1]orders!$D292,[1]products!$A$1:$A$49,0),MATCH([1]orders!K$1,[1]products!$A$1:$G$1,0))</f>
        <v>1</v>
      </c>
      <c r="Q292" s="6">
        <f>INDEX([1]products!$A$1:$G$49,MATCH([1]orders!$D292,[1]products!$A$1:$A$49,0),MATCH([1]orders!L$1,[1]products!$A$1:$G$1,0))</f>
        <v>9.9499999999999993</v>
      </c>
      <c r="R292" s="6">
        <f t="shared" si="20"/>
        <v>49.75</v>
      </c>
      <c r="S292">
        <f>VLOOKUP(L292,Products!$A$2:$G$49,7,0)</f>
        <v>0.89549999999999985</v>
      </c>
      <c r="T292">
        <f t="shared" si="23"/>
        <v>4.4774999999999991</v>
      </c>
      <c r="U292" s="33">
        <f t="shared" si="24"/>
        <v>8.9999999999999982</v>
      </c>
    </row>
    <row r="293" spans="1:21" x14ac:dyDescent="0.25">
      <c r="A293" s="1" t="s">
        <v>596</v>
      </c>
      <c r="B293" s="28">
        <v>44181</v>
      </c>
      <c r="C293" s="21" t="str">
        <f t="shared" si="21"/>
        <v>2020</v>
      </c>
      <c r="D293" s="19" t="str">
        <f t="shared" si="22"/>
        <v>December</v>
      </c>
      <c r="E293" s="3" t="s">
        <v>597</v>
      </c>
      <c r="F293" s="3" t="str">
        <f>VLOOKUP(E293,Customers!$A$2:$I$1001,2,0)</f>
        <v>Violante Skouling</v>
      </c>
      <c r="G293" s="3" t="str">
        <f>VLOOKUP(E293,Customers!$A$2:$I$1001,3,0)</f>
        <v>UNKNOWN</v>
      </c>
      <c r="H293" s="3" t="str">
        <f>VLOOKUP(E293,Customers!$A$2:$I$1001,4,0)</f>
        <v>UNKNOWN</v>
      </c>
      <c r="I293" s="25" t="str">
        <f>VLOOKUP(E293,Customers!$A$2:$I$1001,6,0)</f>
        <v>Drumcondra</v>
      </c>
      <c r="J293" s="25" t="str">
        <f>VLOOKUP(E293,Customers!$A$2:$I$1001,7,0)</f>
        <v>Ireland</v>
      </c>
      <c r="K293" s="23" t="str">
        <f>VLOOKUP(E293,Customers!$A$2:$I$1001,9,0)</f>
        <v>No</v>
      </c>
      <c r="L293" s="4" t="s">
        <v>3</v>
      </c>
      <c r="M293" s="4" t="str">
        <f>VLOOKUP(L293,Products!$A$2:$G$49,2,0)</f>
        <v>Excelsa</v>
      </c>
      <c r="N293" s="4" t="str">
        <f>VLOOKUP(L293,Products!$A$2:$G$49,3,0)</f>
        <v>Medium</v>
      </c>
      <c r="O293" s="25">
        <v>2</v>
      </c>
      <c r="P293" s="5">
        <f>INDEX([1]products!$A$1:$G$49,MATCH([1]orders!$D293,[1]products!$A$1:$A$49,0),MATCH([1]orders!K$1,[1]products!$A$1:$G$1,0))</f>
        <v>0.5</v>
      </c>
      <c r="Q293" s="6">
        <f>INDEX([1]products!$A$1:$G$49,MATCH([1]orders!$D293,[1]products!$A$1:$A$49,0),MATCH([1]orders!L$1,[1]products!$A$1:$G$1,0))</f>
        <v>8.25</v>
      </c>
      <c r="R293" s="6">
        <f t="shared" si="20"/>
        <v>16.5</v>
      </c>
      <c r="S293">
        <f>VLOOKUP(L293,Products!$A$2:$G$49,7,0)</f>
        <v>0.90749999999999997</v>
      </c>
      <c r="T293">
        <f t="shared" si="23"/>
        <v>1.8149999999999999</v>
      </c>
      <c r="U293" s="33">
        <f t="shared" si="24"/>
        <v>11</v>
      </c>
    </row>
    <row r="294" spans="1:21" x14ac:dyDescent="0.25">
      <c r="A294" s="1" t="s">
        <v>598</v>
      </c>
      <c r="B294" s="28">
        <v>44529</v>
      </c>
      <c r="C294" s="21" t="str">
        <f t="shared" si="21"/>
        <v>2021</v>
      </c>
      <c r="D294" s="19" t="str">
        <f t="shared" si="22"/>
        <v>November</v>
      </c>
      <c r="E294" s="3" t="s">
        <v>599</v>
      </c>
      <c r="F294" s="3" t="str">
        <f>VLOOKUP(E294,Customers!$A$2:$I$1001,2,0)</f>
        <v>Isidore Hussey</v>
      </c>
      <c r="G294" s="3" t="str">
        <f>VLOOKUP(E294,Customers!$A$2:$I$1001,3,0)</f>
        <v>ihussey84@mapy.cz</v>
      </c>
      <c r="H294" s="3" t="str">
        <f>VLOOKUP(E294,Customers!$A$2:$I$1001,4,0)</f>
        <v>UNKNOWN</v>
      </c>
      <c r="I294" s="25" t="str">
        <f>VLOOKUP(E294,Customers!$A$2:$I$1001,6,0)</f>
        <v>Birmingham</v>
      </c>
      <c r="J294" s="25" t="str">
        <f>VLOOKUP(E294,Customers!$A$2:$I$1001,7,0)</f>
        <v>United States</v>
      </c>
      <c r="K294" s="23" t="str">
        <f>VLOOKUP(E294,Customers!$A$2:$I$1001,9,0)</f>
        <v>No</v>
      </c>
      <c r="L294" s="4" t="s">
        <v>72</v>
      </c>
      <c r="M294" s="4" t="str">
        <f>VLOOKUP(L294,Products!$A$2:$G$49,2,0)</f>
        <v>Arabica</v>
      </c>
      <c r="N294" s="4" t="str">
        <f>VLOOKUP(L294,Products!$A$2:$G$49,3,0)</f>
        <v>Dark</v>
      </c>
      <c r="O294" s="25">
        <v>3</v>
      </c>
      <c r="P294" s="5">
        <f>INDEX([1]products!$A$1:$G$49,MATCH([1]orders!$D294,[1]products!$A$1:$A$49,0),MATCH([1]orders!K$1,[1]products!$A$1:$G$1,0))</f>
        <v>0.5</v>
      </c>
      <c r="Q294" s="6">
        <f>INDEX([1]products!$A$1:$G$49,MATCH([1]orders!$D294,[1]products!$A$1:$A$49,0),MATCH([1]orders!L$1,[1]products!$A$1:$G$1,0))</f>
        <v>5.97</v>
      </c>
      <c r="R294" s="6">
        <f t="shared" si="20"/>
        <v>17.91</v>
      </c>
      <c r="S294">
        <f>VLOOKUP(L294,Products!$A$2:$G$49,7,0)</f>
        <v>0.5373</v>
      </c>
      <c r="T294">
        <f t="shared" si="23"/>
        <v>1.6118999999999999</v>
      </c>
      <c r="U294" s="33">
        <f t="shared" si="24"/>
        <v>9</v>
      </c>
    </row>
    <row r="295" spans="1:21" x14ac:dyDescent="0.25">
      <c r="A295" s="1" t="s">
        <v>600</v>
      </c>
      <c r="B295" s="28">
        <v>44275</v>
      </c>
      <c r="C295" s="21" t="str">
        <f t="shared" si="21"/>
        <v>2021</v>
      </c>
      <c r="D295" s="19" t="str">
        <f t="shared" si="22"/>
        <v>March</v>
      </c>
      <c r="E295" s="3" t="s">
        <v>601</v>
      </c>
      <c r="F295" s="3" t="str">
        <f>VLOOKUP(E295,Customers!$A$2:$I$1001,2,0)</f>
        <v>Cassie Pinkerton</v>
      </c>
      <c r="G295" s="3" t="str">
        <f>VLOOKUP(E295,Customers!$A$2:$I$1001,3,0)</f>
        <v>cpinkerton85@upenn.edu</v>
      </c>
      <c r="H295" s="3" t="str">
        <f>VLOOKUP(E295,Customers!$A$2:$I$1001,4,0)</f>
        <v>+1 (202) 727-7464</v>
      </c>
      <c r="I295" s="25" t="str">
        <f>VLOOKUP(E295,Customers!$A$2:$I$1001,6,0)</f>
        <v>Alexandria</v>
      </c>
      <c r="J295" s="25" t="str">
        <f>VLOOKUP(E295,Customers!$A$2:$I$1001,7,0)</f>
        <v>United States</v>
      </c>
      <c r="K295" s="23" t="str">
        <f>VLOOKUP(E295,Customers!$A$2:$I$1001,9,0)</f>
        <v>No</v>
      </c>
      <c r="L295" s="4" t="s">
        <v>72</v>
      </c>
      <c r="M295" s="4" t="str">
        <f>VLOOKUP(L295,Products!$A$2:$G$49,2,0)</f>
        <v>Arabica</v>
      </c>
      <c r="N295" s="4" t="str">
        <f>VLOOKUP(L295,Products!$A$2:$G$49,3,0)</f>
        <v>Dark</v>
      </c>
      <c r="O295" s="25">
        <v>5</v>
      </c>
      <c r="P295" s="5">
        <f>INDEX([1]products!$A$1:$G$49,MATCH([1]orders!$D295,[1]products!$A$1:$A$49,0),MATCH([1]orders!K$1,[1]products!$A$1:$G$1,0))</f>
        <v>0.5</v>
      </c>
      <c r="Q295" s="6">
        <f>INDEX([1]products!$A$1:$G$49,MATCH([1]orders!$D295,[1]products!$A$1:$A$49,0),MATCH([1]orders!L$1,[1]products!$A$1:$G$1,0))</f>
        <v>5.97</v>
      </c>
      <c r="R295" s="6">
        <f t="shared" si="20"/>
        <v>29.849999999999998</v>
      </c>
      <c r="S295">
        <f>VLOOKUP(L295,Products!$A$2:$G$49,7,0)</f>
        <v>0.5373</v>
      </c>
      <c r="T295">
        <f t="shared" si="23"/>
        <v>2.6865000000000001</v>
      </c>
      <c r="U295" s="33">
        <f t="shared" si="24"/>
        <v>9.0000000000000018</v>
      </c>
    </row>
    <row r="296" spans="1:21" x14ac:dyDescent="0.25">
      <c r="A296" s="1" t="s">
        <v>602</v>
      </c>
      <c r="B296" s="28">
        <v>44659</v>
      </c>
      <c r="C296" s="21" t="str">
        <f t="shared" si="21"/>
        <v>2022</v>
      </c>
      <c r="D296" s="19" t="str">
        <f t="shared" si="22"/>
        <v>April</v>
      </c>
      <c r="E296" s="3" t="s">
        <v>603</v>
      </c>
      <c r="F296" s="3" t="str">
        <f>VLOOKUP(E296,Customers!$A$2:$I$1001,2,0)</f>
        <v>Micki Fero</v>
      </c>
      <c r="G296" s="3" t="str">
        <f>VLOOKUP(E296,Customers!$A$2:$I$1001,3,0)</f>
        <v>UNKNOWN</v>
      </c>
      <c r="H296" s="3" t="str">
        <f>VLOOKUP(E296,Customers!$A$2:$I$1001,4,0)</f>
        <v>+1 (203) 722-1559</v>
      </c>
      <c r="I296" s="25" t="str">
        <f>VLOOKUP(E296,Customers!$A$2:$I$1001,6,0)</f>
        <v>Danbury</v>
      </c>
      <c r="J296" s="25" t="str">
        <f>VLOOKUP(E296,Customers!$A$2:$I$1001,7,0)</f>
        <v>United States</v>
      </c>
      <c r="K296" s="23" t="str">
        <f>VLOOKUP(E296,Customers!$A$2:$I$1001,9,0)</f>
        <v>No</v>
      </c>
      <c r="L296" s="4" t="s">
        <v>137</v>
      </c>
      <c r="M296" s="4" t="str">
        <f>VLOOKUP(L296,Products!$A$2:$G$49,2,0)</f>
        <v>Excelsa</v>
      </c>
      <c r="N296" s="4" t="str">
        <f>VLOOKUP(L296,Products!$A$2:$G$49,3,0)</f>
        <v>Light</v>
      </c>
      <c r="O296" s="25">
        <v>3</v>
      </c>
      <c r="P296" s="5">
        <f>INDEX([1]products!$A$1:$G$49,MATCH([1]orders!$D296,[1]products!$A$1:$A$49,0),MATCH([1]orders!K$1,[1]products!$A$1:$G$1,0))</f>
        <v>1</v>
      </c>
      <c r="Q296" s="6">
        <f>INDEX([1]products!$A$1:$G$49,MATCH([1]orders!$D296,[1]products!$A$1:$A$49,0),MATCH([1]orders!L$1,[1]products!$A$1:$G$1,0))</f>
        <v>14.85</v>
      </c>
      <c r="R296" s="6">
        <f t="shared" si="20"/>
        <v>44.55</v>
      </c>
      <c r="S296">
        <f>VLOOKUP(L296,Products!$A$2:$G$49,7,0)</f>
        <v>1.6335</v>
      </c>
      <c r="T296">
        <f t="shared" si="23"/>
        <v>4.9005000000000001</v>
      </c>
      <c r="U296" s="33">
        <f t="shared" si="24"/>
        <v>11.000000000000002</v>
      </c>
    </row>
    <row r="297" spans="1:21" x14ac:dyDescent="0.25">
      <c r="A297" s="1" t="s">
        <v>604</v>
      </c>
      <c r="B297" s="28">
        <v>44057</v>
      </c>
      <c r="C297" s="21" t="str">
        <f t="shared" si="21"/>
        <v>2020</v>
      </c>
      <c r="D297" s="19" t="str">
        <f t="shared" si="22"/>
        <v>August</v>
      </c>
      <c r="E297" s="3" t="s">
        <v>605</v>
      </c>
      <c r="F297" s="3" t="str">
        <f>VLOOKUP(E297,Customers!$A$2:$I$1001,2,0)</f>
        <v>Cybill Graddell</v>
      </c>
      <c r="G297" s="3" t="str">
        <f>VLOOKUP(E297,Customers!$A$2:$I$1001,3,0)</f>
        <v>UNKNOWN</v>
      </c>
      <c r="H297" s="3" t="str">
        <f>VLOOKUP(E297,Customers!$A$2:$I$1001,4,0)</f>
        <v>UNKNOWN</v>
      </c>
      <c r="I297" s="25" t="str">
        <f>VLOOKUP(E297,Customers!$A$2:$I$1001,6,0)</f>
        <v>Albany</v>
      </c>
      <c r="J297" s="25" t="str">
        <f>VLOOKUP(E297,Customers!$A$2:$I$1001,7,0)</f>
        <v>United States</v>
      </c>
      <c r="K297" s="23" t="str">
        <f>VLOOKUP(E297,Customers!$A$2:$I$1001,9,0)</f>
        <v>No</v>
      </c>
      <c r="L297" s="4" t="s">
        <v>9</v>
      </c>
      <c r="M297" s="4" t="str">
        <f>VLOOKUP(L297,Products!$A$2:$G$49,2,0)</f>
        <v>Excelsa</v>
      </c>
      <c r="N297" s="4" t="str">
        <f>VLOOKUP(L297,Products!$A$2:$G$49,3,0)</f>
        <v>Medium</v>
      </c>
      <c r="O297" s="25">
        <v>2</v>
      </c>
      <c r="P297" s="5">
        <f>INDEX([1]products!$A$1:$G$49,MATCH([1]orders!$D297,[1]products!$A$1:$A$49,0),MATCH([1]orders!K$1,[1]products!$A$1:$G$1,0))</f>
        <v>1</v>
      </c>
      <c r="Q297" s="6">
        <f>INDEX([1]products!$A$1:$G$49,MATCH([1]orders!$D297,[1]products!$A$1:$A$49,0),MATCH([1]orders!L$1,[1]products!$A$1:$G$1,0))</f>
        <v>13.75</v>
      </c>
      <c r="R297" s="6">
        <f t="shared" si="20"/>
        <v>27.5</v>
      </c>
      <c r="S297">
        <f>VLOOKUP(L297,Products!$A$2:$G$49,7,0)</f>
        <v>1.5125</v>
      </c>
      <c r="T297">
        <f t="shared" si="23"/>
        <v>3.0249999999999999</v>
      </c>
      <c r="U297" s="33">
        <f t="shared" si="24"/>
        <v>11</v>
      </c>
    </row>
    <row r="298" spans="1:21" x14ac:dyDescent="0.25">
      <c r="A298" s="1" t="s">
        <v>606</v>
      </c>
      <c r="B298" s="28">
        <v>43597</v>
      </c>
      <c r="C298" s="21" t="str">
        <f t="shared" si="21"/>
        <v>2019</v>
      </c>
      <c r="D298" s="19" t="str">
        <f t="shared" si="22"/>
        <v>May</v>
      </c>
      <c r="E298" s="3" t="s">
        <v>607</v>
      </c>
      <c r="F298" s="3" t="str">
        <f>VLOOKUP(E298,Customers!$A$2:$I$1001,2,0)</f>
        <v>Dorian Vizor</v>
      </c>
      <c r="G298" s="3" t="str">
        <f>VLOOKUP(E298,Customers!$A$2:$I$1001,3,0)</f>
        <v>dvizor88@furl.net</v>
      </c>
      <c r="H298" s="3" t="str">
        <f>VLOOKUP(E298,Customers!$A$2:$I$1001,4,0)</f>
        <v>+1 (941) 130-0581</v>
      </c>
      <c r="I298" s="25" t="str">
        <f>VLOOKUP(E298,Customers!$A$2:$I$1001,6,0)</f>
        <v>Naples</v>
      </c>
      <c r="J298" s="25" t="str">
        <f>VLOOKUP(E298,Customers!$A$2:$I$1001,7,0)</f>
        <v>United States</v>
      </c>
      <c r="K298" s="23" t="str">
        <f>VLOOKUP(E298,Customers!$A$2:$I$1001,9,0)</f>
        <v>Yes</v>
      </c>
      <c r="L298" s="4" t="s">
        <v>22</v>
      </c>
      <c r="M298" s="4" t="str">
        <f>VLOOKUP(L298,Products!$A$2:$G$49,2,0)</f>
        <v>Robusta</v>
      </c>
      <c r="N298" s="4" t="str">
        <f>VLOOKUP(L298,Products!$A$2:$G$49,3,0)</f>
        <v>Medium</v>
      </c>
      <c r="O298" s="25">
        <v>6</v>
      </c>
      <c r="P298" s="5">
        <f>INDEX([1]products!$A$1:$G$49,MATCH([1]orders!$D298,[1]products!$A$1:$A$49,0),MATCH([1]orders!K$1,[1]products!$A$1:$G$1,0))</f>
        <v>0.5</v>
      </c>
      <c r="Q298" s="6">
        <f>INDEX([1]products!$A$1:$G$49,MATCH([1]orders!$D298,[1]products!$A$1:$A$49,0),MATCH([1]orders!L$1,[1]products!$A$1:$G$1,0))</f>
        <v>5.97</v>
      </c>
      <c r="R298" s="6">
        <f t="shared" si="20"/>
        <v>35.82</v>
      </c>
      <c r="S298">
        <f>VLOOKUP(L298,Products!$A$2:$G$49,7,0)</f>
        <v>0.35819999999999996</v>
      </c>
      <c r="T298">
        <f t="shared" si="23"/>
        <v>2.1491999999999996</v>
      </c>
      <c r="U298" s="33">
        <f t="shared" si="24"/>
        <v>5.9999999999999982</v>
      </c>
    </row>
    <row r="299" spans="1:21" x14ac:dyDescent="0.25">
      <c r="A299" s="1" t="s">
        <v>608</v>
      </c>
      <c r="B299" s="28">
        <v>44258</v>
      </c>
      <c r="C299" s="21" t="str">
        <f t="shared" si="21"/>
        <v>2021</v>
      </c>
      <c r="D299" s="19" t="str">
        <f t="shared" si="22"/>
        <v>March</v>
      </c>
      <c r="E299" s="3" t="s">
        <v>609</v>
      </c>
      <c r="F299" s="3" t="str">
        <f>VLOOKUP(E299,Customers!$A$2:$I$1001,2,0)</f>
        <v>Eddi Sedgebeer</v>
      </c>
      <c r="G299" s="3" t="str">
        <f>VLOOKUP(E299,Customers!$A$2:$I$1001,3,0)</f>
        <v>esedgebeer89@oaic.gov.au</v>
      </c>
      <c r="H299" s="3" t="str">
        <f>VLOOKUP(E299,Customers!$A$2:$I$1001,4,0)</f>
        <v>+1 (305) 898-4252</v>
      </c>
      <c r="I299" s="25" t="str">
        <f>VLOOKUP(E299,Customers!$A$2:$I$1001,6,0)</f>
        <v>Miami Beach</v>
      </c>
      <c r="J299" s="25" t="str">
        <f>VLOOKUP(E299,Customers!$A$2:$I$1001,7,0)</f>
        <v>United States</v>
      </c>
      <c r="K299" s="23" t="str">
        <f>VLOOKUP(E299,Customers!$A$2:$I$1001,9,0)</f>
        <v>Yes</v>
      </c>
      <c r="L299" s="4" t="s">
        <v>146</v>
      </c>
      <c r="M299" s="4" t="str">
        <f>VLOOKUP(L299,Products!$A$2:$G$49,2,0)</f>
        <v>Robusta</v>
      </c>
      <c r="N299" s="4" t="str">
        <f>VLOOKUP(L299,Products!$A$2:$G$49,3,0)</f>
        <v>Dark</v>
      </c>
      <c r="O299" s="25">
        <v>3</v>
      </c>
      <c r="P299" s="5">
        <f>INDEX([1]products!$A$1:$G$49,MATCH([1]orders!$D299,[1]products!$A$1:$A$49,0),MATCH([1]orders!K$1,[1]products!$A$1:$G$1,0))</f>
        <v>0.5</v>
      </c>
      <c r="Q299" s="6">
        <f>INDEX([1]products!$A$1:$G$49,MATCH([1]orders!$D299,[1]products!$A$1:$A$49,0),MATCH([1]orders!L$1,[1]products!$A$1:$G$1,0))</f>
        <v>5.3699999999999992</v>
      </c>
      <c r="R299" s="6">
        <f t="shared" si="20"/>
        <v>16.11</v>
      </c>
      <c r="S299">
        <f>VLOOKUP(L299,Products!$A$2:$G$49,7,0)</f>
        <v>0.32219999999999993</v>
      </c>
      <c r="T299">
        <f t="shared" si="23"/>
        <v>0.96659999999999979</v>
      </c>
      <c r="U299" s="33">
        <f t="shared" si="24"/>
        <v>5.9999999999999991</v>
      </c>
    </row>
    <row r="300" spans="1:21" x14ac:dyDescent="0.25">
      <c r="A300" s="1" t="s">
        <v>610</v>
      </c>
      <c r="B300" s="28">
        <v>43872</v>
      </c>
      <c r="C300" s="21" t="str">
        <f t="shared" si="21"/>
        <v>2020</v>
      </c>
      <c r="D300" s="19" t="str">
        <f t="shared" si="22"/>
        <v>February</v>
      </c>
      <c r="E300" s="3" t="s">
        <v>611</v>
      </c>
      <c r="F300" s="3" t="str">
        <f>VLOOKUP(E300,Customers!$A$2:$I$1001,2,0)</f>
        <v>Ken Lestrange</v>
      </c>
      <c r="G300" s="3" t="str">
        <f>VLOOKUP(E300,Customers!$A$2:$I$1001,3,0)</f>
        <v>klestrange8a@lulu.com</v>
      </c>
      <c r="H300" s="3" t="str">
        <f>VLOOKUP(E300,Customers!$A$2:$I$1001,4,0)</f>
        <v>+1 (404) 479-6402</v>
      </c>
      <c r="I300" s="25" t="str">
        <f>VLOOKUP(E300,Customers!$A$2:$I$1001,6,0)</f>
        <v>Atlanta</v>
      </c>
      <c r="J300" s="25" t="str">
        <f>VLOOKUP(E300,Customers!$A$2:$I$1001,7,0)</f>
        <v>United States</v>
      </c>
      <c r="K300" s="23" t="str">
        <f>VLOOKUP(E300,Customers!$A$2:$I$1001,9,0)</f>
        <v>Yes</v>
      </c>
      <c r="L300" s="4" t="s">
        <v>254</v>
      </c>
      <c r="M300" s="4" t="str">
        <f>VLOOKUP(L300,Products!$A$2:$G$49,2,0)</f>
        <v>Excelsa</v>
      </c>
      <c r="N300" s="4" t="str">
        <f>VLOOKUP(L300,Products!$A$2:$G$49,3,0)</f>
        <v>Light</v>
      </c>
      <c r="O300" s="25">
        <v>6</v>
      </c>
      <c r="P300" s="5">
        <f>INDEX([1]products!$A$1:$G$49,MATCH([1]orders!$D300,[1]products!$A$1:$A$49,0),MATCH([1]orders!K$1,[1]products!$A$1:$G$1,0))</f>
        <v>0.2</v>
      </c>
      <c r="Q300" s="6">
        <f>INDEX([1]products!$A$1:$G$49,MATCH([1]orders!$D300,[1]products!$A$1:$A$49,0),MATCH([1]orders!L$1,[1]products!$A$1:$G$1,0))</f>
        <v>4.4550000000000001</v>
      </c>
      <c r="R300" s="6">
        <f t="shared" si="20"/>
        <v>26.73</v>
      </c>
      <c r="S300">
        <f>VLOOKUP(L300,Products!$A$2:$G$49,7,0)</f>
        <v>0.49004999999999999</v>
      </c>
      <c r="T300">
        <f t="shared" si="23"/>
        <v>2.9402999999999997</v>
      </c>
      <c r="U300" s="33">
        <f t="shared" si="24"/>
        <v>10.999999999999998</v>
      </c>
    </row>
    <row r="301" spans="1:21" x14ac:dyDescent="0.25">
      <c r="A301" s="1" t="s">
        <v>612</v>
      </c>
      <c r="B301" s="28">
        <v>43582</v>
      </c>
      <c r="C301" s="21" t="str">
        <f t="shared" si="21"/>
        <v>2019</v>
      </c>
      <c r="D301" s="19" t="str">
        <f t="shared" si="22"/>
        <v>April</v>
      </c>
      <c r="E301" s="3" t="s">
        <v>613</v>
      </c>
      <c r="F301" s="3" t="str">
        <f>VLOOKUP(E301,Customers!$A$2:$I$1001,2,0)</f>
        <v>Lacee Tanti</v>
      </c>
      <c r="G301" s="3" t="str">
        <f>VLOOKUP(E301,Customers!$A$2:$I$1001,3,0)</f>
        <v>ltanti8b@techcrunch.com</v>
      </c>
      <c r="H301" s="3" t="str">
        <f>VLOOKUP(E301,Customers!$A$2:$I$1001,4,0)</f>
        <v>+1 (361) 383-8015</v>
      </c>
      <c r="I301" s="25" t="str">
        <f>VLOOKUP(E301,Customers!$A$2:$I$1001,6,0)</f>
        <v>Corpus Christi</v>
      </c>
      <c r="J301" s="25" t="str">
        <f>VLOOKUP(E301,Customers!$A$2:$I$1001,7,0)</f>
        <v>United States</v>
      </c>
      <c r="K301" s="23" t="str">
        <f>VLOOKUP(E301,Customers!$A$2:$I$1001,9,0)</f>
        <v>Yes</v>
      </c>
      <c r="L301" s="4" t="s">
        <v>30</v>
      </c>
      <c r="M301" s="4" t="str">
        <f>VLOOKUP(L301,Products!$A$2:$G$49,2,0)</f>
        <v>Excelsa</v>
      </c>
      <c r="N301" s="4" t="str">
        <f>VLOOKUP(L301,Products!$A$2:$G$49,3,0)</f>
        <v>Light</v>
      </c>
      <c r="O301" s="25">
        <v>6</v>
      </c>
      <c r="P301" s="5">
        <f>INDEX([1]products!$A$1:$G$49,MATCH([1]orders!$D301,[1]products!$A$1:$A$49,0),MATCH([1]orders!K$1,[1]products!$A$1:$G$1,0))</f>
        <v>2.5</v>
      </c>
      <c r="Q301" s="6">
        <f>INDEX([1]products!$A$1:$G$49,MATCH([1]orders!$D301,[1]products!$A$1:$A$49,0),MATCH([1]orders!L$1,[1]products!$A$1:$G$1,0))</f>
        <v>34.154999999999994</v>
      </c>
      <c r="R301" s="6">
        <f t="shared" si="20"/>
        <v>204.92999999999995</v>
      </c>
      <c r="S301">
        <f>VLOOKUP(L301,Products!$A$2:$G$49,7,0)</f>
        <v>3.7570499999999996</v>
      </c>
      <c r="T301">
        <f t="shared" si="23"/>
        <v>22.542299999999997</v>
      </c>
      <c r="U301" s="33">
        <f t="shared" si="24"/>
        <v>11.000000000000002</v>
      </c>
    </row>
    <row r="302" spans="1:21" x14ac:dyDescent="0.25">
      <c r="A302" s="1" t="s">
        <v>614</v>
      </c>
      <c r="B302" s="28">
        <v>44646</v>
      </c>
      <c r="C302" s="21" t="str">
        <f t="shared" si="21"/>
        <v>2022</v>
      </c>
      <c r="D302" s="19" t="str">
        <f t="shared" si="22"/>
        <v>March</v>
      </c>
      <c r="E302" s="3" t="s">
        <v>615</v>
      </c>
      <c r="F302" s="3" t="str">
        <f>VLOOKUP(E302,Customers!$A$2:$I$1001,2,0)</f>
        <v>Arel De Lasci</v>
      </c>
      <c r="G302" s="3" t="str">
        <f>VLOOKUP(E302,Customers!$A$2:$I$1001,3,0)</f>
        <v>ade8c@1und1.de</v>
      </c>
      <c r="H302" s="3" t="str">
        <f>VLOOKUP(E302,Customers!$A$2:$I$1001,4,0)</f>
        <v>+1 (808) 868-6669</v>
      </c>
      <c r="I302" s="25" t="str">
        <f>VLOOKUP(E302,Customers!$A$2:$I$1001,6,0)</f>
        <v>Honolulu</v>
      </c>
      <c r="J302" s="25" t="str">
        <f>VLOOKUP(E302,Customers!$A$2:$I$1001,7,0)</f>
        <v>United States</v>
      </c>
      <c r="K302" s="23" t="str">
        <f>VLOOKUP(E302,Customers!$A$2:$I$1001,9,0)</f>
        <v>Yes</v>
      </c>
      <c r="L302" s="4" t="s">
        <v>6</v>
      </c>
      <c r="M302" s="4" t="str">
        <f>VLOOKUP(L302,Products!$A$2:$G$49,2,0)</f>
        <v>Arabica</v>
      </c>
      <c r="N302" s="4" t="str">
        <f>VLOOKUP(L302,Products!$A$2:$G$49,3,0)</f>
        <v>Light</v>
      </c>
      <c r="O302" s="25">
        <v>3</v>
      </c>
      <c r="P302" s="5">
        <f>INDEX([1]products!$A$1:$G$49,MATCH([1]orders!$D302,[1]products!$A$1:$A$49,0),MATCH([1]orders!K$1,[1]products!$A$1:$G$1,0))</f>
        <v>1</v>
      </c>
      <c r="Q302" s="6">
        <f>INDEX([1]products!$A$1:$G$49,MATCH([1]orders!$D302,[1]products!$A$1:$A$49,0),MATCH([1]orders!L$1,[1]products!$A$1:$G$1,0))</f>
        <v>12.95</v>
      </c>
      <c r="R302" s="6">
        <f t="shared" si="20"/>
        <v>38.849999999999994</v>
      </c>
      <c r="S302">
        <f>VLOOKUP(L302,Products!$A$2:$G$49,7,0)</f>
        <v>1.1655</v>
      </c>
      <c r="T302">
        <f t="shared" si="23"/>
        <v>3.4965000000000002</v>
      </c>
      <c r="U302" s="33">
        <f t="shared" si="24"/>
        <v>9.0000000000000018</v>
      </c>
    </row>
    <row r="303" spans="1:21" x14ac:dyDescent="0.25">
      <c r="A303" s="1" t="s">
        <v>616</v>
      </c>
      <c r="B303" s="28">
        <v>44102</v>
      </c>
      <c r="C303" s="21" t="str">
        <f t="shared" si="21"/>
        <v>2020</v>
      </c>
      <c r="D303" s="19" t="str">
        <f t="shared" si="22"/>
        <v>September</v>
      </c>
      <c r="E303" s="3" t="s">
        <v>617</v>
      </c>
      <c r="F303" s="3" t="str">
        <f>VLOOKUP(E303,Customers!$A$2:$I$1001,2,0)</f>
        <v>Trescha Jedrachowicz</v>
      </c>
      <c r="G303" s="3" t="str">
        <f>VLOOKUP(E303,Customers!$A$2:$I$1001,3,0)</f>
        <v>tjedrachowicz8d@acquirethisname.com</v>
      </c>
      <c r="H303" s="3" t="str">
        <f>VLOOKUP(E303,Customers!$A$2:$I$1001,4,0)</f>
        <v>+1 (512) 635-4547</v>
      </c>
      <c r="I303" s="25" t="str">
        <f>VLOOKUP(E303,Customers!$A$2:$I$1001,6,0)</f>
        <v>Austin</v>
      </c>
      <c r="J303" s="25" t="str">
        <f>VLOOKUP(E303,Customers!$A$2:$I$1001,7,0)</f>
        <v>United States</v>
      </c>
      <c r="K303" s="23" t="str">
        <f>VLOOKUP(E303,Customers!$A$2:$I$1001,9,0)</f>
        <v>Yes</v>
      </c>
      <c r="L303" s="4" t="s">
        <v>38</v>
      </c>
      <c r="M303" s="4" t="str">
        <f>VLOOKUP(L303,Products!$A$2:$G$49,2,0)</f>
        <v>Liberica</v>
      </c>
      <c r="N303" s="4" t="str">
        <f>VLOOKUP(L303,Products!$A$2:$G$49,3,0)</f>
        <v>Dark</v>
      </c>
      <c r="O303" s="25">
        <v>4</v>
      </c>
      <c r="P303" s="5">
        <f>INDEX([1]products!$A$1:$G$49,MATCH([1]orders!$D303,[1]products!$A$1:$A$49,0),MATCH([1]orders!K$1,[1]products!$A$1:$G$1,0))</f>
        <v>0.2</v>
      </c>
      <c r="Q303" s="6">
        <f>INDEX([1]products!$A$1:$G$49,MATCH([1]orders!$D303,[1]products!$A$1:$A$49,0),MATCH([1]orders!L$1,[1]products!$A$1:$G$1,0))</f>
        <v>3.8849999999999998</v>
      </c>
      <c r="R303" s="6">
        <f t="shared" si="20"/>
        <v>15.54</v>
      </c>
      <c r="S303">
        <f>VLOOKUP(L303,Products!$A$2:$G$49,7,0)</f>
        <v>0.50505</v>
      </c>
      <c r="T303">
        <f t="shared" si="23"/>
        <v>2.0202</v>
      </c>
      <c r="U303" s="33">
        <f t="shared" si="24"/>
        <v>13</v>
      </c>
    </row>
    <row r="304" spans="1:21" x14ac:dyDescent="0.25">
      <c r="A304" s="1" t="s">
        <v>618</v>
      </c>
      <c r="B304" s="28">
        <v>43762</v>
      </c>
      <c r="C304" s="21" t="str">
        <f t="shared" si="21"/>
        <v>2019</v>
      </c>
      <c r="D304" s="19" t="str">
        <f t="shared" si="22"/>
        <v>October</v>
      </c>
      <c r="E304" s="3" t="s">
        <v>619</v>
      </c>
      <c r="F304" s="3" t="str">
        <f>VLOOKUP(E304,Customers!$A$2:$I$1001,2,0)</f>
        <v>Perkin Stonner</v>
      </c>
      <c r="G304" s="3" t="str">
        <f>VLOOKUP(E304,Customers!$A$2:$I$1001,3,0)</f>
        <v>pstonner8e@moonfruit.com</v>
      </c>
      <c r="H304" s="3" t="str">
        <f>VLOOKUP(E304,Customers!$A$2:$I$1001,4,0)</f>
        <v>+1 (410) 158-5285</v>
      </c>
      <c r="I304" s="25" t="str">
        <f>VLOOKUP(E304,Customers!$A$2:$I$1001,6,0)</f>
        <v>Baltimore</v>
      </c>
      <c r="J304" s="25" t="str">
        <f>VLOOKUP(E304,Customers!$A$2:$I$1001,7,0)</f>
        <v>United States</v>
      </c>
      <c r="K304" s="23" t="str">
        <f>VLOOKUP(E304,Customers!$A$2:$I$1001,9,0)</f>
        <v>No</v>
      </c>
      <c r="L304" s="4" t="s">
        <v>67</v>
      </c>
      <c r="M304" s="4" t="str">
        <f>VLOOKUP(L304,Products!$A$2:$G$49,2,0)</f>
        <v>Arabica</v>
      </c>
      <c r="N304" s="4" t="str">
        <f>VLOOKUP(L304,Products!$A$2:$G$49,3,0)</f>
        <v>Medium</v>
      </c>
      <c r="O304" s="25">
        <v>1</v>
      </c>
      <c r="P304" s="5">
        <f>INDEX([1]products!$A$1:$G$49,MATCH([1]orders!$D304,[1]products!$A$1:$A$49,0),MATCH([1]orders!K$1,[1]products!$A$1:$G$1,0))</f>
        <v>0.5</v>
      </c>
      <c r="Q304" s="6">
        <f>INDEX([1]products!$A$1:$G$49,MATCH([1]orders!$D304,[1]products!$A$1:$A$49,0),MATCH([1]orders!L$1,[1]products!$A$1:$G$1,0))</f>
        <v>6.75</v>
      </c>
      <c r="R304" s="6">
        <f t="shared" si="20"/>
        <v>6.75</v>
      </c>
      <c r="S304">
        <f>VLOOKUP(L304,Products!$A$2:$G$49,7,0)</f>
        <v>0.60749999999999993</v>
      </c>
      <c r="T304">
        <f t="shared" si="23"/>
        <v>0.60749999999999993</v>
      </c>
      <c r="U304" s="33">
        <f t="shared" si="24"/>
        <v>8.9999999999999982</v>
      </c>
    </row>
    <row r="305" spans="1:21" x14ac:dyDescent="0.25">
      <c r="A305" s="1" t="s">
        <v>620</v>
      </c>
      <c r="B305" s="28">
        <v>44412</v>
      </c>
      <c r="C305" s="21" t="str">
        <f t="shared" si="21"/>
        <v>2021</v>
      </c>
      <c r="D305" s="19" t="str">
        <f t="shared" si="22"/>
        <v>August</v>
      </c>
      <c r="E305" s="3" t="s">
        <v>621</v>
      </c>
      <c r="F305" s="3" t="str">
        <f>VLOOKUP(E305,Customers!$A$2:$I$1001,2,0)</f>
        <v>Darrin Tingly</v>
      </c>
      <c r="G305" s="3" t="str">
        <f>VLOOKUP(E305,Customers!$A$2:$I$1001,3,0)</f>
        <v>dtingly8f@goo.ne.jp</v>
      </c>
      <c r="H305" s="3" t="str">
        <f>VLOOKUP(E305,Customers!$A$2:$I$1001,4,0)</f>
        <v>UNKNOWN</v>
      </c>
      <c r="I305" s="25" t="str">
        <f>VLOOKUP(E305,Customers!$A$2:$I$1001,6,0)</f>
        <v>Lexington</v>
      </c>
      <c r="J305" s="25" t="str">
        <f>VLOOKUP(E305,Customers!$A$2:$I$1001,7,0)</f>
        <v>United States</v>
      </c>
      <c r="K305" s="23" t="str">
        <f>VLOOKUP(E305,Customers!$A$2:$I$1001,9,0)</f>
        <v>Yes</v>
      </c>
      <c r="L305" s="4" t="s">
        <v>530</v>
      </c>
      <c r="M305" s="4" t="str">
        <f>VLOOKUP(L305,Products!$A$2:$G$49,2,0)</f>
        <v>Excelsa</v>
      </c>
      <c r="N305" s="4" t="str">
        <f>VLOOKUP(L305,Products!$A$2:$G$49,3,0)</f>
        <v>Dark</v>
      </c>
      <c r="O305" s="25">
        <v>4</v>
      </c>
      <c r="P305" s="5">
        <f>INDEX([1]products!$A$1:$G$49,MATCH([1]orders!$D305,[1]products!$A$1:$A$49,0),MATCH([1]orders!K$1,[1]products!$A$1:$G$1,0))</f>
        <v>2.5</v>
      </c>
      <c r="Q305" s="6">
        <f>INDEX([1]products!$A$1:$G$49,MATCH([1]orders!$D305,[1]products!$A$1:$A$49,0),MATCH([1]orders!L$1,[1]products!$A$1:$G$1,0))</f>
        <v>27.945</v>
      </c>
      <c r="R305" s="6">
        <f t="shared" si="20"/>
        <v>111.78</v>
      </c>
      <c r="S305">
        <f>VLOOKUP(L305,Products!$A$2:$G$49,7,0)</f>
        <v>3.07395</v>
      </c>
      <c r="T305">
        <f t="shared" si="23"/>
        <v>12.2958</v>
      </c>
      <c r="U305" s="33">
        <f t="shared" si="24"/>
        <v>11</v>
      </c>
    </row>
    <row r="306" spans="1:21" x14ac:dyDescent="0.25">
      <c r="A306" s="1" t="s">
        <v>622</v>
      </c>
      <c r="B306" s="28">
        <v>43828</v>
      </c>
      <c r="C306" s="21" t="str">
        <f t="shared" si="21"/>
        <v>2019</v>
      </c>
      <c r="D306" s="19" t="str">
        <f t="shared" si="22"/>
        <v>December</v>
      </c>
      <c r="E306" s="3" t="s">
        <v>623</v>
      </c>
      <c r="F306" s="3" t="str">
        <f>VLOOKUP(E306,Customers!$A$2:$I$1001,2,0)</f>
        <v>Claudetta Rushe</v>
      </c>
      <c r="G306" s="3" t="str">
        <f>VLOOKUP(E306,Customers!$A$2:$I$1001,3,0)</f>
        <v>crushe8n@about.me</v>
      </c>
      <c r="H306" s="3" t="str">
        <f>VLOOKUP(E306,Customers!$A$2:$I$1001,4,0)</f>
        <v>+1 (704) 883-8274</v>
      </c>
      <c r="I306" s="25" t="str">
        <f>VLOOKUP(E306,Customers!$A$2:$I$1001,6,0)</f>
        <v>Charlotte</v>
      </c>
      <c r="J306" s="25" t="str">
        <f>VLOOKUP(E306,Customers!$A$2:$I$1001,7,0)</f>
        <v>United States</v>
      </c>
      <c r="K306" s="23" t="str">
        <f>VLOOKUP(E306,Customers!$A$2:$I$1001,9,0)</f>
        <v>Yes</v>
      </c>
      <c r="L306" s="4" t="s">
        <v>115</v>
      </c>
      <c r="M306" s="4" t="str">
        <f>VLOOKUP(L306,Products!$A$2:$G$49,2,0)</f>
        <v>Arabica</v>
      </c>
      <c r="N306" s="4" t="str">
        <f>VLOOKUP(L306,Products!$A$2:$G$49,3,0)</f>
        <v>Light</v>
      </c>
      <c r="O306" s="25">
        <v>1</v>
      </c>
      <c r="P306" s="5">
        <f>INDEX([1]products!$A$1:$G$49,MATCH([1]orders!$D306,[1]products!$A$1:$A$49,0),MATCH([1]orders!K$1,[1]products!$A$1:$G$1,0))</f>
        <v>0.2</v>
      </c>
      <c r="Q306" s="6">
        <f>INDEX([1]products!$A$1:$G$49,MATCH([1]orders!$D306,[1]products!$A$1:$A$49,0),MATCH([1]orders!L$1,[1]products!$A$1:$G$1,0))</f>
        <v>3.8849999999999998</v>
      </c>
      <c r="R306" s="6">
        <f t="shared" si="20"/>
        <v>3.8849999999999998</v>
      </c>
      <c r="S306">
        <f>VLOOKUP(L306,Products!$A$2:$G$49,7,0)</f>
        <v>0.34964999999999996</v>
      </c>
      <c r="T306">
        <f t="shared" si="23"/>
        <v>0.34964999999999996</v>
      </c>
      <c r="U306" s="33">
        <f t="shared" si="24"/>
        <v>9</v>
      </c>
    </row>
    <row r="307" spans="1:21" x14ac:dyDescent="0.25">
      <c r="A307" s="1" t="s">
        <v>624</v>
      </c>
      <c r="B307" s="28">
        <v>43796</v>
      </c>
      <c r="C307" s="21" t="str">
        <f t="shared" si="21"/>
        <v>2019</v>
      </c>
      <c r="D307" s="19" t="str">
        <f t="shared" si="22"/>
        <v>November</v>
      </c>
      <c r="E307" s="3" t="s">
        <v>625</v>
      </c>
      <c r="F307" s="3" t="str">
        <f>VLOOKUP(E307,Customers!$A$2:$I$1001,2,0)</f>
        <v>Benn Checci</v>
      </c>
      <c r="G307" s="3" t="str">
        <f>VLOOKUP(E307,Customers!$A$2:$I$1001,3,0)</f>
        <v>bchecci8h@usa.gov</v>
      </c>
      <c r="H307" s="3" t="str">
        <f>VLOOKUP(E307,Customers!$A$2:$I$1001,4,0)</f>
        <v>+44 (237) 377-1917</v>
      </c>
      <c r="I307" s="25" t="str">
        <f>VLOOKUP(E307,Customers!$A$2:$I$1001,6,0)</f>
        <v>Eaton</v>
      </c>
      <c r="J307" s="25" t="str">
        <f>VLOOKUP(E307,Customers!$A$2:$I$1001,7,0)</f>
        <v>United Kingdom</v>
      </c>
      <c r="K307" s="23" t="str">
        <f>VLOOKUP(E307,Customers!$A$2:$I$1001,9,0)</f>
        <v>No</v>
      </c>
      <c r="L307" s="4" t="s">
        <v>77</v>
      </c>
      <c r="M307" s="4" t="str">
        <f>VLOOKUP(L307,Products!$A$2:$G$49,2,0)</f>
        <v>Liberica</v>
      </c>
      <c r="N307" s="4" t="str">
        <f>VLOOKUP(L307,Products!$A$2:$G$49,3,0)</f>
        <v>Medium</v>
      </c>
      <c r="O307" s="25">
        <v>5</v>
      </c>
      <c r="P307" s="5">
        <f>INDEX([1]products!$A$1:$G$49,MATCH([1]orders!$D307,[1]products!$A$1:$A$49,0),MATCH([1]orders!K$1,[1]products!$A$1:$G$1,0))</f>
        <v>0.2</v>
      </c>
      <c r="Q307" s="6">
        <f>INDEX([1]products!$A$1:$G$49,MATCH([1]orders!$D307,[1]products!$A$1:$A$49,0),MATCH([1]orders!L$1,[1]products!$A$1:$G$1,0))</f>
        <v>4.3650000000000002</v>
      </c>
      <c r="R307" s="6">
        <f t="shared" si="20"/>
        <v>21.825000000000003</v>
      </c>
      <c r="S307">
        <f>VLOOKUP(L307,Products!$A$2:$G$49,7,0)</f>
        <v>0.56745000000000001</v>
      </c>
      <c r="T307">
        <f t="shared" si="23"/>
        <v>2.83725</v>
      </c>
      <c r="U307" s="33">
        <f t="shared" si="24"/>
        <v>12.999999999999998</v>
      </c>
    </row>
    <row r="308" spans="1:21" x14ac:dyDescent="0.25">
      <c r="A308" s="1" t="s">
        <v>626</v>
      </c>
      <c r="B308" s="28">
        <v>43890</v>
      </c>
      <c r="C308" s="21" t="str">
        <f t="shared" si="21"/>
        <v>2020</v>
      </c>
      <c r="D308" s="19" t="str">
        <f t="shared" si="22"/>
        <v>February</v>
      </c>
      <c r="E308" s="3" t="s">
        <v>627</v>
      </c>
      <c r="F308" s="3" t="str">
        <f>VLOOKUP(E308,Customers!$A$2:$I$1001,2,0)</f>
        <v>Janifer Bagot</v>
      </c>
      <c r="G308" s="3" t="str">
        <f>VLOOKUP(E308,Customers!$A$2:$I$1001,3,0)</f>
        <v>jbagot8i@mac.com</v>
      </c>
      <c r="H308" s="3" t="str">
        <f>VLOOKUP(E308,Customers!$A$2:$I$1001,4,0)</f>
        <v>+1 (402) 659-3815</v>
      </c>
      <c r="I308" s="25" t="str">
        <f>VLOOKUP(E308,Customers!$A$2:$I$1001,6,0)</f>
        <v>Lincoln</v>
      </c>
      <c r="J308" s="25" t="str">
        <f>VLOOKUP(E308,Customers!$A$2:$I$1001,7,0)</f>
        <v>United States</v>
      </c>
      <c r="K308" s="23" t="str">
        <f>VLOOKUP(E308,Customers!$A$2:$I$1001,9,0)</f>
        <v>No</v>
      </c>
      <c r="L308" s="4" t="s">
        <v>162</v>
      </c>
      <c r="M308" s="4" t="str">
        <f>VLOOKUP(L308,Products!$A$2:$G$49,2,0)</f>
        <v>Robusta</v>
      </c>
      <c r="N308" s="4" t="str">
        <f>VLOOKUP(L308,Products!$A$2:$G$49,3,0)</f>
        <v>Medium</v>
      </c>
      <c r="O308" s="25">
        <v>5</v>
      </c>
      <c r="P308" s="5">
        <f>INDEX([1]products!$A$1:$G$49,MATCH([1]orders!$D308,[1]products!$A$1:$A$49,0),MATCH([1]orders!K$1,[1]products!$A$1:$G$1,0))</f>
        <v>0.2</v>
      </c>
      <c r="Q308" s="6">
        <f>INDEX([1]products!$A$1:$G$49,MATCH([1]orders!$D308,[1]products!$A$1:$A$49,0),MATCH([1]orders!L$1,[1]products!$A$1:$G$1,0))</f>
        <v>2.9849999999999999</v>
      </c>
      <c r="R308" s="6">
        <f t="shared" si="20"/>
        <v>14.924999999999999</v>
      </c>
      <c r="S308">
        <f>VLOOKUP(L308,Products!$A$2:$G$49,7,0)</f>
        <v>0.17909999999999998</v>
      </c>
      <c r="T308">
        <f t="shared" si="23"/>
        <v>0.89549999999999996</v>
      </c>
      <c r="U308" s="33">
        <f t="shared" si="24"/>
        <v>6.0000000000000009</v>
      </c>
    </row>
    <row r="309" spans="1:21" x14ac:dyDescent="0.25">
      <c r="A309" s="1" t="s">
        <v>628</v>
      </c>
      <c r="B309" s="28">
        <v>44227</v>
      </c>
      <c r="C309" s="21" t="str">
        <f t="shared" si="21"/>
        <v>2021</v>
      </c>
      <c r="D309" s="19" t="str">
        <f t="shared" si="22"/>
        <v>January</v>
      </c>
      <c r="E309" s="3" t="s">
        <v>629</v>
      </c>
      <c r="F309" s="3" t="str">
        <f>VLOOKUP(E309,Customers!$A$2:$I$1001,2,0)</f>
        <v>Ermin Beeble</v>
      </c>
      <c r="G309" s="3" t="str">
        <f>VLOOKUP(E309,Customers!$A$2:$I$1001,3,0)</f>
        <v>ebeeble8j@soundcloud.com</v>
      </c>
      <c r="H309" s="3" t="str">
        <f>VLOOKUP(E309,Customers!$A$2:$I$1001,4,0)</f>
        <v>+1 (513) 141-9892</v>
      </c>
      <c r="I309" s="25" t="str">
        <f>VLOOKUP(E309,Customers!$A$2:$I$1001,6,0)</f>
        <v>Cincinnati</v>
      </c>
      <c r="J309" s="25" t="str">
        <f>VLOOKUP(E309,Customers!$A$2:$I$1001,7,0)</f>
        <v>United States</v>
      </c>
      <c r="K309" s="23" t="str">
        <f>VLOOKUP(E309,Customers!$A$2:$I$1001,9,0)</f>
        <v>Yes</v>
      </c>
      <c r="L309" s="4" t="s">
        <v>61</v>
      </c>
      <c r="M309" s="4" t="str">
        <f>VLOOKUP(L309,Products!$A$2:$G$49,2,0)</f>
        <v>Arabica</v>
      </c>
      <c r="N309" s="4" t="str">
        <f>VLOOKUP(L309,Products!$A$2:$G$49,3,0)</f>
        <v>Medium</v>
      </c>
      <c r="O309" s="25">
        <v>3</v>
      </c>
      <c r="P309" s="5">
        <f>INDEX([1]products!$A$1:$G$49,MATCH([1]orders!$D309,[1]products!$A$1:$A$49,0),MATCH([1]orders!K$1,[1]products!$A$1:$G$1,0))</f>
        <v>1</v>
      </c>
      <c r="Q309" s="6">
        <f>INDEX([1]products!$A$1:$G$49,MATCH([1]orders!$D309,[1]products!$A$1:$A$49,0),MATCH([1]orders!L$1,[1]products!$A$1:$G$1,0))</f>
        <v>11.25</v>
      </c>
      <c r="R309" s="6">
        <f t="shared" si="20"/>
        <v>33.75</v>
      </c>
      <c r="S309">
        <f>VLOOKUP(L309,Products!$A$2:$G$49,7,0)</f>
        <v>1.0125</v>
      </c>
      <c r="T309">
        <f t="shared" si="23"/>
        <v>3.0374999999999996</v>
      </c>
      <c r="U309" s="33">
        <f t="shared" si="24"/>
        <v>8.9999999999999982</v>
      </c>
    </row>
    <row r="310" spans="1:21" x14ac:dyDescent="0.25">
      <c r="A310" s="1" t="s">
        <v>630</v>
      </c>
      <c r="B310" s="28">
        <v>44729</v>
      </c>
      <c r="C310" s="21" t="str">
        <f t="shared" si="21"/>
        <v>2022</v>
      </c>
      <c r="D310" s="19" t="str">
        <f t="shared" si="22"/>
        <v>June</v>
      </c>
      <c r="E310" s="3" t="s">
        <v>631</v>
      </c>
      <c r="F310" s="3" t="str">
        <f>VLOOKUP(E310,Customers!$A$2:$I$1001,2,0)</f>
        <v>Cos Fluin</v>
      </c>
      <c r="G310" s="3" t="str">
        <f>VLOOKUP(E310,Customers!$A$2:$I$1001,3,0)</f>
        <v>cfluin8k@flickr.com</v>
      </c>
      <c r="H310" s="3" t="str">
        <f>VLOOKUP(E310,Customers!$A$2:$I$1001,4,0)</f>
        <v>UNKNOWN</v>
      </c>
      <c r="I310" s="25" t="str">
        <f>VLOOKUP(E310,Customers!$A$2:$I$1001,6,0)</f>
        <v>Sheffield</v>
      </c>
      <c r="J310" s="25" t="str">
        <f>VLOOKUP(E310,Customers!$A$2:$I$1001,7,0)</f>
        <v>United Kingdom</v>
      </c>
      <c r="K310" s="23" t="str">
        <f>VLOOKUP(E310,Customers!$A$2:$I$1001,9,0)</f>
        <v>No</v>
      </c>
      <c r="L310" s="4" t="s">
        <v>61</v>
      </c>
      <c r="M310" s="4" t="str">
        <f>VLOOKUP(L310,Products!$A$2:$G$49,2,0)</f>
        <v>Arabica</v>
      </c>
      <c r="N310" s="4" t="str">
        <f>VLOOKUP(L310,Products!$A$2:$G$49,3,0)</f>
        <v>Medium</v>
      </c>
      <c r="O310" s="25">
        <v>3</v>
      </c>
      <c r="P310" s="5">
        <f>INDEX([1]products!$A$1:$G$49,MATCH([1]orders!$D310,[1]products!$A$1:$A$49,0),MATCH([1]orders!K$1,[1]products!$A$1:$G$1,0))</f>
        <v>1</v>
      </c>
      <c r="Q310" s="6">
        <f>INDEX([1]products!$A$1:$G$49,MATCH([1]orders!$D310,[1]products!$A$1:$A$49,0),MATCH([1]orders!L$1,[1]products!$A$1:$G$1,0))</f>
        <v>11.25</v>
      </c>
      <c r="R310" s="6">
        <f t="shared" si="20"/>
        <v>33.75</v>
      </c>
      <c r="S310">
        <f>VLOOKUP(L310,Products!$A$2:$G$49,7,0)</f>
        <v>1.0125</v>
      </c>
      <c r="T310">
        <f t="shared" si="23"/>
        <v>3.0374999999999996</v>
      </c>
      <c r="U310" s="33">
        <f t="shared" si="24"/>
        <v>8.9999999999999982</v>
      </c>
    </row>
    <row r="311" spans="1:21" x14ac:dyDescent="0.25">
      <c r="A311" s="1" t="s">
        <v>632</v>
      </c>
      <c r="B311" s="28">
        <v>43864</v>
      </c>
      <c r="C311" s="21" t="str">
        <f t="shared" si="21"/>
        <v>2020</v>
      </c>
      <c r="D311" s="19" t="str">
        <f t="shared" si="22"/>
        <v>February</v>
      </c>
      <c r="E311" s="3" t="s">
        <v>633</v>
      </c>
      <c r="F311" s="3" t="str">
        <f>VLOOKUP(E311,Customers!$A$2:$I$1001,2,0)</f>
        <v>Eveleen Bletsor</v>
      </c>
      <c r="G311" s="3" t="str">
        <f>VLOOKUP(E311,Customers!$A$2:$I$1001,3,0)</f>
        <v>ebletsor8l@vinaora.com</v>
      </c>
      <c r="H311" s="3" t="str">
        <f>VLOOKUP(E311,Customers!$A$2:$I$1001,4,0)</f>
        <v>+1 (860) 182-4246</v>
      </c>
      <c r="I311" s="25" t="str">
        <f>VLOOKUP(E311,Customers!$A$2:$I$1001,6,0)</f>
        <v>West Hartford</v>
      </c>
      <c r="J311" s="25" t="str">
        <f>VLOOKUP(E311,Customers!$A$2:$I$1001,7,0)</f>
        <v>United States</v>
      </c>
      <c r="K311" s="23" t="str">
        <f>VLOOKUP(E311,Customers!$A$2:$I$1001,9,0)</f>
        <v>Yes</v>
      </c>
      <c r="L311" s="4" t="s">
        <v>77</v>
      </c>
      <c r="M311" s="4" t="str">
        <f>VLOOKUP(L311,Products!$A$2:$G$49,2,0)</f>
        <v>Liberica</v>
      </c>
      <c r="N311" s="4" t="str">
        <f>VLOOKUP(L311,Products!$A$2:$G$49,3,0)</f>
        <v>Medium</v>
      </c>
      <c r="O311" s="25">
        <v>6</v>
      </c>
      <c r="P311" s="5">
        <f>INDEX([1]products!$A$1:$G$49,MATCH([1]orders!$D311,[1]products!$A$1:$A$49,0),MATCH([1]orders!K$1,[1]products!$A$1:$G$1,0))</f>
        <v>0.2</v>
      </c>
      <c r="Q311" s="6">
        <f>INDEX([1]products!$A$1:$G$49,MATCH([1]orders!$D311,[1]products!$A$1:$A$49,0),MATCH([1]orders!L$1,[1]products!$A$1:$G$1,0))</f>
        <v>4.3650000000000002</v>
      </c>
      <c r="R311" s="6">
        <f t="shared" si="20"/>
        <v>26.19</v>
      </c>
      <c r="S311">
        <f>VLOOKUP(L311,Products!$A$2:$G$49,7,0)</f>
        <v>0.56745000000000001</v>
      </c>
      <c r="T311">
        <f t="shared" si="23"/>
        <v>3.4047000000000001</v>
      </c>
      <c r="U311" s="33">
        <f t="shared" si="24"/>
        <v>13</v>
      </c>
    </row>
    <row r="312" spans="1:21" x14ac:dyDescent="0.25">
      <c r="A312" s="1" t="s">
        <v>634</v>
      </c>
      <c r="B312" s="28">
        <v>44586</v>
      </c>
      <c r="C312" s="21" t="str">
        <f t="shared" si="21"/>
        <v>2022</v>
      </c>
      <c r="D312" s="19" t="str">
        <f t="shared" si="22"/>
        <v>January</v>
      </c>
      <c r="E312" s="3" t="s">
        <v>635</v>
      </c>
      <c r="F312" s="3" t="str">
        <f>VLOOKUP(E312,Customers!$A$2:$I$1001,2,0)</f>
        <v>Paola Brydell</v>
      </c>
      <c r="G312" s="3" t="str">
        <f>VLOOKUP(E312,Customers!$A$2:$I$1001,3,0)</f>
        <v>pbrydell8m@bloglovin.com</v>
      </c>
      <c r="H312" s="3" t="str">
        <f>VLOOKUP(E312,Customers!$A$2:$I$1001,4,0)</f>
        <v>+353 (522) 527-0155</v>
      </c>
      <c r="I312" s="25" t="str">
        <f>VLOOKUP(E312,Customers!$A$2:$I$1001,6,0)</f>
        <v>Listowel</v>
      </c>
      <c r="J312" s="25" t="str">
        <f>VLOOKUP(E312,Customers!$A$2:$I$1001,7,0)</f>
        <v>Ireland</v>
      </c>
      <c r="K312" s="23" t="str">
        <f>VLOOKUP(E312,Customers!$A$2:$I$1001,9,0)</f>
        <v>No</v>
      </c>
      <c r="L312" s="4" t="s">
        <v>137</v>
      </c>
      <c r="M312" s="4" t="str">
        <f>VLOOKUP(L312,Products!$A$2:$G$49,2,0)</f>
        <v>Excelsa</v>
      </c>
      <c r="N312" s="4" t="str">
        <f>VLOOKUP(L312,Products!$A$2:$G$49,3,0)</f>
        <v>Light</v>
      </c>
      <c r="O312" s="25">
        <v>1</v>
      </c>
      <c r="P312" s="5">
        <f>INDEX([1]products!$A$1:$G$49,MATCH([1]orders!$D312,[1]products!$A$1:$A$49,0),MATCH([1]orders!K$1,[1]products!$A$1:$G$1,0))</f>
        <v>1</v>
      </c>
      <c r="Q312" s="6">
        <f>INDEX([1]products!$A$1:$G$49,MATCH([1]orders!$D312,[1]products!$A$1:$A$49,0),MATCH([1]orders!L$1,[1]products!$A$1:$G$1,0))</f>
        <v>14.85</v>
      </c>
      <c r="R312" s="6">
        <f t="shared" si="20"/>
        <v>14.85</v>
      </c>
      <c r="S312">
        <f>VLOOKUP(L312,Products!$A$2:$G$49,7,0)</f>
        <v>1.6335</v>
      </c>
      <c r="T312">
        <f t="shared" si="23"/>
        <v>1.6335</v>
      </c>
      <c r="U312" s="33">
        <f t="shared" si="24"/>
        <v>11</v>
      </c>
    </row>
    <row r="313" spans="1:21" x14ac:dyDescent="0.25">
      <c r="A313" s="1" t="s">
        <v>636</v>
      </c>
      <c r="B313" s="28">
        <v>43951</v>
      </c>
      <c r="C313" s="21" t="str">
        <f t="shared" si="21"/>
        <v>2020</v>
      </c>
      <c r="D313" s="19" t="str">
        <f t="shared" si="22"/>
        <v>April</v>
      </c>
      <c r="E313" s="3" t="s">
        <v>623</v>
      </c>
      <c r="F313" s="3" t="str">
        <f>VLOOKUP(E313,Customers!$A$2:$I$1001,2,0)</f>
        <v>Claudetta Rushe</v>
      </c>
      <c r="G313" s="3" t="str">
        <f>VLOOKUP(E313,Customers!$A$2:$I$1001,3,0)</f>
        <v>crushe8n@about.me</v>
      </c>
      <c r="H313" s="3" t="str">
        <f>VLOOKUP(E313,Customers!$A$2:$I$1001,4,0)</f>
        <v>+1 (704) 883-8274</v>
      </c>
      <c r="I313" s="25" t="str">
        <f>VLOOKUP(E313,Customers!$A$2:$I$1001,6,0)</f>
        <v>Charlotte</v>
      </c>
      <c r="J313" s="25" t="str">
        <f>VLOOKUP(E313,Customers!$A$2:$I$1001,7,0)</f>
        <v>United States</v>
      </c>
      <c r="K313" s="23" t="str">
        <f>VLOOKUP(E313,Customers!$A$2:$I$1001,9,0)</f>
        <v>Yes</v>
      </c>
      <c r="L313" s="4" t="s">
        <v>112</v>
      </c>
      <c r="M313" s="4" t="str">
        <f>VLOOKUP(L313,Products!$A$2:$G$49,2,0)</f>
        <v>Excelsa</v>
      </c>
      <c r="N313" s="4" t="str">
        <f>VLOOKUP(L313,Products!$A$2:$G$49,3,0)</f>
        <v>Medium</v>
      </c>
      <c r="O313" s="25">
        <v>6</v>
      </c>
      <c r="P313" s="5">
        <f>INDEX([1]products!$A$1:$G$49,MATCH([1]orders!$D313,[1]products!$A$1:$A$49,0),MATCH([1]orders!K$1,[1]products!$A$1:$G$1,0))</f>
        <v>2.5</v>
      </c>
      <c r="Q313" s="6">
        <f>INDEX([1]products!$A$1:$G$49,MATCH([1]orders!$D313,[1]products!$A$1:$A$49,0),MATCH([1]orders!L$1,[1]products!$A$1:$G$1,0))</f>
        <v>31.624999999999996</v>
      </c>
      <c r="R313" s="6">
        <f t="shared" si="20"/>
        <v>189.74999999999997</v>
      </c>
      <c r="S313">
        <f>VLOOKUP(L313,Products!$A$2:$G$49,7,0)</f>
        <v>3.4787499999999998</v>
      </c>
      <c r="T313">
        <f t="shared" si="23"/>
        <v>20.872499999999999</v>
      </c>
      <c r="U313" s="33">
        <f t="shared" si="24"/>
        <v>11.000000000000002</v>
      </c>
    </row>
    <row r="314" spans="1:21" x14ac:dyDescent="0.25">
      <c r="A314" s="1" t="s">
        <v>637</v>
      </c>
      <c r="B314" s="28">
        <v>44317</v>
      </c>
      <c r="C314" s="21" t="str">
        <f t="shared" si="21"/>
        <v>2021</v>
      </c>
      <c r="D314" s="19" t="str">
        <f t="shared" si="22"/>
        <v>May</v>
      </c>
      <c r="E314" s="3" t="s">
        <v>638</v>
      </c>
      <c r="F314" s="3" t="str">
        <f>VLOOKUP(E314,Customers!$A$2:$I$1001,2,0)</f>
        <v>Natka Leethem</v>
      </c>
      <c r="G314" s="3" t="str">
        <f>VLOOKUP(E314,Customers!$A$2:$I$1001,3,0)</f>
        <v>nleethem8o@mac.com</v>
      </c>
      <c r="H314" s="3" t="str">
        <f>VLOOKUP(E314,Customers!$A$2:$I$1001,4,0)</f>
        <v>+1 (318) 839-1492</v>
      </c>
      <c r="I314" s="25" t="str">
        <f>VLOOKUP(E314,Customers!$A$2:$I$1001,6,0)</f>
        <v>Alexandria</v>
      </c>
      <c r="J314" s="25" t="str">
        <f>VLOOKUP(E314,Customers!$A$2:$I$1001,7,0)</f>
        <v>United States</v>
      </c>
      <c r="K314" s="23" t="str">
        <f>VLOOKUP(E314,Customers!$A$2:$I$1001,9,0)</f>
        <v>Yes</v>
      </c>
      <c r="L314" s="4" t="s">
        <v>22</v>
      </c>
      <c r="M314" s="4" t="str">
        <f>VLOOKUP(L314,Products!$A$2:$G$49,2,0)</f>
        <v>Robusta</v>
      </c>
      <c r="N314" s="4" t="str">
        <f>VLOOKUP(L314,Products!$A$2:$G$49,3,0)</f>
        <v>Medium</v>
      </c>
      <c r="O314" s="25">
        <v>1</v>
      </c>
      <c r="P314" s="5">
        <f>INDEX([1]products!$A$1:$G$49,MATCH([1]orders!$D314,[1]products!$A$1:$A$49,0),MATCH([1]orders!K$1,[1]products!$A$1:$G$1,0))</f>
        <v>0.5</v>
      </c>
      <c r="Q314" s="6">
        <f>INDEX([1]products!$A$1:$G$49,MATCH([1]orders!$D314,[1]products!$A$1:$A$49,0),MATCH([1]orders!L$1,[1]products!$A$1:$G$1,0))</f>
        <v>5.97</v>
      </c>
      <c r="R314" s="6">
        <f t="shared" si="20"/>
        <v>5.97</v>
      </c>
      <c r="S314">
        <f>VLOOKUP(L314,Products!$A$2:$G$49,7,0)</f>
        <v>0.35819999999999996</v>
      </c>
      <c r="T314">
        <f t="shared" si="23"/>
        <v>0.35819999999999996</v>
      </c>
      <c r="U314" s="33">
        <f t="shared" si="24"/>
        <v>6</v>
      </c>
    </row>
    <row r="315" spans="1:21" x14ac:dyDescent="0.25">
      <c r="A315" s="1" t="s">
        <v>639</v>
      </c>
      <c r="B315" s="28">
        <v>44497</v>
      </c>
      <c r="C315" s="21" t="str">
        <f t="shared" si="21"/>
        <v>2021</v>
      </c>
      <c r="D315" s="19" t="str">
        <f t="shared" si="22"/>
        <v>October</v>
      </c>
      <c r="E315" s="3" t="s">
        <v>640</v>
      </c>
      <c r="F315" s="3" t="str">
        <f>VLOOKUP(E315,Customers!$A$2:$I$1001,2,0)</f>
        <v>Ailene Nesfield</v>
      </c>
      <c r="G315" s="3" t="str">
        <f>VLOOKUP(E315,Customers!$A$2:$I$1001,3,0)</f>
        <v>anesfield8p@people.com.cn</v>
      </c>
      <c r="H315" s="3" t="str">
        <f>VLOOKUP(E315,Customers!$A$2:$I$1001,4,0)</f>
        <v>+44 (418) 372-8139</v>
      </c>
      <c r="I315" s="25" t="str">
        <f>VLOOKUP(E315,Customers!$A$2:$I$1001,6,0)</f>
        <v>Belfast</v>
      </c>
      <c r="J315" s="25" t="str">
        <f>VLOOKUP(E315,Customers!$A$2:$I$1001,7,0)</f>
        <v>United Kingdom</v>
      </c>
      <c r="K315" s="23" t="str">
        <f>VLOOKUP(E315,Customers!$A$2:$I$1001,9,0)</f>
        <v>Yes</v>
      </c>
      <c r="L315" s="4" t="s">
        <v>2</v>
      </c>
      <c r="M315" s="4" t="str">
        <f>VLOOKUP(L315,Products!$A$2:$G$49,2,0)</f>
        <v>Robusta</v>
      </c>
      <c r="N315" s="4" t="str">
        <f>VLOOKUP(L315,Products!$A$2:$G$49,3,0)</f>
        <v>Medium</v>
      </c>
      <c r="O315" s="25">
        <v>3</v>
      </c>
      <c r="P315" s="5">
        <f>INDEX([1]products!$A$1:$G$49,MATCH([1]orders!$D315,[1]products!$A$1:$A$49,0),MATCH([1]orders!K$1,[1]products!$A$1:$G$1,0))</f>
        <v>1</v>
      </c>
      <c r="Q315" s="6">
        <f>INDEX([1]products!$A$1:$G$49,MATCH([1]orders!$D315,[1]products!$A$1:$A$49,0),MATCH([1]orders!L$1,[1]products!$A$1:$G$1,0))</f>
        <v>9.9499999999999993</v>
      </c>
      <c r="R315" s="6">
        <f t="shared" si="20"/>
        <v>29.849999999999998</v>
      </c>
      <c r="S315">
        <f>VLOOKUP(L315,Products!$A$2:$G$49,7,0)</f>
        <v>0.59699999999999998</v>
      </c>
      <c r="T315">
        <f t="shared" si="23"/>
        <v>1.7909999999999999</v>
      </c>
      <c r="U315" s="33">
        <f t="shared" si="24"/>
        <v>6.0000000000000009</v>
      </c>
    </row>
    <row r="316" spans="1:21" x14ac:dyDescent="0.25">
      <c r="A316" s="1" t="s">
        <v>641</v>
      </c>
      <c r="B316" s="28">
        <v>44437</v>
      </c>
      <c r="C316" s="21" t="str">
        <f t="shared" si="21"/>
        <v>2021</v>
      </c>
      <c r="D316" s="19" t="str">
        <f t="shared" si="22"/>
        <v>August</v>
      </c>
      <c r="E316" s="3" t="s">
        <v>642</v>
      </c>
      <c r="F316" s="3" t="str">
        <f>VLOOKUP(E316,Customers!$A$2:$I$1001,2,0)</f>
        <v>Stacy Pickworth</v>
      </c>
      <c r="G316" s="3" t="str">
        <f>VLOOKUP(E316,Customers!$A$2:$I$1001,3,0)</f>
        <v>UNKNOWN</v>
      </c>
      <c r="H316" s="3" t="str">
        <f>VLOOKUP(E316,Customers!$A$2:$I$1001,4,0)</f>
        <v>+1 (702) 723-3139</v>
      </c>
      <c r="I316" s="25" t="str">
        <f>VLOOKUP(E316,Customers!$A$2:$I$1001,6,0)</f>
        <v>Las Vegas</v>
      </c>
      <c r="J316" s="25" t="str">
        <f>VLOOKUP(E316,Customers!$A$2:$I$1001,7,0)</f>
        <v>United States</v>
      </c>
      <c r="K316" s="23" t="str">
        <f>VLOOKUP(E316,Customers!$A$2:$I$1001,9,0)</f>
        <v>No</v>
      </c>
      <c r="L316" s="4" t="s">
        <v>179</v>
      </c>
      <c r="M316" s="4" t="str">
        <f>VLOOKUP(L316,Products!$A$2:$G$49,2,0)</f>
        <v>Robusta</v>
      </c>
      <c r="N316" s="4" t="str">
        <f>VLOOKUP(L316,Products!$A$2:$G$49,3,0)</f>
        <v>Dark</v>
      </c>
      <c r="O316" s="25">
        <v>5</v>
      </c>
      <c r="P316" s="5">
        <f>INDEX([1]products!$A$1:$G$49,MATCH([1]orders!$D316,[1]products!$A$1:$A$49,0),MATCH([1]orders!K$1,[1]products!$A$1:$G$1,0))</f>
        <v>1</v>
      </c>
      <c r="Q316" s="6">
        <f>INDEX([1]products!$A$1:$G$49,MATCH([1]orders!$D316,[1]products!$A$1:$A$49,0),MATCH([1]orders!L$1,[1]products!$A$1:$G$1,0))</f>
        <v>8.9499999999999993</v>
      </c>
      <c r="R316" s="6">
        <f t="shared" si="20"/>
        <v>44.75</v>
      </c>
      <c r="S316">
        <f>VLOOKUP(L316,Products!$A$2:$G$49,7,0)</f>
        <v>0.53699999999999992</v>
      </c>
      <c r="T316">
        <f t="shared" si="23"/>
        <v>2.6849999999999996</v>
      </c>
      <c r="U316" s="33">
        <f t="shared" si="24"/>
        <v>5.9999999999999991</v>
      </c>
    </row>
    <row r="317" spans="1:21" x14ac:dyDescent="0.25">
      <c r="A317" s="1" t="s">
        <v>643</v>
      </c>
      <c r="B317" s="28">
        <v>43826</v>
      </c>
      <c r="C317" s="21" t="str">
        <f t="shared" si="21"/>
        <v>2019</v>
      </c>
      <c r="D317" s="19" t="str">
        <f t="shared" si="22"/>
        <v>December</v>
      </c>
      <c r="E317" s="3" t="s">
        <v>644</v>
      </c>
      <c r="F317" s="3" t="str">
        <f>VLOOKUP(E317,Customers!$A$2:$I$1001,2,0)</f>
        <v>Melli Brockway</v>
      </c>
      <c r="G317" s="3" t="str">
        <f>VLOOKUP(E317,Customers!$A$2:$I$1001,3,0)</f>
        <v>mbrockway8r@ibm.com</v>
      </c>
      <c r="H317" s="3" t="str">
        <f>VLOOKUP(E317,Customers!$A$2:$I$1001,4,0)</f>
        <v>+1 (515) 216-0617</v>
      </c>
      <c r="I317" s="25" t="str">
        <f>VLOOKUP(E317,Customers!$A$2:$I$1001,6,0)</f>
        <v>Des Moines</v>
      </c>
      <c r="J317" s="25" t="str">
        <f>VLOOKUP(E317,Customers!$A$2:$I$1001,7,0)</f>
        <v>United States</v>
      </c>
      <c r="K317" s="23" t="str">
        <f>VLOOKUP(E317,Customers!$A$2:$I$1001,9,0)</f>
        <v>Yes</v>
      </c>
      <c r="L317" s="4" t="s">
        <v>30</v>
      </c>
      <c r="M317" s="4" t="str">
        <f>VLOOKUP(L317,Products!$A$2:$G$49,2,0)</f>
        <v>Excelsa</v>
      </c>
      <c r="N317" s="4" t="str">
        <f>VLOOKUP(L317,Products!$A$2:$G$49,3,0)</f>
        <v>Light</v>
      </c>
      <c r="O317" s="25">
        <v>1</v>
      </c>
      <c r="P317" s="5">
        <f>INDEX([1]products!$A$1:$G$49,MATCH([1]orders!$D317,[1]products!$A$1:$A$49,0),MATCH([1]orders!K$1,[1]products!$A$1:$G$1,0))</f>
        <v>2.5</v>
      </c>
      <c r="Q317" s="6">
        <f>INDEX([1]products!$A$1:$G$49,MATCH([1]orders!$D317,[1]products!$A$1:$A$49,0),MATCH([1]orders!L$1,[1]products!$A$1:$G$1,0))</f>
        <v>34.154999999999994</v>
      </c>
      <c r="R317" s="6">
        <f t="shared" si="20"/>
        <v>34.154999999999994</v>
      </c>
      <c r="S317">
        <f>VLOOKUP(L317,Products!$A$2:$G$49,7,0)</f>
        <v>3.7570499999999996</v>
      </c>
      <c r="T317">
        <f t="shared" si="23"/>
        <v>3.7570499999999996</v>
      </c>
      <c r="U317" s="33">
        <f t="shared" si="24"/>
        <v>11</v>
      </c>
    </row>
    <row r="318" spans="1:21" x14ac:dyDescent="0.25">
      <c r="A318" s="1" t="s">
        <v>645</v>
      </c>
      <c r="B318" s="28">
        <v>43641</v>
      </c>
      <c r="C318" s="21" t="str">
        <f t="shared" si="21"/>
        <v>2019</v>
      </c>
      <c r="D318" s="19" t="str">
        <f t="shared" si="22"/>
        <v>June</v>
      </c>
      <c r="E318" s="3" t="s">
        <v>646</v>
      </c>
      <c r="F318" s="3" t="str">
        <f>VLOOKUP(E318,Customers!$A$2:$I$1001,2,0)</f>
        <v>Nanny Lush</v>
      </c>
      <c r="G318" s="3" t="str">
        <f>VLOOKUP(E318,Customers!$A$2:$I$1001,3,0)</f>
        <v>nlush8s@dedecms.com</v>
      </c>
      <c r="H318" s="3" t="str">
        <f>VLOOKUP(E318,Customers!$A$2:$I$1001,4,0)</f>
        <v>+353 (360) 805-4030</v>
      </c>
      <c r="I318" s="25" t="str">
        <f>VLOOKUP(E318,Customers!$A$2:$I$1001,6,0)</f>
        <v>Ballivor</v>
      </c>
      <c r="J318" s="25" t="str">
        <f>VLOOKUP(E318,Customers!$A$2:$I$1001,7,0)</f>
        <v>Ireland</v>
      </c>
      <c r="K318" s="23" t="str">
        <f>VLOOKUP(E318,Customers!$A$2:$I$1001,9,0)</f>
        <v>No</v>
      </c>
      <c r="L318" s="4" t="s">
        <v>30</v>
      </c>
      <c r="M318" s="4" t="str">
        <f>VLOOKUP(L318,Products!$A$2:$G$49,2,0)</f>
        <v>Excelsa</v>
      </c>
      <c r="N318" s="4" t="str">
        <f>VLOOKUP(L318,Products!$A$2:$G$49,3,0)</f>
        <v>Light</v>
      </c>
      <c r="O318" s="25">
        <v>6</v>
      </c>
      <c r="P318" s="5">
        <f>INDEX([1]products!$A$1:$G$49,MATCH([1]orders!$D318,[1]products!$A$1:$A$49,0),MATCH([1]orders!K$1,[1]products!$A$1:$G$1,0))</f>
        <v>2.5</v>
      </c>
      <c r="Q318" s="6">
        <f>INDEX([1]products!$A$1:$G$49,MATCH([1]orders!$D318,[1]products!$A$1:$A$49,0),MATCH([1]orders!L$1,[1]products!$A$1:$G$1,0))</f>
        <v>34.154999999999994</v>
      </c>
      <c r="R318" s="6">
        <f t="shared" si="20"/>
        <v>204.92999999999995</v>
      </c>
      <c r="S318">
        <f>VLOOKUP(L318,Products!$A$2:$G$49,7,0)</f>
        <v>3.7570499999999996</v>
      </c>
      <c r="T318">
        <f t="shared" si="23"/>
        <v>22.542299999999997</v>
      </c>
      <c r="U318" s="33">
        <f t="shared" si="24"/>
        <v>11.000000000000002</v>
      </c>
    </row>
    <row r="319" spans="1:21" x14ac:dyDescent="0.25">
      <c r="A319" s="1" t="s">
        <v>647</v>
      </c>
      <c r="B319" s="28">
        <v>43526</v>
      </c>
      <c r="C319" s="21" t="str">
        <f t="shared" si="21"/>
        <v>2019</v>
      </c>
      <c r="D319" s="19" t="str">
        <f t="shared" si="22"/>
        <v>March</v>
      </c>
      <c r="E319" s="3" t="s">
        <v>648</v>
      </c>
      <c r="F319" s="3" t="str">
        <f>VLOOKUP(E319,Customers!$A$2:$I$1001,2,0)</f>
        <v>Selma McMillian</v>
      </c>
      <c r="G319" s="3" t="str">
        <f>VLOOKUP(E319,Customers!$A$2:$I$1001,3,0)</f>
        <v>smcmillian8t@csmonitor.com</v>
      </c>
      <c r="H319" s="3" t="str">
        <f>VLOOKUP(E319,Customers!$A$2:$I$1001,4,0)</f>
        <v>+1 (330) 407-0631</v>
      </c>
      <c r="I319" s="25" t="str">
        <f>VLOOKUP(E319,Customers!$A$2:$I$1001,6,0)</f>
        <v>Akron</v>
      </c>
      <c r="J319" s="25" t="str">
        <f>VLOOKUP(E319,Customers!$A$2:$I$1001,7,0)</f>
        <v>United States</v>
      </c>
      <c r="K319" s="23" t="str">
        <f>VLOOKUP(E319,Customers!$A$2:$I$1001,9,0)</f>
        <v>No</v>
      </c>
      <c r="L319" s="4" t="s">
        <v>16</v>
      </c>
      <c r="M319" s="4" t="str">
        <f>VLOOKUP(L319,Products!$A$2:$G$49,2,0)</f>
        <v>Excelsa</v>
      </c>
      <c r="N319" s="4" t="str">
        <f>VLOOKUP(L319,Products!$A$2:$G$49,3,0)</f>
        <v>Dark</v>
      </c>
      <c r="O319" s="25">
        <v>3</v>
      </c>
      <c r="P319" s="5">
        <f>INDEX([1]products!$A$1:$G$49,MATCH([1]orders!$D319,[1]products!$A$1:$A$49,0),MATCH([1]orders!K$1,[1]products!$A$1:$G$1,0))</f>
        <v>0.5</v>
      </c>
      <c r="Q319" s="6">
        <f>INDEX([1]products!$A$1:$G$49,MATCH([1]orders!$D319,[1]products!$A$1:$A$49,0),MATCH([1]orders!L$1,[1]products!$A$1:$G$1,0))</f>
        <v>7.29</v>
      </c>
      <c r="R319" s="6">
        <f t="shared" si="20"/>
        <v>21.87</v>
      </c>
      <c r="S319">
        <f>VLOOKUP(L319,Products!$A$2:$G$49,7,0)</f>
        <v>0.80190000000000006</v>
      </c>
      <c r="T319">
        <f t="shared" si="23"/>
        <v>2.4057000000000004</v>
      </c>
      <c r="U319" s="33">
        <f t="shared" si="24"/>
        <v>11.000000000000002</v>
      </c>
    </row>
    <row r="320" spans="1:21" x14ac:dyDescent="0.25">
      <c r="A320" s="1" t="s">
        <v>649</v>
      </c>
      <c r="B320" s="28">
        <v>44563</v>
      </c>
      <c r="C320" s="21" t="str">
        <f t="shared" si="21"/>
        <v>2022</v>
      </c>
      <c r="D320" s="19" t="str">
        <f t="shared" si="22"/>
        <v>January</v>
      </c>
      <c r="E320" s="3" t="s">
        <v>650</v>
      </c>
      <c r="F320" s="3" t="str">
        <f>VLOOKUP(E320,Customers!$A$2:$I$1001,2,0)</f>
        <v>Tess Bennison</v>
      </c>
      <c r="G320" s="3" t="str">
        <f>VLOOKUP(E320,Customers!$A$2:$I$1001,3,0)</f>
        <v>tbennison8u@google.cn</v>
      </c>
      <c r="H320" s="3" t="str">
        <f>VLOOKUP(E320,Customers!$A$2:$I$1001,4,0)</f>
        <v>+1 (561) 413-7904</v>
      </c>
      <c r="I320" s="25" t="str">
        <f>VLOOKUP(E320,Customers!$A$2:$I$1001,6,0)</f>
        <v>West Palm Beach</v>
      </c>
      <c r="J320" s="25" t="str">
        <f>VLOOKUP(E320,Customers!$A$2:$I$1001,7,0)</f>
        <v>United States</v>
      </c>
      <c r="K320" s="23" t="str">
        <f>VLOOKUP(E320,Customers!$A$2:$I$1001,9,0)</f>
        <v>Yes</v>
      </c>
      <c r="L320" s="4" t="s">
        <v>171</v>
      </c>
      <c r="M320" s="4" t="str">
        <f>VLOOKUP(L320,Products!$A$2:$G$49,2,0)</f>
        <v>Arabica</v>
      </c>
      <c r="N320" s="4" t="str">
        <f>VLOOKUP(L320,Products!$A$2:$G$49,3,0)</f>
        <v>Medium</v>
      </c>
      <c r="O320" s="25">
        <v>2</v>
      </c>
      <c r="P320" s="5">
        <f>INDEX([1]products!$A$1:$G$49,MATCH([1]orders!$D320,[1]products!$A$1:$A$49,0),MATCH([1]orders!K$1,[1]products!$A$1:$G$1,0))</f>
        <v>2.5</v>
      </c>
      <c r="Q320" s="6">
        <f>INDEX([1]products!$A$1:$G$49,MATCH([1]orders!$D320,[1]products!$A$1:$A$49,0),MATCH([1]orders!L$1,[1]products!$A$1:$G$1,0))</f>
        <v>25.874999999999996</v>
      </c>
      <c r="R320" s="6">
        <f t="shared" si="20"/>
        <v>51.749999999999993</v>
      </c>
      <c r="S320">
        <f>VLOOKUP(L320,Products!$A$2:$G$49,7,0)</f>
        <v>2.3287499999999994</v>
      </c>
      <c r="T320">
        <f t="shared" si="23"/>
        <v>4.6574999999999989</v>
      </c>
      <c r="U320" s="33">
        <f t="shared" si="24"/>
        <v>9</v>
      </c>
    </row>
    <row r="321" spans="1:21" x14ac:dyDescent="0.25">
      <c r="A321" s="1" t="s">
        <v>651</v>
      </c>
      <c r="B321" s="28">
        <v>43676</v>
      </c>
      <c r="C321" s="21" t="str">
        <f t="shared" si="21"/>
        <v>2019</v>
      </c>
      <c r="D321" s="19" t="str">
        <f t="shared" si="22"/>
        <v>July</v>
      </c>
      <c r="E321" s="3" t="s">
        <v>652</v>
      </c>
      <c r="F321" s="3" t="str">
        <f>VLOOKUP(E321,Customers!$A$2:$I$1001,2,0)</f>
        <v>Gabie Tweed</v>
      </c>
      <c r="G321" s="3" t="str">
        <f>VLOOKUP(E321,Customers!$A$2:$I$1001,3,0)</f>
        <v>gtweed8v@yolasite.com</v>
      </c>
      <c r="H321" s="3" t="str">
        <f>VLOOKUP(E321,Customers!$A$2:$I$1001,4,0)</f>
        <v>UNKNOWN</v>
      </c>
      <c r="I321" s="25" t="str">
        <f>VLOOKUP(E321,Customers!$A$2:$I$1001,6,0)</f>
        <v>Fresno</v>
      </c>
      <c r="J321" s="25" t="str">
        <f>VLOOKUP(E321,Customers!$A$2:$I$1001,7,0)</f>
        <v>United States</v>
      </c>
      <c r="K321" s="23" t="str">
        <f>VLOOKUP(E321,Customers!$A$2:$I$1001,9,0)</f>
        <v>Yes</v>
      </c>
      <c r="L321" s="4" t="s">
        <v>64</v>
      </c>
      <c r="M321" s="4" t="str">
        <f>VLOOKUP(L321,Products!$A$2:$G$49,2,0)</f>
        <v>Excelsa</v>
      </c>
      <c r="N321" s="4" t="str">
        <f>VLOOKUP(L321,Products!$A$2:$G$49,3,0)</f>
        <v>Medium</v>
      </c>
      <c r="O321" s="25">
        <v>2</v>
      </c>
      <c r="P321" s="5">
        <f>INDEX([1]products!$A$1:$G$49,MATCH([1]orders!$D321,[1]products!$A$1:$A$49,0),MATCH([1]orders!K$1,[1]products!$A$1:$G$1,0))</f>
        <v>0.2</v>
      </c>
      <c r="Q321" s="6">
        <f>INDEX([1]products!$A$1:$G$49,MATCH([1]orders!$D321,[1]products!$A$1:$A$49,0),MATCH([1]orders!L$1,[1]products!$A$1:$G$1,0))</f>
        <v>4.125</v>
      </c>
      <c r="R321" s="6">
        <f t="shared" si="20"/>
        <v>8.25</v>
      </c>
      <c r="S321">
        <f>VLOOKUP(L321,Products!$A$2:$G$49,7,0)</f>
        <v>0.45374999999999999</v>
      </c>
      <c r="T321">
        <f t="shared" si="23"/>
        <v>0.90749999999999997</v>
      </c>
      <c r="U321" s="33">
        <f t="shared" si="24"/>
        <v>11</v>
      </c>
    </row>
    <row r="322" spans="1:21" x14ac:dyDescent="0.25">
      <c r="A322" s="1" t="s">
        <v>651</v>
      </c>
      <c r="B322" s="28">
        <v>43676</v>
      </c>
      <c r="C322" s="21" t="str">
        <f t="shared" si="21"/>
        <v>2019</v>
      </c>
      <c r="D322" s="19" t="str">
        <f t="shared" si="22"/>
        <v>July</v>
      </c>
      <c r="E322" s="3" t="s">
        <v>652</v>
      </c>
      <c r="F322" s="3" t="str">
        <f>VLOOKUP(E322,Customers!$A$2:$I$1001,2,0)</f>
        <v>Gabie Tweed</v>
      </c>
      <c r="G322" s="3" t="str">
        <f>VLOOKUP(E322,Customers!$A$2:$I$1001,3,0)</f>
        <v>gtweed8v@yolasite.com</v>
      </c>
      <c r="H322" s="3" t="str">
        <f>VLOOKUP(E322,Customers!$A$2:$I$1001,4,0)</f>
        <v>UNKNOWN</v>
      </c>
      <c r="I322" s="25" t="str">
        <f>VLOOKUP(E322,Customers!$A$2:$I$1001,6,0)</f>
        <v>Fresno</v>
      </c>
      <c r="J322" s="25" t="str">
        <f>VLOOKUP(E322,Customers!$A$2:$I$1001,7,0)</f>
        <v>United States</v>
      </c>
      <c r="K322" s="23" t="str">
        <f>VLOOKUP(E322,Customers!$A$2:$I$1001,9,0)</f>
        <v>Yes</v>
      </c>
      <c r="L322" s="4" t="s">
        <v>115</v>
      </c>
      <c r="M322" s="4" t="str">
        <f>VLOOKUP(L322,Products!$A$2:$G$49,2,0)</f>
        <v>Arabica</v>
      </c>
      <c r="N322" s="4" t="str">
        <f>VLOOKUP(L322,Products!$A$2:$G$49,3,0)</f>
        <v>Light</v>
      </c>
      <c r="O322" s="25">
        <v>5</v>
      </c>
      <c r="P322" s="5">
        <f>INDEX([1]products!$A$1:$G$49,MATCH([1]orders!$D322,[1]products!$A$1:$A$49,0),MATCH([1]orders!K$1,[1]products!$A$1:$G$1,0))</f>
        <v>0.2</v>
      </c>
      <c r="Q322" s="6">
        <f>INDEX([1]products!$A$1:$G$49,MATCH([1]orders!$D322,[1]products!$A$1:$A$49,0),MATCH([1]orders!L$1,[1]products!$A$1:$G$1,0))</f>
        <v>3.8849999999999998</v>
      </c>
      <c r="R322" s="6">
        <f t="shared" ref="R322:R385" si="25">O322*Q322</f>
        <v>19.424999999999997</v>
      </c>
      <c r="S322">
        <f>VLOOKUP(L322,Products!$A$2:$G$49,7,0)</f>
        <v>0.34964999999999996</v>
      </c>
      <c r="T322">
        <f t="shared" si="23"/>
        <v>1.7482499999999999</v>
      </c>
      <c r="U322" s="33">
        <f t="shared" si="24"/>
        <v>9.0000000000000018</v>
      </c>
    </row>
    <row r="323" spans="1:21" x14ac:dyDescent="0.25">
      <c r="A323" s="1" t="s">
        <v>653</v>
      </c>
      <c r="B323" s="28">
        <v>44170</v>
      </c>
      <c r="C323" s="21" t="str">
        <f t="shared" ref="C323:C386" si="26">TEXT(B323,"yyyy")</f>
        <v>2020</v>
      </c>
      <c r="D323" s="19" t="str">
        <f t="shared" ref="D323:D386" si="27">TEXT(B323,"mmmm")</f>
        <v>December</v>
      </c>
      <c r="E323" s="3" t="s">
        <v>654</v>
      </c>
      <c r="F323" s="3" t="str">
        <f>VLOOKUP(E323,Customers!$A$2:$I$1001,2,0)</f>
        <v>Gaile Goggin</v>
      </c>
      <c r="G323" s="3" t="str">
        <f>VLOOKUP(E323,Customers!$A$2:$I$1001,3,0)</f>
        <v>ggoggin8x@wix.com</v>
      </c>
      <c r="H323" s="3" t="str">
        <f>VLOOKUP(E323,Customers!$A$2:$I$1001,4,0)</f>
        <v>+353 (484) 159-9549</v>
      </c>
      <c r="I323" s="25" t="str">
        <f>VLOOKUP(E323,Customers!$A$2:$I$1001,6,0)</f>
        <v>Sandyford</v>
      </c>
      <c r="J323" s="25" t="str">
        <f>VLOOKUP(E323,Customers!$A$2:$I$1001,7,0)</f>
        <v>Ireland</v>
      </c>
      <c r="K323" s="23" t="str">
        <f>VLOOKUP(E323,Customers!$A$2:$I$1001,9,0)</f>
        <v>Yes</v>
      </c>
      <c r="L323" s="4" t="s">
        <v>44</v>
      </c>
      <c r="M323" s="4" t="str">
        <f>VLOOKUP(L323,Products!$A$2:$G$49,2,0)</f>
        <v>Arabica</v>
      </c>
      <c r="N323" s="4" t="str">
        <f>VLOOKUP(L323,Products!$A$2:$G$49,3,0)</f>
        <v>Medium</v>
      </c>
      <c r="O323" s="25">
        <v>6</v>
      </c>
      <c r="P323" s="5">
        <f>INDEX([1]products!$A$1:$G$49,MATCH([1]orders!$D323,[1]products!$A$1:$A$49,0),MATCH([1]orders!K$1,[1]products!$A$1:$G$1,0))</f>
        <v>0.2</v>
      </c>
      <c r="Q323" s="6">
        <f>INDEX([1]products!$A$1:$G$49,MATCH([1]orders!$D323,[1]products!$A$1:$A$49,0),MATCH([1]orders!L$1,[1]products!$A$1:$G$1,0))</f>
        <v>3.375</v>
      </c>
      <c r="R323" s="6">
        <f t="shared" si="25"/>
        <v>20.25</v>
      </c>
      <c r="S323">
        <f>VLOOKUP(L323,Products!$A$2:$G$49,7,0)</f>
        <v>0.30374999999999996</v>
      </c>
      <c r="T323">
        <f t="shared" ref="T323:T386" si="28">O323*S323</f>
        <v>1.8224999999999998</v>
      </c>
      <c r="U323" s="33">
        <f t="shared" ref="U323:U386" si="29">T323/R323*100</f>
        <v>8.9999999999999982</v>
      </c>
    </row>
    <row r="324" spans="1:21" x14ac:dyDescent="0.25">
      <c r="A324" s="1" t="s">
        <v>655</v>
      </c>
      <c r="B324" s="28">
        <v>44182</v>
      </c>
      <c r="C324" s="21" t="str">
        <f t="shared" si="26"/>
        <v>2020</v>
      </c>
      <c r="D324" s="19" t="str">
        <f t="shared" si="27"/>
        <v>December</v>
      </c>
      <c r="E324" s="3" t="s">
        <v>656</v>
      </c>
      <c r="F324" s="3" t="str">
        <f>VLOOKUP(E324,Customers!$A$2:$I$1001,2,0)</f>
        <v>Skylar Jeyness</v>
      </c>
      <c r="G324" s="3" t="str">
        <f>VLOOKUP(E324,Customers!$A$2:$I$1001,3,0)</f>
        <v>sjeyness8y@biglobe.ne.jp</v>
      </c>
      <c r="H324" s="3" t="str">
        <f>VLOOKUP(E324,Customers!$A$2:$I$1001,4,0)</f>
        <v>+353 (460) 272-4069</v>
      </c>
      <c r="I324" s="25" t="str">
        <f>VLOOKUP(E324,Customers!$A$2:$I$1001,6,0)</f>
        <v>Dublin</v>
      </c>
      <c r="J324" s="25" t="str">
        <f>VLOOKUP(E324,Customers!$A$2:$I$1001,7,0)</f>
        <v>Ireland</v>
      </c>
      <c r="K324" s="23" t="str">
        <f>VLOOKUP(E324,Customers!$A$2:$I$1001,9,0)</f>
        <v>No</v>
      </c>
      <c r="L324" s="4" t="s">
        <v>123</v>
      </c>
      <c r="M324" s="4" t="str">
        <f>VLOOKUP(L324,Products!$A$2:$G$49,2,0)</f>
        <v>Liberica</v>
      </c>
      <c r="N324" s="4" t="str">
        <f>VLOOKUP(L324,Products!$A$2:$G$49,3,0)</f>
        <v>Dark</v>
      </c>
      <c r="O324" s="25">
        <v>3</v>
      </c>
      <c r="P324" s="5">
        <f>INDEX([1]products!$A$1:$G$49,MATCH([1]orders!$D324,[1]products!$A$1:$A$49,0),MATCH([1]orders!K$1,[1]products!$A$1:$G$1,0))</f>
        <v>0.5</v>
      </c>
      <c r="Q324" s="6">
        <f>INDEX([1]products!$A$1:$G$49,MATCH([1]orders!$D324,[1]products!$A$1:$A$49,0),MATCH([1]orders!L$1,[1]products!$A$1:$G$1,0))</f>
        <v>7.77</v>
      </c>
      <c r="R324" s="6">
        <f t="shared" si="25"/>
        <v>23.31</v>
      </c>
      <c r="S324">
        <f>VLOOKUP(L324,Products!$A$2:$G$49,7,0)</f>
        <v>1.0101</v>
      </c>
      <c r="T324">
        <f t="shared" si="28"/>
        <v>3.0303</v>
      </c>
      <c r="U324" s="33">
        <f t="shared" si="29"/>
        <v>13</v>
      </c>
    </row>
    <row r="325" spans="1:21" x14ac:dyDescent="0.25">
      <c r="A325" s="1" t="s">
        <v>657</v>
      </c>
      <c r="B325" s="28">
        <v>44373</v>
      </c>
      <c r="C325" s="21" t="str">
        <f t="shared" si="26"/>
        <v>2021</v>
      </c>
      <c r="D325" s="19" t="str">
        <f t="shared" si="27"/>
        <v>June</v>
      </c>
      <c r="E325" s="3" t="s">
        <v>658</v>
      </c>
      <c r="F325" s="3" t="str">
        <f>VLOOKUP(E325,Customers!$A$2:$I$1001,2,0)</f>
        <v>Donica Bonhome</v>
      </c>
      <c r="G325" s="3" t="str">
        <f>VLOOKUP(E325,Customers!$A$2:$I$1001,3,0)</f>
        <v>dbonhome8z@shinystat.com</v>
      </c>
      <c r="H325" s="3" t="str">
        <f>VLOOKUP(E325,Customers!$A$2:$I$1001,4,0)</f>
        <v>+1 (865) 238-4985</v>
      </c>
      <c r="I325" s="25" t="str">
        <f>VLOOKUP(E325,Customers!$A$2:$I$1001,6,0)</f>
        <v>Knoxville</v>
      </c>
      <c r="J325" s="25" t="str">
        <f>VLOOKUP(E325,Customers!$A$2:$I$1001,7,0)</f>
        <v>United States</v>
      </c>
      <c r="K325" s="23" t="str">
        <f>VLOOKUP(E325,Customers!$A$2:$I$1001,9,0)</f>
        <v>Yes</v>
      </c>
      <c r="L325" s="4" t="s">
        <v>51</v>
      </c>
      <c r="M325" s="4" t="str">
        <f>VLOOKUP(L325,Products!$A$2:$G$49,2,0)</f>
        <v>Excelsa</v>
      </c>
      <c r="N325" s="4" t="str">
        <f>VLOOKUP(L325,Products!$A$2:$G$49,3,0)</f>
        <v>Dark</v>
      </c>
      <c r="O325" s="25">
        <v>5</v>
      </c>
      <c r="P325" s="5">
        <f>INDEX([1]products!$A$1:$G$49,MATCH([1]orders!$D325,[1]products!$A$1:$A$49,0),MATCH([1]orders!K$1,[1]products!$A$1:$G$1,0))</f>
        <v>0.2</v>
      </c>
      <c r="Q325" s="6">
        <f>INDEX([1]products!$A$1:$G$49,MATCH([1]orders!$D325,[1]products!$A$1:$A$49,0),MATCH([1]orders!L$1,[1]products!$A$1:$G$1,0))</f>
        <v>3.645</v>
      </c>
      <c r="R325" s="6">
        <f t="shared" si="25"/>
        <v>18.225000000000001</v>
      </c>
      <c r="S325">
        <f>VLOOKUP(L325,Products!$A$2:$G$49,7,0)</f>
        <v>0.40095000000000003</v>
      </c>
      <c r="T325">
        <f t="shared" si="28"/>
        <v>2.00475</v>
      </c>
      <c r="U325" s="33">
        <f t="shared" si="29"/>
        <v>10.999999999999998</v>
      </c>
    </row>
    <row r="326" spans="1:21" x14ac:dyDescent="0.25">
      <c r="A326" s="1" t="s">
        <v>659</v>
      </c>
      <c r="B326" s="28">
        <v>43666</v>
      </c>
      <c r="C326" s="21" t="str">
        <f t="shared" si="26"/>
        <v>2019</v>
      </c>
      <c r="D326" s="19" t="str">
        <f t="shared" si="27"/>
        <v>July</v>
      </c>
      <c r="E326" s="3" t="s">
        <v>660</v>
      </c>
      <c r="F326" s="3" t="str">
        <f>VLOOKUP(E326,Customers!$A$2:$I$1001,2,0)</f>
        <v>Diena Peetermann</v>
      </c>
      <c r="G326" s="3" t="str">
        <f>VLOOKUP(E326,Customers!$A$2:$I$1001,3,0)</f>
        <v>UNKNOWN</v>
      </c>
      <c r="H326" s="3" t="str">
        <f>VLOOKUP(E326,Customers!$A$2:$I$1001,4,0)</f>
        <v>+1 (913) 671-7118</v>
      </c>
      <c r="I326" s="25" t="str">
        <f>VLOOKUP(E326,Customers!$A$2:$I$1001,6,0)</f>
        <v>Shawnee Mission</v>
      </c>
      <c r="J326" s="25" t="str">
        <f>VLOOKUP(E326,Customers!$A$2:$I$1001,7,0)</f>
        <v>United States</v>
      </c>
      <c r="K326" s="23" t="str">
        <f>VLOOKUP(E326,Customers!$A$2:$I$1001,9,0)</f>
        <v>No</v>
      </c>
      <c r="L326" s="4" t="s">
        <v>9</v>
      </c>
      <c r="M326" s="4" t="str">
        <f>VLOOKUP(L326,Products!$A$2:$G$49,2,0)</f>
        <v>Excelsa</v>
      </c>
      <c r="N326" s="4" t="str">
        <f>VLOOKUP(L326,Products!$A$2:$G$49,3,0)</f>
        <v>Medium</v>
      </c>
      <c r="O326" s="25">
        <v>1</v>
      </c>
      <c r="P326" s="5">
        <f>INDEX([1]products!$A$1:$G$49,MATCH([1]orders!$D326,[1]products!$A$1:$A$49,0),MATCH([1]orders!K$1,[1]products!$A$1:$G$1,0))</f>
        <v>1</v>
      </c>
      <c r="Q326" s="6">
        <f>INDEX([1]products!$A$1:$G$49,MATCH([1]orders!$D326,[1]products!$A$1:$A$49,0),MATCH([1]orders!L$1,[1]products!$A$1:$G$1,0))</f>
        <v>13.75</v>
      </c>
      <c r="R326" s="6">
        <f t="shared" si="25"/>
        <v>13.75</v>
      </c>
      <c r="S326">
        <f>VLOOKUP(L326,Products!$A$2:$G$49,7,0)</f>
        <v>1.5125</v>
      </c>
      <c r="T326">
        <f t="shared" si="28"/>
        <v>1.5125</v>
      </c>
      <c r="U326" s="33">
        <f t="shared" si="29"/>
        <v>11</v>
      </c>
    </row>
    <row r="327" spans="1:21" x14ac:dyDescent="0.25">
      <c r="A327" s="1" t="s">
        <v>661</v>
      </c>
      <c r="B327" s="28">
        <v>44756</v>
      </c>
      <c r="C327" s="21" t="str">
        <f t="shared" si="26"/>
        <v>2022</v>
      </c>
      <c r="D327" s="19" t="str">
        <f t="shared" si="27"/>
        <v>July</v>
      </c>
      <c r="E327" s="3" t="s">
        <v>662</v>
      </c>
      <c r="F327" s="3" t="str">
        <f>VLOOKUP(E327,Customers!$A$2:$I$1001,2,0)</f>
        <v>Trina Le Sarr</v>
      </c>
      <c r="G327" s="3" t="str">
        <f>VLOOKUP(E327,Customers!$A$2:$I$1001,3,0)</f>
        <v>tle91@epa.gov</v>
      </c>
      <c r="H327" s="3" t="str">
        <f>VLOOKUP(E327,Customers!$A$2:$I$1001,4,0)</f>
        <v>+1 (415) 176-8216</v>
      </c>
      <c r="I327" s="25" t="str">
        <f>VLOOKUP(E327,Customers!$A$2:$I$1001,6,0)</f>
        <v>San Francisco</v>
      </c>
      <c r="J327" s="25" t="str">
        <f>VLOOKUP(E327,Customers!$A$2:$I$1001,7,0)</f>
        <v>United States</v>
      </c>
      <c r="K327" s="23" t="str">
        <f>VLOOKUP(E327,Customers!$A$2:$I$1001,9,0)</f>
        <v>Yes</v>
      </c>
      <c r="L327" s="4" t="s">
        <v>204</v>
      </c>
      <c r="M327" s="4" t="str">
        <f>VLOOKUP(L327,Products!$A$2:$G$49,2,0)</f>
        <v>Arabica</v>
      </c>
      <c r="N327" s="4" t="str">
        <f>VLOOKUP(L327,Products!$A$2:$G$49,3,0)</f>
        <v>Light</v>
      </c>
      <c r="O327" s="25">
        <v>1</v>
      </c>
      <c r="P327" s="5">
        <f>INDEX([1]products!$A$1:$G$49,MATCH([1]orders!$D327,[1]products!$A$1:$A$49,0),MATCH([1]orders!K$1,[1]products!$A$1:$G$1,0))</f>
        <v>2.5</v>
      </c>
      <c r="Q327" s="6">
        <f>INDEX([1]products!$A$1:$G$49,MATCH([1]orders!$D327,[1]products!$A$1:$A$49,0),MATCH([1]orders!L$1,[1]products!$A$1:$G$1,0))</f>
        <v>29.784999999999997</v>
      </c>
      <c r="R327" s="6">
        <f t="shared" si="25"/>
        <v>29.784999999999997</v>
      </c>
      <c r="S327">
        <f>VLOOKUP(L327,Products!$A$2:$G$49,7,0)</f>
        <v>2.6806499999999995</v>
      </c>
      <c r="T327">
        <f t="shared" si="28"/>
        <v>2.6806499999999995</v>
      </c>
      <c r="U327" s="33">
        <f t="shared" si="29"/>
        <v>9</v>
      </c>
    </row>
    <row r="328" spans="1:21" x14ac:dyDescent="0.25">
      <c r="A328" s="1" t="s">
        <v>663</v>
      </c>
      <c r="B328" s="28">
        <v>44057</v>
      </c>
      <c r="C328" s="21" t="str">
        <f t="shared" si="26"/>
        <v>2020</v>
      </c>
      <c r="D328" s="19" t="str">
        <f t="shared" si="27"/>
        <v>August</v>
      </c>
      <c r="E328" s="3" t="s">
        <v>664</v>
      </c>
      <c r="F328" s="3" t="str">
        <f>VLOOKUP(E328,Customers!$A$2:$I$1001,2,0)</f>
        <v>Flynn Antony</v>
      </c>
      <c r="G328" s="3" t="str">
        <f>VLOOKUP(E328,Customers!$A$2:$I$1001,3,0)</f>
        <v>UNKNOWN</v>
      </c>
      <c r="H328" s="3" t="str">
        <f>VLOOKUP(E328,Customers!$A$2:$I$1001,4,0)</f>
        <v>+1 (205) 680-5859</v>
      </c>
      <c r="I328" s="25" t="str">
        <f>VLOOKUP(E328,Customers!$A$2:$I$1001,6,0)</f>
        <v>Birmingham</v>
      </c>
      <c r="J328" s="25" t="str">
        <f>VLOOKUP(E328,Customers!$A$2:$I$1001,7,0)</f>
        <v>United States</v>
      </c>
      <c r="K328" s="23" t="str">
        <f>VLOOKUP(E328,Customers!$A$2:$I$1001,9,0)</f>
        <v>No</v>
      </c>
      <c r="L328" s="4" t="s">
        <v>179</v>
      </c>
      <c r="M328" s="4" t="str">
        <f>VLOOKUP(L328,Products!$A$2:$G$49,2,0)</f>
        <v>Robusta</v>
      </c>
      <c r="N328" s="4" t="str">
        <f>VLOOKUP(L328,Products!$A$2:$G$49,3,0)</f>
        <v>Dark</v>
      </c>
      <c r="O328" s="25">
        <v>5</v>
      </c>
      <c r="P328" s="5">
        <f>INDEX([1]products!$A$1:$G$49,MATCH([1]orders!$D328,[1]products!$A$1:$A$49,0),MATCH([1]orders!K$1,[1]products!$A$1:$G$1,0))</f>
        <v>1</v>
      </c>
      <c r="Q328" s="6">
        <f>INDEX([1]products!$A$1:$G$49,MATCH([1]orders!$D328,[1]products!$A$1:$A$49,0),MATCH([1]orders!L$1,[1]products!$A$1:$G$1,0))</f>
        <v>8.9499999999999993</v>
      </c>
      <c r="R328" s="6">
        <f t="shared" si="25"/>
        <v>44.75</v>
      </c>
      <c r="S328">
        <f>VLOOKUP(L328,Products!$A$2:$G$49,7,0)</f>
        <v>0.53699999999999992</v>
      </c>
      <c r="T328">
        <f t="shared" si="28"/>
        <v>2.6849999999999996</v>
      </c>
      <c r="U328" s="33">
        <f t="shared" si="29"/>
        <v>5.9999999999999991</v>
      </c>
    </row>
    <row r="329" spans="1:21" x14ac:dyDescent="0.25">
      <c r="A329" s="1" t="s">
        <v>665</v>
      </c>
      <c r="B329" s="28">
        <v>43579</v>
      </c>
      <c r="C329" s="21" t="str">
        <f t="shared" si="26"/>
        <v>2019</v>
      </c>
      <c r="D329" s="19" t="str">
        <f t="shared" si="27"/>
        <v>April</v>
      </c>
      <c r="E329" s="3" t="s">
        <v>666</v>
      </c>
      <c r="F329" s="3" t="str">
        <f>VLOOKUP(E329,Customers!$A$2:$I$1001,2,0)</f>
        <v>Baudoin Alldridge</v>
      </c>
      <c r="G329" s="3" t="str">
        <f>VLOOKUP(E329,Customers!$A$2:$I$1001,3,0)</f>
        <v>balldridge93@yandex.ru</v>
      </c>
      <c r="H329" s="3" t="str">
        <f>VLOOKUP(E329,Customers!$A$2:$I$1001,4,0)</f>
        <v>+1 (646) 561-0082</v>
      </c>
      <c r="I329" s="25" t="str">
        <f>VLOOKUP(E329,Customers!$A$2:$I$1001,6,0)</f>
        <v>Brooklyn</v>
      </c>
      <c r="J329" s="25" t="str">
        <f>VLOOKUP(E329,Customers!$A$2:$I$1001,7,0)</f>
        <v>United States</v>
      </c>
      <c r="K329" s="23" t="str">
        <f>VLOOKUP(E329,Customers!$A$2:$I$1001,9,0)</f>
        <v>Yes</v>
      </c>
      <c r="L329" s="4" t="s">
        <v>179</v>
      </c>
      <c r="M329" s="4" t="str">
        <f>VLOOKUP(L329,Products!$A$2:$G$49,2,0)</f>
        <v>Robusta</v>
      </c>
      <c r="N329" s="4" t="str">
        <f>VLOOKUP(L329,Products!$A$2:$G$49,3,0)</f>
        <v>Dark</v>
      </c>
      <c r="O329" s="25">
        <v>5</v>
      </c>
      <c r="P329" s="5">
        <f>INDEX([1]products!$A$1:$G$49,MATCH([1]orders!$D329,[1]products!$A$1:$A$49,0),MATCH([1]orders!K$1,[1]products!$A$1:$G$1,0))</f>
        <v>1</v>
      </c>
      <c r="Q329" s="6">
        <f>INDEX([1]products!$A$1:$G$49,MATCH([1]orders!$D329,[1]products!$A$1:$A$49,0),MATCH([1]orders!L$1,[1]products!$A$1:$G$1,0))</f>
        <v>8.9499999999999993</v>
      </c>
      <c r="R329" s="6">
        <f t="shared" si="25"/>
        <v>44.75</v>
      </c>
      <c r="S329">
        <f>VLOOKUP(L329,Products!$A$2:$G$49,7,0)</f>
        <v>0.53699999999999992</v>
      </c>
      <c r="T329">
        <f t="shared" si="28"/>
        <v>2.6849999999999996</v>
      </c>
      <c r="U329" s="33">
        <f t="shared" si="29"/>
        <v>5.9999999999999991</v>
      </c>
    </row>
    <row r="330" spans="1:21" x14ac:dyDescent="0.25">
      <c r="A330" s="1" t="s">
        <v>667</v>
      </c>
      <c r="B330" s="28">
        <v>43620</v>
      </c>
      <c r="C330" s="21" t="str">
        <f t="shared" si="26"/>
        <v>2019</v>
      </c>
      <c r="D330" s="19" t="str">
        <f t="shared" si="27"/>
        <v>June</v>
      </c>
      <c r="E330" s="3" t="s">
        <v>668</v>
      </c>
      <c r="F330" s="3" t="str">
        <f>VLOOKUP(E330,Customers!$A$2:$I$1001,2,0)</f>
        <v>Homer Dulany</v>
      </c>
      <c r="G330" s="3" t="str">
        <f>VLOOKUP(E330,Customers!$A$2:$I$1001,3,0)</f>
        <v>UNKNOWN</v>
      </c>
      <c r="H330" s="3" t="str">
        <f>VLOOKUP(E330,Customers!$A$2:$I$1001,4,0)</f>
        <v>+1 (915) 761-6081</v>
      </c>
      <c r="I330" s="25" t="str">
        <f>VLOOKUP(E330,Customers!$A$2:$I$1001,6,0)</f>
        <v>El Paso</v>
      </c>
      <c r="J330" s="25" t="str">
        <f>VLOOKUP(E330,Customers!$A$2:$I$1001,7,0)</f>
        <v>United States</v>
      </c>
      <c r="K330" s="23" t="str">
        <f>VLOOKUP(E330,Customers!$A$2:$I$1001,9,0)</f>
        <v>Yes</v>
      </c>
      <c r="L330" s="4" t="s">
        <v>83</v>
      </c>
      <c r="M330" s="4" t="str">
        <f>VLOOKUP(L330,Products!$A$2:$G$49,2,0)</f>
        <v>Liberica</v>
      </c>
      <c r="N330" s="4" t="str">
        <f>VLOOKUP(L330,Products!$A$2:$G$49,3,0)</f>
        <v>Light</v>
      </c>
      <c r="O330" s="25">
        <v>4</v>
      </c>
      <c r="P330" s="5">
        <f>INDEX([1]products!$A$1:$G$49,MATCH([1]orders!$D330,[1]products!$A$1:$A$49,0),MATCH([1]orders!K$1,[1]products!$A$1:$G$1,0))</f>
        <v>0.5</v>
      </c>
      <c r="Q330" s="6">
        <f>INDEX([1]products!$A$1:$G$49,MATCH([1]orders!$D330,[1]products!$A$1:$A$49,0),MATCH([1]orders!L$1,[1]products!$A$1:$G$1,0))</f>
        <v>9.51</v>
      </c>
      <c r="R330" s="6">
        <f t="shared" si="25"/>
        <v>38.04</v>
      </c>
      <c r="S330">
        <f>VLOOKUP(L330,Products!$A$2:$G$49,7,0)</f>
        <v>1.2363</v>
      </c>
      <c r="T330">
        <f t="shared" si="28"/>
        <v>4.9451999999999998</v>
      </c>
      <c r="U330" s="33">
        <f t="shared" si="29"/>
        <v>13</v>
      </c>
    </row>
    <row r="331" spans="1:21" x14ac:dyDescent="0.25">
      <c r="A331" s="1" t="s">
        <v>669</v>
      </c>
      <c r="B331" s="28">
        <v>44781</v>
      </c>
      <c r="C331" s="21" t="str">
        <f t="shared" si="26"/>
        <v>2022</v>
      </c>
      <c r="D331" s="19" t="str">
        <f t="shared" si="27"/>
        <v>August</v>
      </c>
      <c r="E331" s="3" t="s">
        <v>670</v>
      </c>
      <c r="F331" s="3" t="str">
        <f>VLOOKUP(E331,Customers!$A$2:$I$1001,2,0)</f>
        <v>Lisa Goodger</v>
      </c>
      <c r="G331" s="3" t="str">
        <f>VLOOKUP(E331,Customers!$A$2:$I$1001,3,0)</f>
        <v>lgoodger95@guardian.co.uk</v>
      </c>
      <c r="H331" s="3" t="str">
        <f>VLOOKUP(E331,Customers!$A$2:$I$1001,4,0)</f>
        <v>UNKNOWN</v>
      </c>
      <c r="I331" s="25" t="str">
        <f>VLOOKUP(E331,Customers!$A$2:$I$1001,6,0)</f>
        <v>Sacramento</v>
      </c>
      <c r="J331" s="25" t="str">
        <f>VLOOKUP(E331,Customers!$A$2:$I$1001,7,0)</f>
        <v>United States</v>
      </c>
      <c r="K331" s="23" t="str">
        <f>VLOOKUP(E331,Customers!$A$2:$I$1001,9,0)</f>
        <v>Yes</v>
      </c>
      <c r="L331" s="4" t="s">
        <v>146</v>
      </c>
      <c r="M331" s="4" t="str">
        <f>VLOOKUP(L331,Products!$A$2:$G$49,2,0)</f>
        <v>Robusta</v>
      </c>
      <c r="N331" s="4" t="str">
        <f>VLOOKUP(L331,Products!$A$2:$G$49,3,0)</f>
        <v>Dark</v>
      </c>
      <c r="O331" s="25">
        <v>4</v>
      </c>
      <c r="P331" s="5">
        <f>INDEX([1]products!$A$1:$G$49,MATCH([1]orders!$D331,[1]products!$A$1:$A$49,0),MATCH([1]orders!K$1,[1]products!$A$1:$G$1,0))</f>
        <v>0.5</v>
      </c>
      <c r="Q331" s="6">
        <f>INDEX([1]products!$A$1:$G$49,MATCH([1]orders!$D331,[1]products!$A$1:$A$49,0),MATCH([1]orders!L$1,[1]products!$A$1:$G$1,0))</f>
        <v>5.3699999999999992</v>
      </c>
      <c r="R331" s="6">
        <f t="shared" si="25"/>
        <v>21.479999999999997</v>
      </c>
      <c r="S331">
        <f>VLOOKUP(L331,Products!$A$2:$G$49,7,0)</f>
        <v>0.32219999999999993</v>
      </c>
      <c r="T331">
        <f t="shared" si="28"/>
        <v>1.2887999999999997</v>
      </c>
      <c r="U331" s="33">
        <f t="shared" si="29"/>
        <v>6</v>
      </c>
    </row>
    <row r="332" spans="1:21" x14ac:dyDescent="0.25">
      <c r="A332" s="1" t="s">
        <v>671</v>
      </c>
      <c r="B332" s="28">
        <v>43782</v>
      </c>
      <c r="C332" s="21" t="str">
        <f t="shared" si="26"/>
        <v>2019</v>
      </c>
      <c r="D332" s="19" t="str">
        <f t="shared" si="27"/>
        <v>November</v>
      </c>
      <c r="E332" s="3" t="s">
        <v>648</v>
      </c>
      <c r="F332" s="3" t="str">
        <f>VLOOKUP(E332,Customers!$A$2:$I$1001,2,0)</f>
        <v>Selma McMillian</v>
      </c>
      <c r="G332" s="3" t="str">
        <f>VLOOKUP(E332,Customers!$A$2:$I$1001,3,0)</f>
        <v>smcmillian8t@csmonitor.com</v>
      </c>
      <c r="H332" s="3" t="str">
        <f>VLOOKUP(E332,Customers!$A$2:$I$1001,4,0)</f>
        <v>+1 (330) 407-0631</v>
      </c>
      <c r="I332" s="25" t="str">
        <f>VLOOKUP(E332,Customers!$A$2:$I$1001,6,0)</f>
        <v>Akron</v>
      </c>
      <c r="J332" s="25" t="str">
        <f>VLOOKUP(E332,Customers!$A$2:$I$1001,7,0)</f>
        <v>United States</v>
      </c>
      <c r="K332" s="23" t="str">
        <f>VLOOKUP(E332,Customers!$A$2:$I$1001,9,0)</f>
        <v>No</v>
      </c>
      <c r="L332" s="4" t="s">
        <v>146</v>
      </c>
      <c r="M332" s="4" t="str">
        <f>VLOOKUP(L332,Products!$A$2:$G$49,2,0)</f>
        <v>Robusta</v>
      </c>
      <c r="N332" s="4" t="str">
        <f>VLOOKUP(L332,Products!$A$2:$G$49,3,0)</f>
        <v>Dark</v>
      </c>
      <c r="O332" s="25">
        <v>3</v>
      </c>
      <c r="P332" s="5">
        <f>INDEX([1]products!$A$1:$G$49,MATCH([1]orders!$D332,[1]products!$A$1:$A$49,0),MATCH([1]orders!K$1,[1]products!$A$1:$G$1,0))</f>
        <v>0.5</v>
      </c>
      <c r="Q332" s="6">
        <f>INDEX([1]products!$A$1:$G$49,MATCH([1]orders!$D332,[1]products!$A$1:$A$49,0),MATCH([1]orders!L$1,[1]products!$A$1:$G$1,0))</f>
        <v>5.3699999999999992</v>
      </c>
      <c r="R332" s="6">
        <f t="shared" si="25"/>
        <v>16.11</v>
      </c>
      <c r="S332">
        <f>VLOOKUP(L332,Products!$A$2:$G$49,7,0)</f>
        <v>0.32219999999999993</v>
      </c>
      <c r="T332">
        <f t="shared" si="28"/>
        <v>0.96659999999999979</v>
      </c>
      <c r="U332" s="33">
        <f t="shared" si="29"/>
        <v>5.9999999999999991</v>
      </c>
    </row>
    <row r="333" spans="1:21" x14ac:dyDescent="0.25">
      <c r="A333" s="1" t="s">
        <v>672</v>
      </c>
      <c r="B333" s="28">
        <v>43989</v>
      </c>
      <c r="C333" s="21" t="str">
        <f t="shared" si="26"/>
        <v>2020</v>
      </c>
      <c r="D333" s="19" t="str">
        <f t="shared" si="27"/>
        <v>June</v>
      </c>
      <c r="E333" s="3" t="s">
        <v>673</v>
      </c>
      <c r="F333" s="3" t="str">
        <f>VLOOKUP(E333,Customers!$A$2:$I$1001,2,0)</f>
        <v>Corine Drewett</v>
      </c>
      <c r="G333" s="3" t="str">
        <f>VLOOKUP(E333,Customers!$A$2:$I$1001,3,0)</f>
        <v>cdrewett97@wikipedia.org</v>
      </c>
      <c r="H333" s="3" t="str">
        <f>VLOOKUP(E333,Customers!$A$2:$I$1001,4,0)</f>
        <v>+1 (561) 651-3098</v>
      </c>
      <c r="I333" s="25" t="str">
        <f>VLOOKUP(E333,Customers!$A$2:$I$1001,6,0)</f>
        <v>Boynton Beach</v>
      </c>
      <c r="J333" s="25" t="str">
        <f>VLOOKUP(E333,Customers!$A$2:$I$1001,7,0)</f>
        <v>United States</v>
      </c>
      <c r="K333" s="23" t="str">
        <f>VLOOKUP(E333,Customers!$A$2:$I$1001,9,0)</f>
        <v>Yes</v>
      </c>
      <c r="L333" s="4" t="s">
        <v>41</v>
      </c>
      <c r="M333" s="4" t="str">
        <f>VLOOKUP(L333,Products!$A$2:$G$49,2,0)</f>
        <v>Robusta</v>
      </c>
      <c r="N333" s="4" t="str">
        <f>VLOOKUP(L333,Products!$A$2:$G$49,3,0)</f>
        <v>Medium</v>
      </c>
      <c r="O333" s="25">
        <v>1</v>
      </c>
      <c r="P333" s="5">
        <f>INDEX([1]products!$A$1:$G$49,MATCH([1]orders!$D333,[1]products!$A$1:$A$49,0),MATCH([1]orders!K$1,[1]products!$A$1:$G$1,0))</f>
        <v>2.5</v>
      </c>
      <c r="Q333" s="6">
        <f>INDEX([1]products!$A$1:$G$49,MATCH([1]orders!$D333,[1]products!$A$1:$A$49,0),MATCH([1]orders!L$1,[1]products!$A$1:$G$1,0))</f>
        <v>22.884999999999998</v>
      </c>
      <c r="R333" s="6">
        <f t="shared" si="25"/>
        <v>22.884999999999998</v>
      </c>
      <c r="S333">
        <f>VLOOKUP(L333,Products!$A$2:$G$49,7,0)</f>
        <v>1.3730999999999998</v>
      </c>
      <c r="T333">
        <f t="shared" si="28"/>
        <v>1.3730999999999998</v>
      </c>
      <c r="U333" s="33">
        <f t="shared" si="29"/>
        <v>6</v>
      </c>
    </row>
    <row r="334" spans="1:21" x14ac:dyDescent="0.25">
      <c r="A334" s="1" t="s">
        <v>674</v>
      </c>
      <c r="B334" s="28">
        <v>43689</v>
      </c>
      <c r="C334" s="21" t="str">
        <f t="shared" si="26"/>
        <v>2019</v>
      </c>
      <c r="D334" s="19" t="str">
        <f t="shared" si="27"/>
        <v>August</v>
      </c>
      <c r="E334" s="3" t="s">
        <v>675</v>
      </c>
      <c r="F334" s="3" t="str">
        <f>VLOOKUP(E334,Customers!$A$2:$I$1001,2,0)</f>
        <v>Quinn Parsons</v>
      </c>
      <c r="G334" s="3" t="str">
        <f>VLOOKUP(E334,Customers!$A$2:$I$1001,3,0)</f>
        <v>qparsons98@blogtalkradio.com</v>
      </c>
      <c r="H334" s="3" t="str">
        <f>VLOOKUP(E334,Customers!$A$2:$I$1001,4,0)</f>
        <v>+1 (323) 848-5169</v>
      </c>
      <c r="I334" s="25" t="str">
        <f>VLOOKUP(E334,Customers!$A$2:$I$1001,6,0)</f>
        <v>Los Angeles</v>
      </c>
      <c r="J334" s="25" t="str">
        <f>VLOOKUP(E334,Customers!$A$2:$I$1001,7,0)</f>
        <v>United States</v>
      </c>
      <c r="K334" s="23" t="str">
        <f>VLOOKUP(E334,Customers!$A$2:$I$1001,9,0)</f>
        <v>Yes</v>
      </c>
      <c r="L334" s="4" t="s">
        <v>72</v>
      </c>
      <c r="M334" s="4" t="str">
        <f>VLOOKUP(L334,Products!$A$2:$G$49,2,0)</f>
        <v>Arabica</v>
      </c>
      <c r="N334" s="4" t="str">
        <f>VLOOKUP(L334,Products!$A$2:$G$49,3,0)</f>
        <v>Dark</v>
      </c>
      <c r="O334" s="25">
        <v>3</v>
      </c>
      <c r="P334" s="5">
        <f>INDEX([1]products!$A$1:$G$49,MATCH([1]orders!$D334,[1]products!$A$1:$A$49,0),MATCH([1]orders!K$1,[1]products!$A$1:$G$1,0))</f>
        <v>0.5</v>
      </c>
      <c r="Q334" s="6">
        <f>INDEX([1]products!$A$1:$G$49,MATCH([1]orders!$D334,[1]products!$A$1:$A$49,0),MATCH([1]orders!L$1,[1]products!$A$1:$G$1,0))</f>
        <v>5.97</v>
      </c>
      <c r="R334" s="6">
        <f t="shared" si="25"/>
        <v>17.91</v>
      </c>
      <c r="S334">
        <f>VLOOKUP(L334,Products!$A$2:$G$49,7,0)</f>
        <v>0.5373</v>
      </c>
      <c r="T334">
        <f t="shared" si="28"/>
        <v>1.6118999999999999</v>
      </c>
      <c r="U334" s="33">
        <f t="shared" si="29"/>
        <v>9</v>
      </c>
    </row>
    <row r="335" spans="1:21" x14ac:dyDescent="0.25">
      <c r="A335" s="1" t="s">
        <v>676</v>
      </c>
      <c r="B335" s="28">
        <v>43712</v>
      </c>
      <c r="C335" s="21" t="str">
        <f t="shared" si="26"/>
        <v>2019</v>
      </c>
      <c r="D335" s="19" t="str">
        <f t="shared" si="27"/>
        <v>September</v>
      </c>
      <c r="E335" s="3" t="s">
        <v>677</v>
      </c>
      <c r="F335" s="3" t="str">
        <f>VLOOKUP(E335,Customers!$A$2:$I$1001,2,0)</f>
        <v>Vivyan Ceely</v>
      </c>
      <c r="G335" s="3" t="str">
        <f>VLOOKUP(E335,Customers!$A$2:$I$1001,3,0)</f>
        <v>vceely99@auda.org.au</v>
      </c>
      <c r="H335" s="3" t="str">
        <f>VLOOKUP(E335,Customers!$A$2:$I$1001,4,0)</f>
        <v>+1 (410) 876-8486</v>
      </c>
      <c r="I335" s="25" t="str">
        <f>VLOOKUP(E335,Customers!$A$2:$I$1001,6,0)</f>
        <v>Baltimore</v>
      </c>
      <c r="J335" s="25" t="str">
        <f>VLOOKUP(E335,Customers!$A$2:$I$1001,7,0)</f>
        <v>United States</v>
      </c>
      <c r="K335" s="23" t="str">
        <f>VLOOKUP(E335,Customers!$A$2:$I$1001,9,0)</f>
        <v>Yes</v>
      </c>
      <c r="L335" s="4" t="s">
        <v>22</v>
      </c>
      <c r="M335" s="4" t="str">
        <f>VLOOKUP(L335,Products!$A$2:$G$49,2,0)</f>
        <v>Robusta</v>
      </c>
      <c r="N335" s="4" t="str">
        <f>VLOOKUP(L335,Products!$A$2:$G$49,3,0)</f>
        <v>Medium</v>
      </c>
      <c r="O335" s="25">
        <v>4</v>
      </c>
      <c r="P335" s="5">
        <f>INDEX([1]products!$A$1:$G$49,MATCH([1]orders!$D335,[1]products!$A$1:$A$49,0),MATCH([1]orders!K$1,[1]products!$A$1:$G$1,0))</f>
        <v>0.5</v>
      </c>
      <c r="Q335" s="6">
        <f>INDEX([1]products!$A$1:$G$49,MATCH([1]orders!$D335,[1]products!$A$1:$A$49,0),MATCH([1]orders!L$1,[1]products!$A$1:$G$1,0))</f>
        <v>5.97</v>
      </c>
      <c r="R335" s="6">
        <f t="shared" si="25"/>
        <v>23.88</v>
      </c>
      <c r="S335">
        <f>VLOOKUP(L335,Products!$A$2:$G$49,7,0)</f>
        <v>0.35819999999999996</v>
      </c>
      <c r="T335">
        <f t="shared" si="28"/>
        <v>1.4327999999999999</v>
      </c>
      <c r="U335" s="33">
        <f t="shared" si="29"/>
        <v>6</v>
      </c>
    </row>
    <row r="336" spans="1:21" x14ac:dyDescent="0.25">
      <c r="A336" s="1" t="s">
        <v>678</v>
      </c>
      <c r="B336" s="28">
        <v>43742</v>
      </c>
      <c r="C336" s="21" t="str">
        <f t="shared" si="26"/>
        <v>2019</v>
      </c>
      <c r="D336" s="19" t="str">
        <f t="shared" si="27"/>
        <v>October</v>
      </c>
      <c r="E336" s="3" t="s">
        <v>679</v>
      </c>
      <c r="F336" s="3" t="str">
        <f>VLOOKUP(E336,Customers!$A$2:$I$1001,2,0)</f>
        <v>Elonore Goodings</v>
      </c>
      <c r="G336" s="3" t="str">
        <f>VLOOKUP(E336,Customers!$A$2:$I$1001,3,0)</f>
        <v>UNKNOWN</v>
      </c>
      <c r="H336" s="3" t="str">
        <f>VLOOKUP(E336,Customers!$A$2:$I$1001,4,0)</f>
        <v>UNKNOWN</v>
      </c>
      <c r="I336" s="25" t="str">
        <f>VLOOKUP(E336,Customers!$A$2:$I$1001,6,0)</f>
        <v>Salt Lake City</v>
      </c>
      <c r="J336" s="25" t="str">
        <f>VLOOKUP(E336,Customers!$A$2:$I$1001,7,0)</f>
        <v>United States</v>
      </c>
      <c r="K336" s="23" t="str">
        <f>VLOOKUP(E336,Customers!$A$2:$I$1001,9,0)</f>
        <v>No</v>
      </c>
      <c r="L336" s="4" t="s">
        <v>189</v>
      </c>
      <c r="M336" s="4" t="str">
        <f>VLOOKUP(L336,Products!$A$2:$G$49,2,0)</f>
        <v>Robusta</v>
      </c>
      <c r="N336" s="4" t="str">
        <f>VLOOKUP(L336,Products!$A$2:$G$49,3,0)</f>
        <v>Light</v>
      </c>
      <c r="O336" s="25">
        <v>5</v>
      </c>
      <c r="P336" s="5">
        <f>INDEX([1]products!$A$1:$G$49,MATCH([1]orders!$D336,[1]products!$A$1:$A$49,0),MATCH([1]orders!K$1,[1]products!$A$1:$G$1,0))</f>
        <v>1</v>
      </c>
      <c r="Q336" s="6">
        <f>INDEX([1]products!$A$1:$G$49,MATCH([1]orders!$D336,[1]products!$A$1:$A$49,0),MATCH([1]orders!L$1,[1]products!$A$1:$G$1,0))</f>
        <v>11.95</v>
      </c>
      <c r="R336" s="6">
        <f t="shared" si="25"/>
        <v>59.75</v>
      </c>
      <c r="S336">
        <f>VLOOKUP(L336,Products!$A$2:$G$49,7,0)</f>
        <v>0.71699999999999997</v>
      </c>
      <c r="T336">
        <f t="shared" si="28"/>
        <v>3.585</v>
      </c>
      <c r="U336" s="33">
        <f t="shared" si="29"/>
        <v>6</v>
      </c>
    </row>
    <row r="337" spans="1:21" x14ac:dyDescent="0.25">
      <c r="A337" s="1" t="s">
        <v>680</v>
      </c>
      <c r="B337" s="28">
        <v>43885</v>
      </c>
      <c r="C337" s="21" t="str">
        <f t="shared" si="26"/>
        <v>2020</v>
      </c>
      <c r="D337" s="19" t="str">
        <f t="shared" si="27"/>
        <v>February</v>
      </c>
      <c r="E337" s="3" t="s">
        <v>681</v>
      </c>
      <c r="F337" s="3" t="str">
        <f>VLOOKUP(E337,Customers!$A$2:$I$1001,2,0)</f>
        <v>Clement Vasiliev</v>
      </c>
      <c r="G337" s="3" t="str">
        <f>VLOOKUP(E337,Customers!$A$2:$I$1001,3,0)</f>
        <v>cvasiliev9b@discuz.net</v>
      </c>
      <c r="H337" s="3" t="str">
        <f>VLOOKUP(E337,Customers!$A$2:$I$1001,4,0)</f>
        <v>+1 (214) 507-8264</v>
      </c>
      <c r="I337" s="25" t="str">
        <f>VLOOKUP(E337,Customers!$A$2:$I$1001,6,0)</f>
        <v>Garland</v>
      </c>
      <c r="J337" s="25" t="str">
        <f>VLOOKUP(E337,Customers!$A$2:$I$1001,7,0)</f>
        <v>United States</v>
      </c>
      <c r="K337" s="23" t="str">
        <f>VLOOKUP(E337,Customers!$A$2:$I$1001,9,0)</f>
        <v>Yes</v>
      </c>
      <c r="L337" s="4" t="s">
        <v>19</v>
      </c>
      <c r="M337" s="4" t="str">
        <f>VLOOKUP(L337,Products!$A$2:$G$49,2,0)</f>
        <v>Liberica</v>
      </c>
      <c r="N337" s="4" t="str">
        <f>VLOOKUP(L337,Products!$A$2:$G$49,3,0)</f>
        <v>Light</v>
      </c>
      <c r="O337" s="25">
        <v>6</v>
      </c>
      <c r="P337" s="5">
        <f>INDEX([1]products!$A$1:$G$49,MATCH([1]orders!$D337,[1]products!$A$1:$A$49,0),MATCH([1]orders!K$1,[1]products!$A$1:$G$1,0))</f>
        <v>0.2</v>
      </c>
      <c r="Q337" s="6">
        <f>INDEX([1]products!$A$1:$G$49,MATCH([1]orders!$D337,[1]products!$A$1:$A$49,0),MATCH([1]orders!L$1,[1]products!$A$1:$G$1,0))</f>
        <v>4.7549999999999999</v>
      </c>
      <c r="R337" s="6">
        <f t="shared" si="25"/>
        <v>28.53</v>
      </c>
      <c r="S337">
        <f>VLOOKUP(L337,Products!$A$2:$G$49,7,0)</f>
        <v>0.61814999999999998</v>
      </c>
      <c r="T337">
        <f t="shared" si="28"/>
        <v>3.7088999999999999</v>
      </c>
      <c r="U337" s="33">
        <f t="shared" si="29"/>
        <v>12.999999999999998</v>
      </c>
    </row>
    <row r="338" spans="1:21" x14ac:dyDescent="0.25">
      <c r="A338" s="1" t="s">
        <v>682</v>
      </c>
      <c r="B338" s="28">
        <v>44434</v>
      </c>
      <c r="C338" s="21" t="str">
        <f t="shared" si="26"/>
        <v>2021</v>
      </c>
      <c r="D338" s="19" t="str">
        <f t="shared" si="27"/>
        <v>August</v>
      </c>
      <c r="E338" s="3" t="s">
        <v>683</v>
      </c>
      <c r="F338" s="3" t="str">
        <f>VLOOKUP(E338,Customers!$A$2:$I$1001,2,0)</f>
        <v>Terencio O'Moylan</v>
      </c>
      <c r="G338" s="3" t="str">
        <f>VLOOKUP(E338,Customers!$A$2:$I$1001,3,0)</f>
        <v>tomoylan9c@liveinternet.ru</v>
      </c>
      <c r="H338" s="3" t="str">
        <f>VLOOKUP(E338,Customers!$A$2:$I$1001,4,0)</f>
        <v>+44 (911) 807-7254</v>
      </c>
      <c r="I338" s="25" t="str">
        <f>VLOOKUP(E338,Customers!$A$2:$I$1001,6,0)</f>
        <v>Church End</v>
      </c>
      <c r="J338" s="25" t="str">
        <f>VLOOKUP(E338,Customers!$A$2:$I$1001,7,0)</f>
        <v>United Kingdom</v>
      </c>
      <c r="K338" s="23" t="str">
        <f>VLOOKUP(E338,Customers!$A$2:$I$1001,9,0)</f>
        <v>No</v>
      </c>
      <c r="L338" s="4" t="s">
        <v>61</v>
      </c>
      <c r="M338" s="4" t="str">
        <f>VLOOKUP(L338,Products!$A$2:$G$49,2,0)</f>
        <v>Arabica</v>
      </c>
      <c r="N338" s="4" t="str">
        <f>VLOOKUP(L338,Products!$A$2:$G$49,3,0)</f>
        <v>Medium</v>
      </c>
      <c r="O338" s="25">
        <v>4</v>
      </c>
      <c r="P338" s="5">
        <f>INDEX([1]products!$A$1:$G$49,MATCH([1]orders!$D338,[1]products!$A$1:$A$49,0),MATCH([1]orders!K$1,[1]products!$A$1:$G$1,0))</f>
        <v>1</v>
      </c>
      <c r="Q338" s="6">
        <f>INDEX([1]products!$A$1:$G$49,MATCH([1]orders!$D338,[1]products!$A$1:$A$49,0),MATCH([1]orders!L$1,[1]products!$A$1:$G$1,0))</f>
        <v>11.25</v>
      </c>
      <c r="R338" s="6">
        <f t="shared" si="25"/>
        <v>45</v>
      </c>
      <c r="S338">
        <f>VLOOKUP(L338,Products!$A$2:$G$49,7,0)</f>
        <v>1.0125</v>
      </c>
      <c r="T338">
        <f t="shared" si="28"/>
        <v>4.05</v>
      </c>
      <c r="U338" s="33">
        <f t="shared" si="29"/>
        <v>9</v>
      </c>
    </row>
    <row r="339" spans="1:21" x14ac:dyDescent="0.25">
      <c r="A339" s="1" t="s">
        <v>684</v>
      </c>
      <c r="B339" s="28">
        <v>44472</v>
      </c>
      <c r="C339" s="21" t="str">
        <f t="shared" si="26"/>
        <v>2021</v>
      </c>
      <c r="D339" s="19" t="str">
        <f t="shared" si="27"/>
        <v>October</v>
      </c>
      <c r="E339" s="3" t="s">
        <v>664</v>
      </c>
      <c r="F339" s="3" t="str">
        <f>VLOOKUP(E339,Customers!$A$2:$I$1001,2,0)</f>
        <v>Flynn Antony</v>
      </c>
      <c r="G339" s="3" t="str">
        <f>VLOOKUP(E339,Customers!$A$2:$I$1001,3,0)</f>
        <v>UNKNOWN</v>
      </c>
      <c r="H339" s="3" t="str">
        <f>VLOOKUP(E339,Customers!$A$2:$I$1001,4,0)</f>
        <v>+1 (205) 680-5859</v>
      </c>
      <c r="I339" s="25" t="str">
        <f>VLOOKUP(E339,Customers!$A$2:$I$1001,6,0)</f>
        <v>Birmingham</v>
      </c>
      <c r="J339" s="25" t="str">
        <f>VLOOKUP(E339,Customers!$A$2:$I$1001,7,0)</f>
        <v>United States</v>
      </c>
      <c r="K339" s="23" t="str">
        <f>VLOOKUP(E339,Customers!$A$2:$I$1001,9,0)</f>
        <v>No</v>
      </c>
      <c r="L339" s="4" t="s">
        <v>530</v>
      </c>
      <c r="M339" s="4" t="str">
        <f>VLOOKUP(L339,Products!$A$2:$G$49,2,0)</f>
        <v>Excelsa</v>
      </c>
      <c r="N339" s="4" t="str">
        <f>VLOOKUP(L339,Products!$A$2:$G$49,3,0)</f>
        <v>Dark</v>
      </c>
      <c r="O339" s="25">
        <v>2</v>
      </c>
      <c r="P339" s="5">
        <f>INDEX([1]products!$A$1:$G$49,MATCH([1]orders!$D339,[1]products!$A$1:$A$49,0),MATCH([1]orders!K$1,[1]products!$A$1:$G$1,0))</f>
        <v>2.5</v>
      </c>
      <c r="Q339" s="6">
        <f>INDEX([1]products!$A$1:$G$49,MATCH([1]orders!$D339,[1]products!$A$1:$A$49,0),MATCH([1]orders!L$1,[1]products!$A$1:$G$1,0))</f>
        <v>27.945</v>
      </c>
      <c r="R339" s="6">
        <f t="shared" si="25"/>
        <v>55.89</v>
      </c>
      <c r="S339">
        <f>VLOOKUP(L339,Products!$A$2:$G$49,7,0)</f>
        <v>3.07395</v>
      </c>
      <c r="T339">
        <f t="shared" si="28"/>
        <v>6.1478999999999999</v>
      </c>
      <c r="U339" s="33">
        <f t="shared" si="29"/>
        <v>11</v>
      </c>
    </row>
    <row r="340" spans="1:21" x14ac:dyDescent="0.25">
      <c r="A340" s="1" t="s">
        <v>685</v>
      </c>
      <c r="B340" s="28">
        <v>43995</v>
      </c>
      <c r="C340" s="21" t="str">
        <f t="shared" si="26"/>
        <v>2020</v>
      </c>
      <c r="D340" s="19" t="str">
        <f t="shared" si="27"/>
        <v>June</v>
      </c>
      <c r="E340" s="3" t="s">
        <v>686</v>
      </c>
      <c r="F340" s="3" t="str">
        <f>VLOOKUP(E340,Customers!$A$2:$I$1001,2,0)</f>
        <v>Wyatan Fetherston</v>
      </c>
      <c r="G340" s="3" t="str">
        <f>VLOOKUP(E340,Customers!$A$2:$I$1001,3,0)</f>
        <v>wfetherston9e@constantcontact.com</v>
      </c>
      <c r="H340" s="3" t="str">
        <f>VLOOKUP(E340,Customers!$A$2:$I$1001,4,0)</f>
        <v>+1 (212) 724-3420</v>
      </c>
      <c r="I340" s="25" t="str">
        <f>VLOOKUP(E340,Customers!$A$2:$I$1001,6,0)</f>
        <v>New York City</v>
      </c>
      <c r="J340" s="25" t="str">
        <f>VLOOKUP(E340,Customers!$A$2:$I$1001,7,0)</f>
        <v>United States</v>
      </c>
      <c r="K340" s="23" t="str">
        <f>VLOOKUP(E340,Customers!$A$2:$I$1001,9,0)</f>
        <v>No</v>
      </c>
      <c r="L340" s="4" t="s">
        <v>137</v>
      </c>
      <c r="M340" s="4" t="str">
        <f>VLOOKUP(L340,Products!$A$2:$G$49,2,0)</f>
        <v>Excelsa</v>
      </c>
      <c r="N340" s="4" t="str">
        <f>VLOOKUP(L340,Products!$A$2:$G$49,3,0)</f>
        <v>Light</v>
      </c>
      <c r="O340" s="25">
        <v>4</v>
      </c>
      <c r="P340" s="5">
        <f>INDEX([1]products!$A$1:$G$49,MATCH([1]orders!$D340,[1]products!$A$1:$A$49,0),MATCH([1]orders!K$1,[1]products!$A$1:$G$1,0))</f>
        <v>1</v>
      </c>
      <c r="Q340" s="6">
        <f>INDEX([1]products!$A$1:$G$49,MATCH([1]orders!$D340,[1]products!$A$1:$A$49,0),MATCH([1]orders!L$1,[1]products!$A$1:$G$1,0))</f>
        <v>14.85</v>
      </c>
      <c r="R340" s="6">
        <f t="shared" si="25"/>
        <v>59.4</v>
      </c>
      <c r="S340">
        <f>VLOOKUP(L340,Products!$A$2:$G$49,7,0)</f>
        <v>1.6335</v>
      </c>
      <c r="T340">
        <f t="shared" si="28"/>
        <v>6.5339999999999998</v>
      </c>
      <c r="U340" s="33">
        <f t="shared" si="29"/>
        <v>11</v>
      </c>
    </row>
    <row r="341" spans="1:21" x14ac:dyDescent="0.25">
      <c r="A341" s="1" t="s">
        <v>687</v>
      </c>
      <c r="B341" s="28">
        <v>44256</v>
      </c>
      <c r="C341" s="21" t="str">
        <f t="shared" si="26"/>
        <v>2021</v>
      </c>
      <c r="D341" s="19" t="str">
        <f t="shared" si="27"/>
        <v>March</v>
      </c>
      <c r="E341" s="3" t="s">
        <v>688</v>
      </c>
      <c r="F341" s="3" t="str">
        <f>VLOOKUP(E341,Customers!$A$2:$I$1001,2,0)</f>
        <v>Emmaline Rasmus</v>
      </c>
      <c r="G341" s="3" t="str">
        <f>VLOOKUP(E341,Customers!$A$2:$I$1001,3,0)</f>
        <v>erasmus9f@techcrunch.com</v>
      </c>
      <c r="H341" s="3" t="str">
        <f>VLOOKUP(E341,Customers!$A$2:$I$1001,4,0)</f>
        <v>+1 (617) 830-9474</v>
      </c>
      <c r="I341" s="25" t="str">
        <f>VLOOKUP(E341,Customers!$A$2:$I$1001,6,0)</f>
        <v>Boston</v>
      </c>
      <c r="J341" s="25" t="str">
        <f>VLOOKUP(E341,Customers!$A$2:$I$1001,7,0)</f>
        <v>United States</v>
      </c>
      <c r="K341" s="23" t="str">
        <f>VLOOKUP(E341,Customers!$A$2:$I$1001,9,0)</f>
        <v>Yes</v>
      </c>
      <c r="L341" s="4" t="s">
        <v>51</v>
      </c>
      <c r="M341" s="4" t="str">
        <f>VLOOKUP(L341,Products!$A$2:$G$49,2,0)</f>
        <v>Excelsa</v>
      </c>
      <c r="N341" s="4" t="str">
        <f>VLOOKUP(L341,Products!$A$2:$G$49,3,0)</f>
        <v>Dark</v>
      </c>
      <c r="O341" s="25">
        <v>2</v>
      </c>
      <c r="P341" s="5">
        <f>INDEX([1]products!$A$1:$G$49,MATCH([1]orders!$D341,[1]products!$A$1:$A$49,0),MATCH([1]orders!K$1,[1]products!$A$1:$G$1,0))</f>
        <v>0.2</v>
      </c>
      <c r="Q341" s="6">
        <f>INDEX([1]products!$A$1:$G$49,MATCH([1]orders!$D341,[1]products!$A$1:$A$49,0),MATCH([1]orders!L$1,[1]products!$A$1:$G$1,0))</f>
        <v>3.645</v>
      </c>
      <c r="R341" s="6">
        <f t="shared" si="25"/>
        <v>7.29</v>
      </c>
      <c r="S341">
        <f>VLOOKUP(L341,Products!$A$2:$G$49,7,0)</f>
        <v>0.40095000000000003</v>
      </c>
      <c r="T341">
        <f t="shared" si="28"/>
        <v>0.80190000000000006</v>
      </c>
      <c r="U341" s="33">
        <f t="shared" si="29"/>
        <v>11</v>
      </c>
    </row>
    <row r="342" spans="1:21" x14ac:dyDescent="0.25">
      <c r="A342" s="1" t="s">
        <v>689</v>
      </c>
      <c r="B342" s="28">
        <v>43528</v>
      </c>
      <c r="C342" s="21" t="str">
        <f t="shared" si="26"/>
        <v>2019</v>
      </c>
      <c r="D342" s="19" t="str">
        <f t="shared" si="27"/>
        <v>March</v>
      </c>
      <c r="E342" s="3" t="s">
        <v>690</v>
      </c>
      <c r="F342" s="3" t="str">
        <f>VLOOKUP(E342,Customers!$A$2:$I$1001,2,0)</f>
        <v>Wesley Giorgioni</v>
      </c>
      <c r="G342" s="3" t="str">
        <f>VLOOKUP(E342,Customers!$A$2:$I$1001,3,0)</f>
        <v>wgiorgioni9g@wikipedia.org</v>
      </c>
      <c r="H342" s="3" t="str">
        <f>VLOOKUP(E342,Customers!$A$2:$I$1001,4,0)</f>
        <v>+1 (415) 960-7198</v>
      </c>
      <c r="I342" s="25" t="str">
        <f>VLOOKUP(E342,Customers!$A$2:$I$1001,6,0)</f>
        <v>San Francisco</v>
      </c>
      <c r="J342" s="25" t="str">
        <f>VLOOKUP(E342,Customers!$A$2:$I$1001,7,0)</f>
        <v>United States</v>
      </c>
      <c r="K342" s="23" t="str">
        <f>VLOOKUP(E342,Customers!$A$2:$I$1001,9,0)</f>
        <v>Yes</v>
      </c>
      <c r="L342" s="4" t="s">
        <v>16</v>
      </c>
      <c r="M342" s="4" t="str">
        <f>VLOOKUP(L342,Products!$A$2:$G$49,2,0)</f>
        <v>Excelsa</v>
      </c>
      <c r="N342" s="4" t="str">
        <f>VLOOKUP(L342,Products!$A$2:$G$49,3,0)</f>
        <v>Dark</v>
      </c>
      <c r="O342" s="25">
        <v>1</v>
      </c>
      <c r="P342" s="5">
        <f>INDEX([1]products!$A$1:$G$49,MATCH([1]orders!$D342,[1]products!$A$1:$A$49,0),MATCH([1]orders!K$1,[1]products!$A$1:$G$1,0))</f>
        <v>0.5</v>
      </c>
      <c r="Q342" s="6">
        <f>INDEX([1]products!$A$1:$G$49,MATCH([1]orders!$D342,[1]products!$A$1:$A$49,0),MATCH([1]orders!L$1,[1]products!$A$1:$G$1,0))</f>
        <v>7.29</v>
      </c>
      <c r="R342" s="6">
        <f t="shared" si="25"/>
        <v>7.29</v>
      </c>
      <c r="S342">
        <f>VLOOKUP(L342,Products!$A$2:$G$49,7,0)</f>
        <v>0.80190000000000006</v>
      </c>
      <c r="T342">
        <f t="shared" si="28"/>
        <v>0.80190000000000006</v>
      </c>
      <c r="U342" s="33">
        <f t="shared" si="29"/>
        <v>11</v>
      </c>
    </row>
    <row r="343" spans="1:21" x14ac:dyDescent="0.25">
      <c r="A343" s="1" t="s">
        <v>691</v>
      </c>
      <c r="B343" s="28">
        <v>43751</v>
      </c>
      <c r="C343" s="21" t="str">
        <f t="shared" si="26"/>
        <v>2019</v>
      </c>
      <c r="D343" s="19" t="str">
        <f t="shared" si="27"/>
        <v>October</v>
      </c>
      <c r="E343" s="3" t="s">
        <v>692</v>
      </c>
      <c r="F343" s="3" t="str">
        <f>VLOOKUP(E343,Customers!$A$2:$I$1001,2,0)</f>
        <v>Lucienne Scargle</v>
      </c>
      <c r="G343" s="3" t="str">
        <f>VLOOKUP(E343,Customers!$A$2:$I$1001,3,0)</f>
        <v>lscargle9h@myspace.com</v>
      </c>
      <c r="H343" s="3" t="str">
        <f>VLOOKUP(E343,Customers!$A$2:$I$1001,4,0)</f>
        <v>+1 (317) 136-7045</v>
      </c>
      <c r="I343" s="25" t="str">
        <f>VLOOKUP(E343,Customers!$A$2:$I$1001,6,0)</f>
        <v>Indianapolis</v>
      </c>
      <c r="J343" s="25" t="str">
        <f>VLOOKUP(E343,Customers!$A$2:$I$1001,7,0)</f>
        <v>United States</v>
      </c>
      <c r="K343" s="23" t="str">
        <f>VLOOKUP(E343,Customers!$A$2:$I$1001,9,0)</f>
        <v>No</v>
      </c>
      <c r="L343" s="4" t="s">
        <v>176</v>
      </c>
      <c r="M343" s="4" t="str">
        <f>VLOOKUP(L343,Products!$A$2:$G$49,2,0)</f>
        <v>Excelsa</v>
      </c>
      <c r="N343" s="4" t="str">
        <f>VLOOKUP(L343,Products!$A$2:$G$49,3,0)</f>
        <v>Light</v>
      </c>
      <c r="O343" s="25">
        <v>2</v>
      </c>
      <c r="P343" s="5">
        <f>INDEX([1]products!$A$1:$G$49,MATCH([1]orders!$D343,[1]products!$A$1:$A$49,0),MATCH([1]orders!K$1,[1]products!$A$1:$G$1,0))</f>
        <v>0.5</v>
      </c>
      <c r="Q343" s="6">
        <f>INDEX([1]products!$A$1:$G$49,MATCH([1]orders!$D343,[1]products!$A$1:$A$49,0),MATCH([1]orders!L$1,[1]products!$A$1:$G$1,0))</f>
        <v>8.91</v>
      </c>
      <c r="R343" s="6">
        <f t="shared" si="25"/>
        <v>17.82</v>
      </c>
      <c r="S343">
        <f>VLOOKUP(L343,Products!$A$2:$G$49,7,0)</f>
        <v>0.98009999999999997</v>
      </c>
      <c r="T343">
        <f t="shared" si="28"/>
        <v>1.9601999999999999</v>
      </c>
      <c r="U343" s="33">
        <f t="shared" si="29"/>
        <v>11</v>
      </c>
    </row>
    <row r="344" spans="1:21" x14ac:dyDescent="0.25">
      <c r="A344" s="1" t="s">
        <v>691</v>
      </c>
      <c r="B344" s="28">
        <v>43751</v>
      </c>
      <c r="C344" s="21" t="str">
        <f t="shared" si="26"/>
        <v>2019</v>
      </c>
      <c r="D344" s="19" t="str">
        <f t="shared" si="27"/>
        <v>October</v>
      </c>
      <c r="E344" s="3" t="s">
        <v>692</v>
      </c>
      <c r="F344" s="3" t="str">
        <f>VLOOKUP(E344,Customers!$A$2:$I$1001,2,0)</f>
        <v>Lucienne Scargle</v>
      </c>
      <c r="G344" s="3" t="str">
        <f>VLOOKUP(E344,Customers!$A$2:$I$1001,3,0)</f>
        <v>lscargle9h@myspace.com</v>
      </c>
      <c r="H344" s="3" t="str">
        <f>VLOOKUP(E344,Customers!$A$2:$I$1001,4,0)</f>
        <v>+1 (317) 136-7045</v>
      </c>
      <c r="I344" s="25" t="str">
        <f>VLOOKUP(E344,Customers!$A$2:$I$1001,6,0)</f>
        <v>Indianapolis</v>
      </c>
      <c r="J344" s="25" t="str">
        <f>VLOOKUP(E344,Customers!$A$2:$I$1001,7,0)</f>
        <v>United States</v>
      </c>
      <c r="K344" s="23" t="str">
        <f>VLOOKUP(E344,Customers!$A$2:$I$1001,9,0)</f>
        <v>No</v>
      </c>
      <c r="L344" s="4" t="s">
        <v>123</v>
      </c>
      <c r="M344" s="4" t="str">
        <f>VLOOKUP(L344,Products!$A$2:$G$49,2,0)</f>
        <v>Liberica</v>
      </c>
      <c r="N344" s="4" t="str">
        <f>VLOOKUP(L344,Products!$A$2:$G$49,3,0)</f>
        <v>Dark</v>
      </c>
      <c r="O344" s="25">
        <v>5</v>
      </c>
      <c r="P344" s="5">
        <f>INDEX([1]products!$A$1:$G$49,MATCH([1]orders!$D344,[1]products!$A$1:$A$49,0),MATCH([1]orders!K$1,[1]products!$A$1:$G$1,0))</f>
        <v>0.5</v>
      </c>
      <c r="Q344" s="6">
        <f>INDEX([1]products!$A$1:$G$49,MATCH([1]orders!$D344,[1]products!$A$1:$A$49,0),MATCH([1]orders!L$1,[1]products!$A$1:$G$1,0))</f>
        <v>7.77</v>
      </c>
      <c r="R344" s="6">
        <f t="shared" si="25"/>
        <v>38.849999999999994</v>
      </c>
      <c r="S344">
        <f>VLOOKUP(L344,Products!$A$2:$G$49,7,0)</f>
        <v>1.0101</v>
      </c>
      <c r="T344">
        <f t="shared" si="28"/>
        <v>5.0504999999999995</v>
      </c>
      <c r="U344" s="33">
        <f t="shared" si="29"/>
        <v>13</v>
      </c>
    </row>
    <row r="345" spans="1:21" x14ac:dyDescent="0.25">
      <c r="A345" s="1" t="s">
        <v>693</v>
      </c>
      <c r="B345" s="28">
        <v>43692</v>
      </c>
      <c r="C345" s="21" t="str">
        <f t="shared" si="26"/>
        <v>2019</v>
      </c>
      <c r="D345" s="19" t="str">
        <f t="shared" si="27"/>
        <v>August</v>
      </c>
      <c r="E345" s="3" t="s">
        <v>694</v>
      </c>
      <c r="F345" s="3" t="str">
        <f>VLOOKUP(E345,Customers!$A$2:$I$1001,2,0)</f>
        <v>Noam Climance</v>
      </c>
      <c r="G345" s="3" t="str">
        <f>VLOOKUP(E345,Customers!$A$2:$I$1001,3,0)</f>
        <v>nclimance9j@europa.eu</v>
      </c>
      <c r="H345" s="3" t="str">
        <f>VLOOKUP(E345,Customers!$A$2:$I$1001,4,0)</f>
        <v>UNKNOWN</v>
      </c>
      <c r="I345" s="25" t="str">
        <f>VLOOKUP(E345,Customers!$A$2:$I$1001,6,0)</f>
        <v>Seattle</v>
      </c>
      <c r="J345" s="25" t="str">
        <f>VLOOKUP(E345,Customers!$A$2:$I$1001,7,0)</f>
        <v>United States</v>
      </c>
      <c r="K345" s="23" t="str">
        <f>VLOOKUP(E345,Customers!$A$2:$I$1001,9,0)</f>
        <v>No</v>
      </c>
      <c r="L345" s="4" t="s">
        <v>146</v>
      </c>
      <c r="M345" s="4" t="str">
        <f>VLOOKUP(L345,Products!$A$2:$G$49,2,0)</f>
        <v>Robusta</v>
      </c>
      <c r="N345" s="4" t="str">
        <f>VLOOKUP(L345,Products!$A$2:$G$49,3,0)</f>
        <v>Dark</v>
      </c>
      <c r="O345" s="25">
        <v>6</v>
      </c>
      <c r="P345" s="5">
        <f>INDEX([1]products!$A$1:$G$49,MATCH([1]orders!$D345,[1]products!$A$1:$A$49,0),MATCH([1]orders!K$1,[1]products!$A$1:$G$1,0))</f>
        <v>0.5</v>
      </c>
      <c r="Q345" s="6">
        <f>INDEX([1]products!$A$1:$G$49,MATCH([1]orders!$D345,[1]products!$A$1:$A$49,0),MATCH([1]orders!L$1,[1]products!$A$1:$G$1,0))</f>
        <v>5.3699999999999992</v>
      </c>
      <c r="R345" s="6">
        <f t="shared" si="25"/>
        <v>32.22</v>
      </c>
      <c r="S345">
        <f>VLOOKUP(L345,Products!$A$2:$G$49,7,0)</f>
        <v>0.32219999999999993</v>
      </c>
      <c r="T345">
        <f t="shared" si="28"/>
        <v>1.9331999999999996</v>
      </c>
      <c r="U345" s="33">
        <f t="shared" si="29"/>
        <v>5.9999999999999991</v>
      </c>
    </row>
    <row r="346" spans="1:21" x14ac:dyDescent="0.25">
      <c r="A346" s="1" t="s">
        <v>695</v>
      </c>
      <c r="B346" s="28">
        <v>44529</v>
      </c>
      <c r="C346" s="21" t="str">
        <f t="shared" si="26"/>
        <v>2021</v>
      </c>
      <c r="D346" s="19" t="str">
        <f t="shared" si="27"/>
        <v>November</v>
      </c>
      <c r="E346" s="3" t="s">
        <v>696</v>
      </c>
      <c r="F346" s="3" t="str">
        <f>VLOOKUP(E346,Customers!$A$2:$I$1001,2,0)</f>
        <v>Catarina Donn</v>
      </c>
      <c r="G346" s="3" t="str">
        <f>VLOOKUP(E346,Customers!$A$2:$I$1001,3,0)</f>
        <v>UNKNOWN</v>
      </c>
      <c r="H346" s="3" t="str">
        <f>VLOOKUP(E346,Customers!$A$2:$I$1001,4,0)</f>
        <v>+353 (950) 306-4776</v>
      </c>
      <c r="I346" s="25" t="str">
        <f>VLOOKUP(E346,Customers!$A$2:$I$1001,6,0)</f>
        <v>Dunmanway</v>
      </c>
      <c r="J346" s="25" t="str">
        <f>VLOOKUP(E346,Customers!$A$2:$I$1001,7,0)</f>
        <v>Ireland</v>
      </c>
      <c r="K346" s="23" t="str">
        <f>VLOOKUP(E346,Customers!$A$2:$I$1001,9,0)</f>
        <v>Yes</v>
      </c>
      <c r="L346" s="4" t="s">
        <v>2</v>
      </c>
      <c r="M346" s="4" t="str">
        <f>VLOOKUP(L346,Products!$A$2:$G$49,2,0)</f>
        <v>Robusta</v>
      </c>
      <c r="N346" s="4" t="str">
        <f>VLOOKUP(L346,Products!$A$2:$G$49,3,0)</f>
        <v>Medium</v>
      </c>
      <c r="O346" s="25">
        <v>2</v>
      </c>
      <c r="P346" s="5">
        <f>INDEX([1]products!$A$1:$G$49,MATCH([1]orders!$D346,[1]products!$A$1:$A$49,0),MATCH([1]orders!K$1,[1]products!$A$1:$G$1,0))</f>
        <v>1</v>
      </c>
      <c r="Q346" s="6">
        <f>INDEX([1]products!$A$1:$G$49,MATCH([1]orders!$D346,[1]products!$A$1:$A$49,0),MATCH([1]orders!L$1,[1]products!$A$1:$G$1,0))</f>
        <v>9.9499999999999993</v>
      </c>
      <c r="R346" s="6">
        <f t="shared" si="25"/>
        <v>19.899999999999999</v>
      </c>
      <c r="S346">
        <f>VLOOKUP(L346,Products!$A$2:$G$49,7,0)</f>
        <v>0.59699999999999998</v>
      </c>
      <c r="T346">
        <f t="shared" si="28"/>
        <v>1.194</v>
      </c>
      <c r="U346" s="33">
        <f t="shared" si="29"/>
        <v>6.0000000000000009</v>
      </c>
    </row>
    <row r="347" spans="1:21" x14ac:dyDescent="0.25">
      <c r="A347" s="1" t="s">
        <v>697</v>
      </c>
      <c r="B347" s="28">
        <v>43849</v>
      </c>
      <c r="C347" s="21" t="str">
        <f t="shared" si="26"/>
        <v>2020</v>
      </c>
      <c r="D347" s="19" t="str">
        <f t="shared" si="27"/>
        <v>January</v>
      </c>
      <c r="E347" s="3" t="s">
        <v>698</v>
      </c>
      <c r="F347" s="3" t="str">
        <f>VLOOKUP(E347,Customers!$A$2:$I$1001,2,0)</f>
        <v>Ameline Snazle</v>
      </c>
      <c r="G347" s="3" t="str">
        <f>VLOOKUP(E347,Customers!$A$2:$I$1001,3,0)</f>
        <v>asnazle9l@oracle.com</v>
      </c>
      <c r="H347" s="3" t="str">
        <f>VLOOKUP(E347,Customers!$A$2:$I$1001,4,0)</f>
        <v>+1 (334) 193-6359</v>
      </c>
      <c r="I347" s="25" t="str">
        <f>VLOOKUP(E347,Customers!$A$2:$I$1001,6,0)</f>
        <v>Montgomery</v>
      </c>
      <c r="J347" s="25" t="str">
        <f>VLOOKUP(E347,Customers!$A$2:$I$1001,7,0)</f>
        <v>United States</v>
      </c>
      <c r="K347" s="23" t="str">
        <f>VLOOKUP(E347,Customers!$A$2:$I$1001,9,0)</f>
        <v>No</v>
      </c>
      <c r="L347" s="4" t="s">
        <v>189</v>
      </c>
      <c r="M347" s="4" t="str">
        <f>VLOOKUP(L347,Products!$A$2:$G$49,2,0)</f>
        <v>Robusta</v>
      </c>
      <c r="N347" s="4" t="str">
        <f>VLOOKUP(L347,Products!$A$2:$G$49,3,0)</f>
        <v>Light</v>
      </c>
      <c r="O347" s="25">
        <v>5</v>
      </c>
      <c r="P347" s="5">
        <f>INDEX([1]products!$A$1:$G$49,MATCH([1]orders!$D347,[1]products!$A$1:$A$49,0),MATCH([1]orders!K$1,[1]products!$A$1:$G$1,0))</f>
        <v>1</v>
      </c>
      <c r="Q347" s="6">
        <f>INDEX([1]products!$A$1:$G$49,MATCH([1]orders!$D347,[1]products!$A$1:$A$49,0),MATCH([1]orders!L$1,[1]products!$A$1:$G$1,0))</f>
        <v>11.95</v>
      </c>
      <c r="R347" s="6">
        <f t="shared" si="25"/>
        <v>59.75</v>
      </c>
      <c r="S347">
        <f>VLOOKUP(L347,Products!$A$2:$G$49,7,0)</f>
        <v>0.71699999999999997</v>
      </c>
      <c r="T347">
        <f t="shared" si="28"/>
        <v>3.585</v>
      </c>
      <c r="U347" s="33">
        <f t="shared" si="29"/>
        <v>6</v>
      </c>
    </row>
    <row r="348" spans="1:21" x14ac:dyDescent="0.25">
      <c r="A348" s="1" t="s">
        <v>699</v>
      </c>
      <c r="B348" s="28">
        <v>44344</v>
      </c>
      <c r="C348" s="21" t="str">
        <f t="shared" si="26"/>
        <v>2021</v>
      </c>
      <c r="D348" s="19" t="str">
        <f t="shared" si="27"/>
        <v>May</v>
      </c>
      <c r="E348" s="3" t="s">
        <v>700</v>
      </c>
      <c r="F348" s="3" t="str">
        <f>VLOOKUP(E348,Customers!$A$2:$I$1001,2,0)</f>
        <v>Rebeka Worg</v>
      </c>
      <c r="G348" s="3" t="str">
        <f>VLOOKUP(E348,Customers!$A$2:$I$1001,3,0)</f>
        <v>rworg9m@arstechnica.com</v>
      </c>
      <c r="H348" s="3" t="str">
        <f>VLOOKUP(E348,Customers!$A$2:$I$1001,4,0)</f>
        <v>+1 (214) 985-2470</v>
      </c>
      <c r="I348" s="25" t="str">
        <f>VLOOKUP(E348,Customers!$A$2:$I$1001,6,0)</f>
        <v>Dallas</v>
      </c>
      <c r="J348" s="25" t="str">
        <f>VLOOKUP(E348,Customers!$A$2:$I$1001,7,0)</f>
        <v>United States</v>
      </c>
      <c r="K348" s="23" t="str">
        <f>VLOOKUP(E348,Customers!$A$2:$I$1001,9,0)</f>
        <v>Yes</v>
      </c>
      <c r="L348" s="4" t="s">
        <v>192</v>
      </c>
      <c r="M348" s="4" t="str">
        <f>VLOOKUP(L348,Products!$A$2:$G$49,2,0)</f>
        <v>Arabica</v>
      </c>
      <c r="N348" s="4" t="str">
        <f>VLOOKUP(L348,Products!$A$2:$G$49,3,0)</f>
        <v>Light</v>
      </c>
      <c r="O348" s="25">
        <v>3</v>
      </c>
      <c r="P348" s="5">
        <f>INDEX([1]products!$A$1:$G$49,MATCH([1]orders!$D348,[1]products!$A$1:$A$49,0),MATCH([1]orders!K$1,[1]products!$A$1:$G$1,0))</f>
        <v>0.5</v>
      </c>
      <c r="Q348" s="6">
        <f>INDEX([1]products!$A$1:$G$49,MATCH([1]orders!$D348,[1]products!$A$1:$A$49,0),MATCH([1]orders!L$1,[1]products!$A$1:$G$1,0))</f>
        <v>7.77</v>
      </c>
      <c r="R348" s="6">
        <f t="shared" si="25"/>
        <v>23.31</v>
      </c>
      <c r="S348">
        <f>VLOOKUP(L348,Products!$A$2:$G$49,7,0)</f>
        <v>0.69929999999999992</v>
      </c>
      <c r="T348">
        <f t="shared" si="28"/>
        <v>2.0978999999999997</v>
      </c>
      <c r="U348" s="33">
        <f t="shared" si="29"/>
        <v>9</v>
      </c>
    </row>
    <row r="349" spans="1:21" x14ac:dyDescent="0.25">
      <c r="A349" s="1" t="s">
        <v>701</v>
      </c>
      <c r="B349" s="28">
        <v>44576</v>
      </c>
      <c r="C349" s="21" t="str">
        <f t="shared" si="26"/>
        <v>2022</v>
      </c>
      <c r="D349" s="19" t="str">
        <f t="shared" si="27"/>
        <v>January</v>
      </c>
      <c r="E349" s="3" t="s">
        <v>702</v>
      </c>
      <c r="F349" s="3" t="str">
        <f>VLOOKUP(E349,Customers!$A$2:$I$1001,2,0)</f>
        <v>Lewes Danes</v>
      </c>
      <c r="G349" s="3" t="str">
        <f>VLOOKUP(E349,Customers!$A$2:$I$1001,3,0)</f>
        <v>ldanes9n@umn.edu</v>
      </c>
      <c r="H349" s="3" t="str">
        <f>VLOOKUP(E349,Customers!$A$2:$I$1001,4,0)</f>
        <v>+1 (785) 398-5129</v>
      </c>
      <c r="I349" s="25" t="str">
        <f>VLOOKUP(E349,Customers!$A$2:$I$1001,6,0)</f>
        <v>Topeka</v>
      </c>
      <c r="J349" s="25" t="str">
        <f>VLOOKUP(E349,Customers!$A$2:$I$1001,7,0)</f>
        <v>United States</v>
      </c>
      <c r="K349" s="23" t="str">
        <f>VLOOKUP(E349,Customers!$A$2:$I$1001,9,0)</f>
        <v>No</v>
      </c>
      <c r="L349" s="4" t="s">
        <v>96</v>
      </c>
      <c r="M349" s="4" t="str">
        <f>VLOOKUP(L349,Products!$A$2:$G$49,2,0)</f>
        <v>Liberica</v>
      </c>
      <c r="N349" s="4" t="str">
        <f>VLOOKUP(L349,Products!$A$2:$G$49,3,0)</f>
        <v>Medium</v>
      </c>
      <c r="O349" s="25">
        <v>3</v>
      </c>
      <c r="P349" s="5">
        <f>INDEX([1]products!$A$1:$G$49,MATCH([1]orders!$D349,[1]products!$A$1:$A$49,0),MATCH([1]orders!K$1,[1]products!$A$1:$G$1,0))</f>
        <v>1</v>
      </c>
      <c r="Q349" s="6">
        <f>INDEX([1]products!$A$1:$G$49,MATCH([1]orders!$D349,[1]products!$A$1:$A$49,0),MATCH([1]orders!L$1,[1]products!$A$1:$G$1,0))</f>
        <v>14.55</v>
      </c>
      <c r="R349" s="6">
        <f t="shared" si="25"/>
        <v>43.650000000000006</v>
      </c>
      <c r="S349">
        <f>VLOOKUP(L349,Products!$A$2:$G$49,7,0)</f>
        <v>1.8915000000000002</v>
      </c>
      <c r="T349">
        <f t="shared" si="28"/>
        <v>5.6745000000000001</v>
      </c>
      <c r="U349" s="33">
        <f t="shared" si="29"/>
        <v>12.999999999999998</v>
      </c>
    </row>
    <row r="350" spans="1:21" x14ac:dyDescent="0.25">
      <c r="A350" s="1" t="s">
        <v>703</v>
      </c>
      <c r="B350" s="28">
        <v>43803</v>
      </c>
      <c r="C350" s="21" t="str">
        <f t="shared" si="26"/>
        <v>2019</v>
      </c>
      <c r="D350" s="19" t="str">
        <f t="shared" si="27"/>
        <v>December</v>
      </c>
      <c r="E350" s="3" t="s">
        <v>704</v>
      </c>
      <c r="F350" s="3" t="str">
        <f>VLOOKUP(E350,Customers!$A$2:$I$1001,2,0)</f>
        <v>Shelli Keynd</v>
      </c>
      <c r="G350" s="3" t="str">
        <f>VLOOKUP(E350,Customers!$A$2:$I$1001,3,0)</f>
        <v>skeynd9o@narod.ru</v>
      </c>
      <c r="H350" s="3" t="str">
        <f>VLOOKUP(E350,Customers!$A$2:$I$1001,4,0)</f>
        <v>+1 (903) 299-3053</v>
      </c>
      <c r="I350" s="25" t="str">
        <f>VLOOKUP(E350,Customers!$A$2:$I$1001,6,0)</f>
        <v>Tyler</v>
      </c>
      <c r="J350" s="25" t="str">
        <f>VLOOKUP(E350,Customers!$A$2:$I$1001,7,0)</f>
        <v>United States</v>
      </c>
      <c r="K350" s="23" t="str">
        <f>VLOOKUP(E350,Customers!$A$2:$I$1001,9,0)</f>
        <v>No</v>
      </c>
      <c r="L350" s="4" t="s">
        <v>30</v>
      </c>
      <c r="M350" s="4" t="str">
        <f>VLOOKUP(L350,Products!$A$2:$G$49,2,0)</f>
        <v>Excelsa</v>
      </c>
      <c r="N350" s="4" t="str">
        <f>VLOOKUP(L350,Products!$A$2:$G$49,3,0)</f>
        <v>Light</v>
      </c>
      <c r="O350" s="25">
        <v>6</v>
      </c>
      <c r="P350" s="5">
        <f>INDEX([1]products!$A$1:$G$49,MATCH([1]orders!$D350,[1]products!$A$1:$A$49,0),MATCH([1]orders!K$1,[1]products!$A$1:$G$1,0))</f>
        <v>2.5</v>
      </c>
      <c r="Q350" s="6">
        <f>INDEX([1]products!$A$1:$G$49,MATCH([1]orders!$D350,[1]products!$A$1:$A$49,0),MATCH([1]orders!L$1,[1]products!$A$1:$G$1,0))</f>
        <v>34.154999999999994</v>
      </c>
      <c r="R350" s="6">
        <f t="shared" si="25"/>
        <v>204.92999999999995</v>
      </c>
      <c r="S350">
        <f>VLOOKUP(L350,Products!$A$2:$G$49,7,0)</f>
        <v>3.7570499999999996</v>
      </c>
      <c r="T350">
        <f t="shared" si="28"/>
        <v>22.542299999999997</v>
      </c>
      <c r="U350" s="33">
        <f t="shared" si="29"/>
        <v>11.000000000000002</v>
      </c>
    </row>
    <row r="351" spans="1:21" x14ac:dyDescent="0.25">
      <c r="A351" s="1" t="s">
        <v>705</v>
      </c>
      <c r="B351" s="28">
        <v>44743</v>
      </c>
      <c r="C351" s="21" t="str">
        <f t="shared" si="26"/>
        <v>2022</v>
      </c>
      <c r="D351" s="19" t="str">
        <f t="shared" si="27"/>
        <v>July</v>
      </c>
      <c r="E351" s="3" t="s">
        <v>706</v>
      </c>
      <c r="F351" s="3" t="str">
        <f>VLOOKUP(E351,Customers!$A$2:$I$1001,2,0)</f>
        <v>Dell Daveridge</v>
      </c>
      <c r="G351" s="3" t="str">
        <f>VLOOKUP(E351,Customers!$A$2:$I$1001,3,0)</f>
        <v>ddaveridge9p@arstechnica.com</v>
      </c>
      <c r="H351" s="3" t="str">
        <f>VLOOKUP(E351,Customers!$A$2:$I$1001,4,0)</f>
        <v>+1 (213) 474-2139</v>
      </c>
      <c r="I351" s="25" t="str">
        <f>VLOOKUP(E351,Customers!$A$2:$I$1001,6,0)</f>
        <v>Los Angeles</v>
      </c>
      <c r="J351" s="25" t="str">
        <f>VLOOKUP(E351,Customers!$A$2:$I$1001,7,0)</f>
        <v>United States</v>
      </c>
      <c r="K351" s="23" t="str">
        <f>VLOOKUP(E351,Customers!$A$2:$I$1001,9,0)</f>
        <v>No</v>
      </c>
      <c r="L351" s="4" t="s">
        <v>182</v>
      </c>
      <c r="M351" s="4" t="str">
        <f>VLOOKUP(L351,Products!$A$2:$G$49,2,0)</f>
        <v>Robusta</v>
      </c>
      <c r="N351" s="4" t="str">
        <f>VLOOKUP(L351,Products!$A$2:$G$49,3,0)</f>
        <v>Light</v>
      </c>
      <c r="O351" s="25">
        <v>4</v>
      </c>
      <c r="P351" s="5">
        <f>INDEX([1]products!$A$1:$G$49,MATCH([1]orders!$D351,[1]products!$A$1:$A$49,0),MATCH([1]orders!K$1,[1]products!$A$1:$G$1,0))</f>
        <v>0.2</v>
      </c>
      <c r="Q351" s="6">
        <f>INDEX([1]products!$A$1:$G$49,MATCH([1]orders!$D351,[1]products!$A$1:$A$49,0),MATCH([1]orders!L$1,[1]products!$A$1:$G$1,0))</f>
        <v>3.5849999999999995</v>
      </c>
      <c r="R351" s="6">
        <f t="shared" si="25"/>
        <v>14.339999999999998</v>
      </c>
      <c r="S351">
        <f>VLOOKUP(L351,Products!$A$2:$G$49,7,0)</f>
        <v>0.21509999999999996</v>
      </c>
      <c r="T351">
        <f t="shared" si="28"/>
        <v>0.86039999999999983</v>
      </c>
      <c r="U351" s="33">
        <f t="shared" si="29"/>
        <v>6</v>
      </c>
    </row>
    <row r="352" spans="1:21" x14ac:dyDescent="0.25">
      <c r="A352" s="1" t="s">
        <v>707</v>
      </c>
      <c r="B352" s="28">
        <v>43592</v>
      </c>
      <c r="C352" s="21" t="str">
        <f t="shared" si="26"/>
        <v>2019</v>
      </c>
      <c r="D352" s="19" t="str">
        <f t="shared" si="27"/>
        <v>May</v>
      </c>
      <c r="E352" s="3" t="s">
        <v>708</v>
      </c>
      <c r="F352" s="3" t="str">
        <f>VLOOKUP(E352,Customers!$A$2:$I$1001,2,0)</f>
        <v>Joshuah Awdry</v>
      </c>
      <c r="G352" s="3" t="str">
        <f>VLOOKUP(E352,Customers!$A$2:$I$1001,3,0)</f>
        <v>jawdry9q@utexas.edu</v>
      </c>
      <c r="H352" s="3" t="str">
        <f>VLOOKUP(E352,Customers!$A$2:$I$1001,4,0)</f>
        <v>+1 (318) 747-7610</v>
      </c>
      <c r="I352" s="25" t="str">
        <f>VLOOKUP(E352,Customers!$A$2:$I$1001,6,0)</f>
        <v>Shreveport</v>
      </c>
      <c r="J352" s="25" t="str">
        <f>VLOOKUP(E352,Customers!$A$2:$I$1001,7,0)</f>
        <v>United States</v>
      </c>
      <c r="K352" s="23" t="str">
        <f>VLOOKUP(E352,Customers!$A$2:$I$1001,9,0)</f>
        <v>No</v>
      </c>
      <c r="L352" s="4" t="s">
        <v>72</v>
      </c>
      <c r="M352" s="4" t="str">
        <f>VLOOKUP(L352,Products!$A$2:$G$49,2,0)</f>
        <v>Arabica</v>
      </c>
      <c r="N352" s="4" t="str">
        <f>VLOOKUP(L352,Products!$A$2:$G$49,3,0)</f>
        <v>Dark</v>
      </c>
      <c r="O352" s="25">
        <v>4</v>
      </c>
      <c r="P352" s="5">
        <f>INDEX([1]products!$A$1:$G$49,MATCH([1]orders!$D352,[1]products!$A$1:$A$49,0),MATCH([1]orders!K$1,[1]products!$A$1:$G$1,0))</f>
        <v>0.5</v>
      </c>
      <c r="Q352" s="6">
        <f>INDEX([1]products!$A$1:$G$49,MATCH([1]orders!$D352,[1]products!$A$1:$A$49,0),MATCH([1]orders!L$1,[1]products!$A$1:$G$1,0))</f>
        <v>5.97</v>
      </c>
      <c r="R352" s="6">
        <f t="shared" si="25"/>
        <v>23.88</v>
      </c>
      <c r="S352">
        <f>VLOOKUP(L352,Products!$A$2:$G$49,7,0)</f>
        <v>0.5373</v>
      </c>
      <c r="T352">
        <f t="shared" si="28"/>
        <v>2.1492</v>
      </c>
      <c r="U352" s="33">
        <f t="shared" si="29"/>
        <v>9.0000000000000018</v>
      </c>
    </row>
    <row r="353" spans="1:21" x14ac:dyDescent="0.25">
      <c r="A353" s="1" t="s">
        <v>709</v>
      </c>
      <c r="B353" s="28">
        <v>44066</v>
      </c>
      <c r="C353" s="21" t="str">
        <f t="shared" si="26"/>
        <v>2020</v>
      </c>
      <c r="D353" s="19" t="str">
        <f t="shared" si="27"/>
        <v>August</v>
      </c>
      <c r="E353" s="3" t="s">
        <v>710</v>
      </c>
      <c r="F353" s="3" t="str">
        <f>VLOOKUP(E353,Customers!$A$2:$I$1001,2,0)</f>
        <v>Ethel Ryles</v>
      </c>
      <c r="G353" s="3" t="str">
        <f>VLOOKUP(E353,Customers!$A$2:$I$1001,3,0)</f>
        <v>eryles9r@fastcompany.com</v>
      </c>
      <c r="H353" s="3" t="str">
        <f>VLOOKUP(E353,Customers!$A$2:$I$1001,4,0)</f>
        <v>+1 (208) 760-1705</v>
      </c>
      <c r="I353" s="25" t="str">
        <f>VLOOKUP(E353,Customers!$A$2:$I$1001,6,0)</f>
        <v>Boise</v>
      </c>
      <c r="J353" s="25" t="str">
        <f>VLOOKUP(E353,Customers!$A$2:$I$1001,7,0)</f>
        <v>United States</v>
      </c>
      <c r="K353" s="23" t="str">
        <f>VLOOKUP(E353,Customers!$A$2:$I$1001,9,0)</f>
        <v>No</v>
      </c>
      <c r="L353" s="4" t="s">
        <v>61</v>
      </c>
      <c r="M353" s="4" t="str">
        <f>VLOOKUP(L353,Products!$A$2:$G$49,2,0)</f>
        <v>Arabica</v>
      </c>
      <c r="N353" s="4" t="str">
        <f>VLOOKUP(L353,Products!$A$2:$G$49,3,0)</f>
        <v>Medium</v>
      </c>
      <c r="O353" s="25">
        <v>2</v>
      </c>
      <c r="P353" s="5">
        <f>INDEX([1]products!$A$1:$G$49,MATCH([1]orders!$D353,[1]products!$A$1:$A$49,0),MATCH([1]orders!K$1,[1]products!$A$1:$G$1,0))</f>
        <v>1</v>
      </c>
      <c r="Q353" s="6">
        <f>INDEX([1]products!$A$1:$G$49,MATCH([1]orders!$D353,[1]products!$A$1:$A$49,0),MATCH([1]orders!L$1,[1]products!$A$1:$G$1,0))</f>
        <v>11.25</v>
      </c>
      <c r="R353" s="6">
        <f t="shared" si="25"/>
        <v>22.5</v>
      </c>
      <c r="S353">
        <f>VLOOKUP(L353,Products!$A$2:$G$49,7,0)</f>
        <v>1.0125</v>
      </c>
      <c r="T353">
        <f t="shared" si="28"/>
        <v>2.0249999999999999</v>
      </c>
      <c r="U353" s="33">
        <f t="shared" si="29"/>
        <v>9</v>
      </c>
    </row>
    <row r="354" spans="1:21" x14ac:dyDescent="0.25">
      <c r="A354" s="1" t="s">
        <v>711</v>
      </c>
      <c r="B354" s="28">
        <v>43984</v>
      </c>
      <c r="C354" s="21" t="str">
        <f t="shared" si="26"/>
        <v>2020</v>
      </c>
      <c r="D354" s="19" t="str">
        <f t="shared" si="27"/>
        <v>June</v>
      </c>
      <c r="E354" s="3" t="s">
        <v>664</v>
      </c>
      <c r="F354" s="3" t="str">
        <f>VLOOKUP(E354,Customers!$A$2:$I$1001,2,0)</f>
        <v>Flynn Antony</v>
      </c>
      <c r="G354" s="3" t="str">
        <f>VLOOKUP(E354,Customers!$A$2:$I$1001,3,0)</f>
        <v>UNKNOWN</v>
      </c>
      <c r="H354" s="3" t="str">
        <f>VLOOKUP(E354,Customers!$A$2:$I$1001,4,0)</f>
        <v>+1 (205) 680-5859</v>
      </c>
      <c r="I354" s="25" t="str">
        <f>VLOOKUP(E354,Customers!$A$2:$I$1001,6,0)</f>
        <v>Birmingham</v>
      </c>
      <c r="J354" s="25" t="str">
        <f>VLOOKUP(E354,Customers!$A$2:$I$1001,7,0)</f>
        <v>United States</v>
      </c>
      <c r="K354" s="23" t="str">
        <f>VLOOKUP(E354,Customers!$A$2:$I$1001,9,0)</f>
        <v>No</v>
      </c>
      <c r="L354" s="4" t="s">
        <v>16</v>
      </c>
      <c r="M354" s="4" t="str">
        <f>VLOOKUP(L354,Products!$A$2:$G$49,2,0)</f>
        <v>Excelsa</v>
      </c>
      <c r="N354" s="4" t="str">
        <f>VLOOKUP(L354,Products!$A$2:$G$49,3,0)</f>
        <v>Dark</v>
      </c>
      <c r="O354" s="25">
        <v>5</v>
      </c>
      <c r="P354" s="5">
        <f>INDEX([1]products!$A$1:$G$49,MATCH([1]orders!$D354,[1]products!$A$1:$A$49,0),MATCH([1]orders!K$1,[1]products!$A$1:$G$1,0))</f>
        <v>0.5</v>
      </c>
      <c r="Q354" s="6">
        <f>INDEX([1]products!$A$1:$G$49,MATCH([1]orders!$D354,[1]products!$A$1:$A$49,0),MATCH([1]orders!L$1,[1]products!$A$1:$G$1,0))</f>
        <v>7.29</v>
      </c>
      <c r="R354" s="6">
        <f t="shared" si="25"/>
        <v>36.450000000000003</v>
      </c>
      <c r="S354">
        <f>VLOOKUP(L354,Products!$A$2:$G$49,7,0)</f>
        <v>0.80190000000000006</v>
      </c>
      <c r="T354">
        <f t="shared" si="28"/>
        <v>4.0095000000000001</v>
      </c>
      <c r="U354" s="33">
        <f t="shared" si="29"/>
        <v>10.999999999999998</v>
      </c>
    </row>
    <row r="355" spans="1:21" x14ac:dyDescent="0.25">
      <c r="A355" s="1" t="s">
        <v>712</v>
      </c>
      <c r="B355" s="28">
        <v>43860</v>
      </c>
      <c r="C355" s="21" t="str">
        <f t="shared" si="26"/>
        <v>2020</v>
      </c>
      <c r="D355" s="19" t="str">
        <f t="shared" si="27"/>
        <v>January</v>
      </c>
      <c r="E355" s="3" t="s">
        <v>713</v>
      </c>
      <c r="F355" s="3" t="str">
        <f>VLOOKUP(E355,Customers!$A$2:$I$1001,2,0)</f>
        <v>Maitilde Boxill</v>
      </c>
      <c r="G355" s="3" t="str">
        <f>VLOOKUP(E355,Customers!$A$2:$I$1001,3,0)</f>
        <v>UNKNOWN</v>
      </c>
      <c r="H355" s="3" t="str">
        <f>VLOOKUP(E355,Customers!$A$2:$I$1001,4,0)</f>
        <v>+1 (334) 191-0127</v>
      </c>
      <c r="I355" s="25" t="str">
        <f>VLOOKUP(E355,Customers!$A$2:$I$1001,6,0)</f>
        <v>Montgomery</v>
      </c>
      <c r="J355" s="25" t="str">
        <f>VLOOKUP(E355,Customers!$A$2:$I$1001,7,0)</f>
        <v>United States</v>
      </c>
      <c r="K355" s="23" t="str">
        <f>VLOOKUP(E355,Customers!$A$2:$I$1001,9,0)</f>
        <v>Yes</v>
      </c>
      <c r="L355" s="4" t="s">
        <v>67</v>
      </c>
      <c r="M355" s="4" t="str">
        <f>VLOOKUP(L355,Products!$A$2:$G$49,2,0)</f>
        <v>Arabica</v>
      </c>
      <c r="N355" s="4" t="str">
        <f>VLOOKUP(L355,Products!$A$2:$G$49,3,0)</f>
        <v>Medium</v>
      </c>
      <c r="O355" s="25">
        <v>4</v>
      </c>
      <c r="P355" s="5">
        <f>INDEX([1]products!$A$1:$G$49,MATCH([1]orders!$D355,[1]products!$A$1:$A$49,0),MATCH([1]orders!K$1,[1]products!$A$1:$G$1,0))</f>
        <v>0.5</v>
      </c>
      <c r="Q355" s="6">
        <f>INDEX([1]products!$A$1:$G$49,MATCH([1]orders!$D355,[1]products!$A$1:$A$49,0),MATCH([1]orders!L$1,[1]products!$A$1:$G$1,0))</f>
        <v>6.75</v>
      </c>
      <c r="R355" s="6">
        <f t="shared" si="25"/>
        <v>27</v>
      </c>
      <c r="S355">
        <f>VLOOKUP(L355,Products!$A$2:$G$49,7,0)</f>
        <v>0.60749999999999993</v>
      </c>
      <c r="T355">
        <f t="shared" si="28"/>
        <v>2.4299999999999997</v>
      </c>
      <c r="U355" s="33">
        <f t="shared" si="29"/>
        <v>8.9999999999999982</v>
      </c>
    </row>
    <row r="356" spans="1:21" x14ac:dyDescent="0.25">
      <c r="A356" s="1" t="s">
        <v>714</v>
      </c>
      <c r="B356" s="28">
        <v>43876</v>
      </c>
      <c r="C356" s="21" t="str">
        <f t="shared" si="26"/>
        <v>2020</v>
      </c>
      <c r="D356" s="19" t="str">
        <f t="shared" si="27"/>
        <v>February</v>
      </c>
      <c r="E356" s="3" t="s">
        <v>715</v>
      </c>
      <c r="F356" s="3" t="str">
        <f>VLOOKUP(E356,Customers!$A$2:$I$1001,2,0)</f>
        <v>Jodee Caldicott</v>
      </c>
      <c r="G356" s="3" t="str">
        <f>VLOOKUP(E356,Customers!$A$2:$I$1001,3,0)</f>
        <v>jcaldicott9u@usda.gov</v>
      </c>
      <c r="H356" s="3" t="str">
        <f>VLOOKUP(E356,Customers!$A$2:$I$1001,4,0)</f>
        <v>UNKNOWN</v>
      </c>
      <c r="I356" s="25" t="str">
        <f>VLOOKUP(E356,Customers!$A$2:$I$1001,6,0)</f>
        <v>Fort Pierce</v>
      </c>
      <c r="J356" s="25" t="str">
        <f>VLOOKUP(E356,Customers!$A$2:$I$1001,7,0)</f>
        <v>United States</v>
      </c>
      <c r="K356" s="23" t="str">
        <f>VLOOKUP(E356,Customers!$A$2:$I$1001,9,0)</f>
        <v>No</v>
      </c>
      <c r="L356" s="4" t="s">
        <v>171</v>
      </c>
      <c r="M356" s="4" t="str">
        <f>VLOOKUP(L356,Products!$A$2:$G$49,2,0)</f>
        <v>Arabica</v>
      </c>
      <c r="N356" s="4" t="str">
        <f>VLOOKUP(L356,Products!$A$2:$G$49,3,0)</f>
        <v>Medium</v>
      </c>
      <c r="O356" s="25">
        <v>6</v>
      </c>
      <c r="P356" s="5">
        <f>INDEX([1]products!$A$1:$G$49,MATCH([1]orders!$D356,[1]products!$A$1:$A$49,0),MATCH([1]orders!K$1,[1]products!$A$1:$G$1,0))</f>
        <v>2.5</v>
      </c>
      <c r="Q356" s="6">
        <f>INDEX([1]products!$A$1:$G$49,MATCH([1]orders!$D356,[1]products!$A$1:$A$49,0),MATCH([1]orders!L$1,[1]products!$A$1:$G$1,0))</f>
        <v>25.874999999999996</v>
      </c>
      <c r="R356" s="6">
        <f t="shared" si="25"/>
        <v>155.24999999999997</v>
      </c>
      <c r="S356">
        <f>VLOOKUP(L356,Products!$A$2:$G$49,7,0)</f>
        <v>2.3287499999999994</v>
      </c>
      <c r="T356">
        <f t="shared" si="28"/>
        <v>13.972499999999997</v>
      </c>
      <c r="U356" s="33">
        <f t="shared" si="29"/>
        <v>9</v>
      </c>
    </row>
    <row r="357" spans="1:21" x14ac:dyDescent="0.25">
      <c r="A357" s="1" t="s">
        <v>716</v>
      </c>
      <c r="B357" s="28">
        <v>44358</v>
      </c>
      <c r="C357" s="21" t="str">
        <f t="shared" si="26"/>
        <v>2021</v>
      </c>
      <c r="D357" s="19" t="str">
        <f t="shared" si="27"/>
        <v>June</v>
      </c>
      <c r="E357" s="3" t="s">
        <v>717</v>
      </c>
      <c r="F357" s="3" t="str">
        <f>VLOOKUP(E357,Customers!$A$2:$I$1001,2,0)</f>
        <v>Marianna Vedmore</v>
      </c>
      <c r="G357" s="3" t="str">
        <f>VLOOKUP(E357,Customers!$A$2:$I$1001,3,0)</f>
        <v>mvedmore9v@a8.net</v>
      </c>
      <c r="H357" s="3" t="str">
        <f>VLOOKUP(E357,Customers!$A$2:$I$1001,4,0)</f>
        <v>+1 (336) 366-8873</v>
      </c>
      <c r="I357" s="25" t="str">
        <f>VLOOKUP(E357,Customers!$A$2:$I$1001,6,0)</f>
        <v>Greensboro</v>
      </c>
      <c r="J357" s="25" t="str">
        <f>VLOOKUP(E357,Customers!$A$2:$I$1001,7,0)</f>
        <v>United States</v>
      </c>
      <c r="K357" s="23" t="str">
        <f>VLOOKUP(E357,Customers!$A$2:$I$1001,9,0)</f>
        <v>Yes</v>
      </c>
      <c r="L357" s="4" t="s">
        <v>118</v>
      </c>
      <c r="M357" s="4" t="str">
        <f>VLOOKUP(L357,Products!$A$2:$G$49,2,0)</f>
        <v>Arabica</v>
      </c>
      <c r="N357" s="4" t="str">
        <f>VLOOKUP(L357,Products!$A$2:$G$49,3,0)</f>
        <v>Dark</v>
      </c>
      <c r="O357" s="25">
        <v>5</v>
      </c>
      <c r="P357" s="5">
        <f>INDEX([1]products!$A$1:$G$49,MATCH([1]orders!$D357,[1]products!$A$1:$A$49,0),MATCH([1]orders!K$1,[1]products!$A$1:$G$1,0))</f>
        <v>2.5</v>
      </c>
      <c r="Q357" s="6">
        <f>INDEX([1]products!$A$1:$G$49,MATCH([1]orders!$D357,[1]products!$A$1:$A$49,0),MATCH([1]orders!L$1,[1]products!$A$1:$G$1,0))</f>
        <v>22.884999999999998</v>
      </c>
      <c r="R357" s="6">
        <f t="shared" si="25"/>
        <v>114.42499999999998</v>
      </c>
      <c r="S357">
        <f>VLOOKUP(L357,Products!$A$2:$G$49,7,0)</f>
        <v>2.0596499999999995</v>
      </c>
      <c r="T357">
        <f t="shared" si="28"/>
        <v>10.298249999999998</v>
      </c>
      <c r="U357" s="33">
        <f t="shared" si="29"/>
        <v>9</v>
      </c>
    </row>
    <row r="358" spans="1:21" x14ac:dyDescent="0.25">
      <c r="A358" s="1" t="s">
        <v>718</v>
      </c>
      <c r="B358" s="28">
        <v>44631</v>
      </c>
      <c r="C358" s="21" t="str">
        <f t="shared" si="26"/>
        <v>2022</v>
      </c>
      <c r="D358" s="19" t="str">
        <f t="shared" si="27"/>
        <v>March</v>
      </c>
      <c r="E358" s="3" t="s">
        <v>719</v>
      </c>
      <c r="F358" s="3" t="str">
        <f>VLOOKUP(E358,Customers!$A$2:$I$1001,2,0)</f>
        <v>Willey Romao</v>
      </c>
      <c r="G358" s="3" t="str">
        <f>VLOOKUP(E358,Customers!$A$2:$I$1001,3,0)</f>
        <v>wromao9w@chronoengine.com</v>
      </c>
      <c r="H358" s="3" t="str">
        <f>VLOOKUP(E358,Customers!$A$2:$I$1001,4,0)</f>
        <v>+1 (916) 623-2394</v>
      </c>
      <c r="I358" s="25" t="str">
        <f>VLOOKUP(E358,Customers!$A$2:$I$1001,6,0)</f>
        <v>Sacramento</v>
      </c>
      <c r="J358" s="25" t="str">
        <f>VLOOKUP(E358,Customers!$A$2:$I$1001,7,0)</f>
        <v>United States</v>
      </c>
      <c r="K358" s="23" t="str">
        <f>VLOOKUP(E358,Customers!$A$2:$I$1001,9,0)</f>
        <v>Yes</v>
      </c>
      <c r="L358" s="4" t="s">
        <v>13</v>
      </c>
      <c r="M358" s="4" t="str">
        <f>VLOOKUP(L358,Products!$A$2:$G$49,2,0)</f>
        <v>Liberica</v>
      </c>
      <c r="N358" s="4" t="str">
        <f>VLOOKUP(L358,Products!$A$2:$G$49,3,0)</f>
        <v>Dark</v>
      </c>
      <c r="O358" s="25">
        <v>4</v>
      </c>
      <c r="P358" s="5">
        <f>INDEX([1]products!$A$1:$G$49,MATCH([1]orders!$D358,[1]products!$A$1:$A$49,0),MATCH([1]orders!K$1,[1]products!$A$1:$G$1,0))</f>
        <v>1</v>
      </c>
      <c r="Q358" s="6">
        <f>INDEX([1]products!$A$1:$G$49,MATCH([1]orders!$D358,[1]products!$A$1:$A$49,0),MATCH([1]orders!L$1,[1]products!$A$1:$G$1,0))</f>
        <v>12.95</v>
      </c>
      <c r="R358" s="6">
        <f t="shared" si="25"/>
        <v>51.8</v>
      </c>
      <c r="S358">
        <f>VLOOKUP(L358,Products!$A$2:$G$49,7,0)</f>
        <v>1.6835</v>
      </c>
      <c r="T358">
        <f t="shared" si="28"/>
        <v>6.734</v>
      </c>
      <c r="U358" s="33">
        <f t="shared" si="29"/>
        <v>13</v>
      </c>
    </row>
    <row r="359" spans="1:21" x14ac:dyDescent="0.25">
      <c r="A359" s="1" t="s">
        <v>720</v>
      </c>
      <c r="B359" s="28">
        <v>44448</v>
      </c>
      <c r="C359" s="21" t="str">
        <f t="shared" si="26"/>
        <v>2021</v>
      </c>
      <c r="D359" s="19" t="str">
        <f t="shared" si="27"/>
        <v>September</v>
      </c>
      <c r="E359" s="3" t="s">
        <v>721</v>
      </c>
      <c r="F359" s="3" t="str">
        <f>VLOOKUP(E359,Customers!$A$2:$I$1001,2,0)</f>
        <v>Enriqueta Ixor</v>
      </c>
      <c r="G359" s="3" t="str">
        <f>VLOOKUP(E359,Customers!$A$2:$I$1001,3,0)</f>
        <v>UNKNOWN</v>
      </c>
      <c r="H359" s="3" t="str">
        <f>VLOOKUP(E359,Customers!$A$2:$I$1001,4,0)</f>
        <v>+1 (512) 200-9234</v>
      </c>
      <c r="I359" s="25" t="str">
        <f>VLOOKUP(E359,Customers!$A$2:$I$1001,6,0)</f>
        <v>Round Rock</v>
      </c>
      <c r="J359" s="25" t="str">
        <f>VLOOKUP(E359,Customers!$A$2:$I$1001,7,0)</f>
        <v>United States</v>
      </c>
      <c r="K359" s="23" t="str">
        <f>VLOOKUP(E359,Customers!$A$2:$I$1001,9,0)</f>
        <v>No</v>
      </c>
      <c r="L359" s="4" t="s">
        <v>171</v>
      </c>
      <c r="M359" s="4" t="str">
        <f>VLOOKUP(L359,Products!$A$2:$G$49,2,0)</f>
        <v>Arabica</v>
      </c>
      <c r="N359" s="4" t="str">
        <f>VLOOKUP(L359,Products!$A$2:$G$49,3,0)</f>
        <v>Medium</v>
      </c>
      <c r="O359" s="25">
        <v>6</v>
      </c>
      <c r="P359" s="5">
        <f>INDEX([1]products!$A$1:$G$49,MATCH([1]orders!$D359,[1]products!$A$1:$A$49,0),MATCH([1]orders!K$1,[1]products!$A$1:$G$1,0))</f>
        <v>2.5</v>
      </c>
      <c r="Q359" s="6">
        <f>INDEX([1]products!$A$1:$G$49,MATCH([1]orders!$D359,[1]products!$A$1:$A$49,0),MATCH([1]orders!L$1,[1]products!$A$1:$G$1,0))</f>
        <v>25.874999999999996</v>
      </c>
      <c r="R359" s="6">
        <f t="shared" si="25"/>
        <v>155.24999999999997</v>
      </c>
      <c r="S359">
        <f>VLOOKUP(L359,Products!$A$2:$G$49,7,0)</f>
        <v>2.3287499999999994</v>
      </c>
      <c r="T359">
        <f t="shared" si="28"/>
        <v>13.972499999999997</v>
      </c>
      <c r="U359" s="33">
        <f t="shared" si="29"/>
        <v>9</v>
      </c>
    </row>
    <row r="360" spans="1:21" x14ac:dyDescent="0.25">
      <c r="A360" s="1" t="s">
        <v>722</v>
      </c>
      <c r="B360" s="28">
        <v>43599</v>
      </c>
      <c r="C360" s="21" t="str">
        <f t="shared" si="26"/>
        <v>2019</v>
      </c>
      <c r="D360" s="19" t="str">
        <f t="shared" si="27"/>
        <v>May</v>
      </c>
      <c r="E360" s="3" t="s">
        <v>723</v>
      </c>
      <c r="F360" s="3" t="str">
        <f>VLOOKUP(E360,Customers!$A$2:$I$1001,2,0)</f>
        <v>Tomasina Cotmore</v>
      </c>
      <c r="G360" s="3" t="str">
        <f>VLOOKUP(E360,Customers!$A$2:$I$1001,3,0)</f>
        <v>tcotmore9y@amazonaws.com</v>
      </c>
      <c r="H360" s="3" t="str">
        <f>VLOOKUP(E360,Customers!$A$2:$I$1001,4,0)</f>
        <v>+1 (571) 250-3012</v>
      </c>
      <c r="I360" s="25" t="str">
        <f>VLOOKUP(E360,Customers!$A$2:$I$1001,6,0)</f>
        <v>Reston</v>
      </c>
      <c r="J360" s="25" t="str">
        <f>VLOOKUP(E360,Customers!$A$2:$I$1001,7,0)</f>
        <v>United States</v>
      </c>
      <c r="K360" s="23" t="str">
        <f>VLOOKUP(E360,Customers!$A$2:$I$1001,9,0)</f>
        <v>No</v>
      </c>
      <c r="L360" s="4" t="s">
        <v>204</v>
      </c>
      <c r="M360" s="4" t="str">
        <f>VLOOKUP(L360,Products!$A$2:$G$49,2,0)</f>
        <v>Arabica</v>
      </c>
      <c r="N360" s="4" t="str">
        <f>VLOOKUP(L360,Products!$A$2:$G$49,3,0)</f>
        <v>Light</v>
      </c>
      <c r="O360" s="25">
        <v>1</v>
      </c>
      <c r="P360" s="5">
        <f>INDEX([1]products!$A$1:$G$49,MATCH([1]orders!$D360,[1]products!$A$1:$A$49,0),MATCH([1]orders!K$1,[1]products!$A$1:$G$1,0))</f>
        <v>2.5</v>
      </c>
      <c r="Q360" s="6">
        <f>INDEX([1]products!$A$1:$G$49,MATCH([1]orders!$D360,[1]products!$A$1:$A$49,0),MATCH([1]orders!L$1,[1]products!$A$1:$G$1,0))</f>
        <v>29.784999999999997</v>
      </c>
      <c r="R360" s="6">
        <f t="shared" si="25"/>
        <v>29.784999999999997</v>
      </c>
      <c r="S360">
        <f>VLOOKUP(L360,Products!$A$2:$G$49,7,0)</f>
        <v>2.6806499999999995</v>
      </c>
      <c r="T360">
        <f t="shared" si="28"/>
        <v>2.6806499999999995</v>
      </c>
      <c r="U360" s="33">
        <f t="shared" si="29"/>
        <v>9</v>
      </c>
    </row>
    <row r="361" spans="1:21" x14ac:dyDescent="0.25">
      <c r="A361" s="1" t="s">
        <v>724</v>
      </c>
      <c r="B361" s="28">
        <v>43563</v>
      </c>
      <c r="C361" s="21" t="str">
        <f t="shared" si="26"/>
        <v>2019</v>
      </c>
      <c r="D361" s="19" t="str">
        <f t="shared" si="27"/>
        <v>April</v>
      </c>
      <c r="E361" s="3" t="s">
        <v>725</v>
      </c>
      <c r="F361" s="3" t="str">
        <f>VLOOKUP(E361,Customers!$A$2:$I$1001,2,0)</f>
        <v>Yuma Skipsey</v>
      </c>
      <c r="G361" s="3" t="str">
        <f>VLOOKUP(E361,Customers!$A$2:$I$1001,3,0)</f>
        <v>yskipsey9z@spotify.com</v>
      </c>
      <c r="H361" s="3" t="str">
        <f>VLOOKUP(E361,Customers!$A$2:$I$1001,4,0)</f>
        <v>+44 (257) 759-9950</v>
      </c>
      <c r="I361" s="25" t="str">
        <f>VLOOKUP(E361,Customers!$A$2:$I$1001,6,0)</f>
        <v>Charlton</v>
      </c>
      <c r="J361" s="25" t="str">
        <f>VLOOKUP(E361,Customers!$A$2:$I$1001,7,0)</f>
        <v>United Kingdom</v>
      </c>
      <c r="K361" s="23" t="str">
        <f>VLOOKUP(E361,Customers!$A$2:$I$1001,9,0)</f>
        <v>No</v>
      </c>
      <c r="L361" s="4" t="s">
        <v>182</v>
      </c>
      <c r="M361" s="4" t="str">
        <f>VLOOKUP(L361,Products!$A$2:$G$49,2,0)</f>
        <v>Robusta</v>
      </c>
      <c r="N361" s="4" t="str">
        <f>VLOOKUP(L361,Products!$A$2:$G$49,3,0)</f>
        <v>Light</v>
      </c>
      <c r="O361" s="25">
        <v>6</v>
      </c>
      <c r="P361" s="5">
        <f>INDEX([1]products!$A$1:$G$49,MATCH([1]orders!$D361,[1]products!$A$1:$A$49,0),MATCH([1]orders!K$1,[1]products!$A$1:$G$1,0))</f>
        <v>0.2</v>
      </c>
      <c r="Q361" s="6">
        <f>INDEX([1]products!$A$1:$G$49,MATCH([1]orders!$D361,[1]products!$A$1:$A$49,0),MATCH([1]orders!L$1,[1]products!$A$1:$G$1,0))</f>
        <v>3.5849999999999995</v>
      </c>
      <c r="R361" s="6">
        <f t="shared" si="25"/>
        <v>21.509999999999998</v>
      </c>
      <c r="S361">
        <f>VLOOKUP(L361,Products!$A$2:$G$49,7,0)</f>
        <v>0.21509999999999996</v>
      </c>
      <c r="T361">
        <f t="shared" si="28"/>
        <v>1.2905999999999997</v>
      </c>
      <c r="U361" s="33">
        <f t="shared" si="29"/>
        <v>5.9999999999999991</v>
      </c>
    </row>
    <row r="362" spans="1:21" x14ac:dyDescent="0.25">
      <c r="A362" s="1" t="s">
        <v>726</v>
      </c>
      <c r="B362" s="28">
        <v>44058</v>
      </c>
      <c r="C362" s="21" t="str">
        <f t="shared" si="26"/>
        <v>2020</v>
      </c>
      <c r="D362" s="19" t="str">
        <f t="shared" si="27"/>
        <v>August</v>
      </c>
      <c r="E362" s="3" t="s">
        <v>727</v>
      </c>
      <c r="F362" s="3" t="str">
        <f>VLOOKUP(E362,Customers!$A$2:$I$1001,2,0)</f>
        <v>Nicko Corps</v>
      </c>
      <c r="G362" s="3" t="str">
        <f>VLOOKUP(E362,Customers!$A$2:$I$1001,3,0)</f>
        <v>ncorpsa0@gmpg.org</v>
      </c>
      <c r="H362" s="3" t="str">
        <f>VLOOKUP(E362,Customers!$A$2:$I$1001,4,0)</f>
        <v>+1 (803) 730-8217</v>
      </c>
      <c r="I362" s="25" t="str">
        <f>VLOOKUP(E362,Customers!$A$2:$I$1001,6,0)</f>
        <v>Columbia</v>
      </c>
      <c r="J362" s="25" t="str">
        <f>VLOOKUP(E362,Customers!$A$2:$I$1001,7,0)</f>
        <v>United States</v>
      </c>
      <c r="K362" s="23" t="str">
        <f>VLOOKUP(E362,Customers!$A$2:$I$1001,9,0)</f>
        <v>No</v>
      </c>
      <c r="L362" s="4" t="s">
        <v>35</v>
      </c>
      <c r="M362" s="4" t="str">
        <f>VLOOKUP(L362,Products!$A$2:$G$49,2,0)</f>
        <v>Robusta</v>
      </c>
      <c r="N362" s="4" t="str">
        <f>VLOOKUP(L362,Products!$A$2:$G$49,3,0)</f>
        <v>Dark</v>
      </c>
      <c r="O362" s="25">
        <v>2</v>
      </c>
      <c r="P362" s="5">
        <f>INDEX([1]products!$A$1:$G$49,MATCH([1]orders!$D362,[1]products!$A$1:$A$49,0),MATCH([1]orders!K$1,[1]products!$A$1:$G$1,0))</f>
        <v>2.5</v>
      </c>
      <c r="Q362" s="6">
        <f>INDEX([1]products!$A$1:$G$49,MATCH([1]orders!$D362,[1]products!$A$1:$A$49,0),MATCH([1]orders!L$1,[1]products!$A$1:$G$1,0))</f>
        <v>20.584999999999997</v>
      </c>
      <c r="R362" s="6">
        <f t="shared" si="25"/>
        <v>41.169999999999995</v>
      </c>
      <c r="S362">
        <f>VLOOKUP(L362,Products!$A$2:$G$49,7,0)</f>
        <v>1.2350999999999999</v>
      </c>
      <c r="T362">
        <f t="shared" si="28"/>
        <v>2.4701999999999997</v>
      </c>
      <c r="U362" s="33">
        <f t="shared" si="29"/>
        <v>6.0000000000000009</v>
      </c>
    </row>
    <row r="363" spans="1:21" x14ac:dyDescent="0.25">
      <c r="A363" s="1" t="s">
        <v>726</v>
      </c>
      <c r="B363" s="28">
        <v>44058</v>
      </c>
      <c r="C363" s="21" t="str">
        <f t="shared" si="26"/>
        <v>2020</v>
      </c>
      <c r="D363" s="19" t="str">
        <f t="shared" si="27"/>
        <v>August</v>
      </c>
      <c r="E363" s="3" t="s">
        <v>727</v>
      </c>
      <c r="F363" s="3" t="str">
        <f>VLOOKUP(E363,Customers!$A$2:$I$1001,2,0)</f>
        <v>Nicko Corps</v>
      </c>
      <c r="G363" s="3" t="str">
        <f>VLOOKUP(E363,Customers!$A$2:$I$1001,3,0)</f>
        <v>ncorpsa0@gmpg.org</v>
      </c>
      <c r="H363" s="3" t="str">
        <f>VLOOKUP(E363,Customers!$A$2:$I$1001,4,0)</f>
        <v>+1 (803) 730-8217</v>
      </c>
      <c r="I363" s="25" t="str">
        <f>VLOOKUP(E363,Customers!$A$2:$I$1001,6,0)</f>
        <v>Columbia</v>
      </c>
      <c r="J363" s="25" t="str">
        <f>VLOOKUP(E363,Customers!$A$2:$I$1001,7,0)</f>
        <v>United States</v>
      </c>
      <c r="K363" s="23" t="str">
        <f>VLOOKUP(E363,Customers!$A$2:$I$1001,9,0)</f>
        <v>No</v>
      </c>
      <c r="L363" s="4" t="s">
        <v>22</v>
      </c>
      <c r="M363" s="4" t="str">
        <f>VLOOKUP(L363,Products!$A$2:$G$49,2,0)</f>
        <v>Robusta</v>
      </c>
      <c r="N363" s="4" t="str">
        <f>VLOOKUP(L363,Products!$A$2:$G$49,3,0)</f>
        <v>Medium</v>
      </c>
      <c r="O363" s="25">
        <v>1</v>
      </c>
      <c r="P363" s="5">
        <f>INDEX([1]products!$A$1:$G$49,MATCH([1]orders!$D363,[1]products!$A$1:$A$49,0),MATCH([1]orders!K$1,[1]products!$A$1:$G$1,0))</f>
        <v>0.5</v>
      </c>
      <c r="Q363" s="6">
        <f>INDEX([1]products!$A$1:$G$49,MATCH([1]orders!$D363,[1]products!$A$1:$A$49,0),MATCH([1]orders!L$1,[1]products!$A$1:$G$1,0))</f>
        <v>5.97</v>
      </c>
      <c r="R363" s="6">
        <f t="shared" si="25"/>
        <v>5.97</v>
      </c>
      <c r="S363">
        <f>VLOOKUP(L363,Products!$A$2:$G$49,7,0)</f>
        <v>0.35819999999999996</v>
      </c>
      <c r="T363">
        <f t="shared" si="28"/>
        <v>0.35819999999999996</v>
      </c>
      <c r="U363" s="33">
        <f t="shared" si="29"/>
        <v>6</v>
      </c>
    </row>
    <row r="364" spans="1:21" x14ac:dyDescent="0.25">
      <c r="A364" s="1" t="s">
        <v>728</v>
      </c>
      <c r="B364" s="28">
        <v>44686</v>
      </c>
      <c r="C364" s="21" t="str">
        <f t="shared" si="26"/>
        <v>2022</v>
      </c>
      <c r="D364" s="19" t="str">
        <f t="shared" si="27"/>
        <v>May</v>
      </c>
      <c r="E364" s="3" t="s">
        <v>729</v>
      </c>
      <c r="F364" s="3" t="str">
        <f>VLOOKUP(E364,Customers!$A$2:$I$1001,2,0)</f>
        <v>Feliks Babber</v>
      </c>
      <c r="G364" s="3" t="str">
        <f>VLOOKUP(E364,Customers!$A$2:$I$1001,3,0)</f>
        <v>fbabbera2@stanford.edu</v>
      </c>
      <c r="H364" s="3" t="str">
        <f>VLOOKUP(E364,Customers!$A$2:$I$1001,4,0)</f>
        <v>+1 (623) 550-6050</v>
      </c>
      <c r="I364" s="25" t="str">
        <f>VLOOKUP(E364,Customers!$A$2:$I$1001,6,0)</f>
        <v>Phoenix</v>
      </c>
      <c r="J364" s="25" t="str">
        <f>VLOOKUP(E364,Customers!$A$2:$I$1001,7,0)</f>
        <v>United States</v>
      </c>
      <c r="K364" s="23" t="str">
        <f>VLOOKUP(E364,Customers!$A$2:$I$1001,9,0)</f>
        <v>Yes</v>
      </c>
      <c r="L364" s="4" t="s">
        <v>137</v>
      </c>
      <c r="M364" s="4" t="str">
        <f>VLOOKUP(L364,Products!$A$2:$G$49,2,0)</f>
        <v>Excelsa</v>
      </c>
      <c r="N364" s="4" t="str">
        <f>VLOOKUP(L364,Products!$A$2:$G$49,3,0)</f>
        <v>Light</v>
      </c>
      <c r="O364" s="25">
        <v>5</v>
      </c>
      <c r="P364" s="5">
        <f>INDEX([1]products!$A$1:$G$49,MATCH([1]orders!$D364,[1]products!$A$1:$A$49,0),MATCH([1]orders!K$1,[1]products!$A$1:$G$1,0))</f>
        <v>1</v>
      </c>
      <c r="Q364" s="6">
        <f>INDEX([1]products!$A$1:$G$49,MATCH([1]orders!$D364,[1]products!$A$1:$A$49,0),MATCH([1]orders!L$1,[1]products!$A$1:$G$1,0))</f>
        <v>14.85</v>
      </c>
      <c r="R364" s="6">
        <f t="shared" si="25"/>
        <v>74.25</v>
      </c>
      <c r="S364">
        <f>VLOOKUP(L364,Products!$A$2:$G$49,7,0)</f>
        <v>1.6335</v>
      </c>
      <c r="T364">
        <f t="shared" si="28"/>
        <v>8.1675000000000004</v>
      </c>
      <c r="U364" s="33">
        <f t="shared" si="29"/>
        <v>11</v>
      </c>
    </row>
    <row r="365" spans="1:21" x14ac:dyDescent="0.25">
      <c r="A365" s="1" t="s">
        <v>730</v>
      </c>
      <c r="B365" s="28">
        <v>44282</v>
      </c>
      <c r="C365" s="21" t="str">
        <f t="shared" si="26"/>
        <v>2021</v>
      </c>
      <c r="D365" s="19" t="str">
        <f t="shared" si="27"/>
        <v>March</v>
      </c>
      <c r="E365" s="3" t="s">
        <v>731</v>
      </c>
      <c r="F365" s="3" t="str">
        <f>VLOOKUP(E365,Customers!$A$2:$I$1001,2,0)</f>
        <v>Kaja Loxton</v>
      </c>
      <c r="G365" s="3" t="str">
        <f>VLOOKUP(E365,Customers!$A$2:$I$1001,3,0)</f>
        <v>kloxtona3@opensource.org</v>
      </c>
      <c r="H365" s="3" t="str">
        <f>VLOOKUP(E365,Customers!$A$2:$I$1001,4,0)</f>
        <v>UNKNOWN</v>
      </c>
      <c r="I365" s="25" t="str">
        <f>VLOOKUP(E365,Customers!$A$2:$I$1001,6,0)</f>
        <v>Miami</v>
      </c>
      <c r="J365" s="25" t="str">
        <f>VLOOKUP(E365,Customers!$A$2:$I$1001,7,0)</f>
        <v>United States</v>
      </c>
      <c r="K365" s="23" t="str">
        <f>VLOOKUP(E365,Customers!$A$2:$I$1001,9,0)</f>
        <v>No</v>
      </c>
      <c r="L365" s="4" t="s">
        <v>96</v>
      </c>
      <c r="M365" s="4" t="str">
        <f>VLOOKUP(L365,Products!$A$2:$G$49,2,0)</f>
        <v>Liberica</v>
      </c>
      <c r="N365" s="4" t="str">
        <f>VLOOKUP(L365,Products!$A$2:$G$49,3,0)</f>
        <v>Medium</v>
      </c>
      <c r="O365" s="25">
        <v>6</v>
      </c>
      <c r="P365" s="5">
        <f>INDEX([1]products!$A$1:$G$49,MATCH([1]orders!$D365,[1]products!$A$1:$A$49,0),MATCH([1]orders!K$1,[1]products!$A$1:$G$1,0))</f>
        <v>1</v>
      </c>
      <c r="Q365" s="6">
        <f>INDEX([1]products!$A$1:$G$49,MATCH([1]orders!$D365,[1]products!$A$1:$A$49,0),MATCH([1]orders!L$1,[1]products!$A$1:$G$1,0))</f>
        <v>14.55</v>
      </c>
      <c r="R365" s="6">
        <f t="shared" si="25"/>
        <v>87.300000000000011</v>
      </c>
      <c r="S365">
        <f>VLOOKUP(L365,Products!$A$2:$G$49,7,0)</f>
        <v>1.8915000000000002</v>
      </c>
      <c r="T365">
        <f t="shared" si="28"/>
        <v>11.349</v>
      </c>
      <c r="U365" s="33">
        <f t="shared" si="29"/>
        <v>12.999999999999998</v>
      </c>
    </row>
    <row r="366" spans="1:21" x14ac:dyDescent="0.25">
      <c r="A366" s="1" t="s">
        <v>732</v>
      </c>
      <c r="B366" s="28">
        <v>43582</v>
      </c>
      <c r="C366" s="21" t="str">
        <f t="shared" si="26"/>
        <v>2019</v>
      </c>
      <c r="D366" s="19" t="str">
        <f t="shared" si="27"/>
        <v>April</v>
      </c>
      <c r="E366" s="3" t="s">
        <v>733</v>
      </c>
      <c r="F366" s="3" t="str">
        <f>VLOOKUP(E366,Customers!$A$2:$I$1001,2,0)</f>
        <v>Parker Tofful</v>
      </c>
      <c r="G366" s="3" t="str">
        <f>VLOOKUP(E366,Customers!$A$2:$I$1001,3,0)</f>
        <v>ptoffula4@posterous.com</v>
      </c>
      <c r="H366" s="3" t="str">
        <f>VLOOKUP(E366,Customers!$A$2:$I$1001,4,0)</f>
        <v>+1 (310) 210-6841</v>
      </c>
      <c r="I366" s="25" t="str">
        <f>VLOOKUP(E366,Customers!$A$2:$I$1001,6,0)</f>
        <v>Fresno</v>
      </c>
      <c r="J366" s="25" t="str">
        <f>VLOOKUP(E366,Customers!$A$2:$I$1001,7,0)</f>
        <v>United States</v>
      </c>
      <c r="K366" s="23" t="str">
        <f>VLOOKUP(E366,Customers!$A$2:$I$1001,9,0)</f>
        <v>Yes</v>
      </c>
      <c r="L366" s="4" t="s">
        <v>245</v>
      </c>
      <c r="M366" s="4" t="str">
        <f>VLOOKUP(L366,Products!$A$2:$G$49,2,0)</f>
        <v>Excelsa</v>
      </c>
      <c r="N366" s="4" t="str">
        <f>VLOOKUP(L366,Products!$A$2:$G$49,3,0)</f>
        <v>Dark</v>
      </c>
      <c r="O366" s="25">
        <v>6</v>
      </c>
      <c r="P366" s="5">
        <f>INDEX([1]products!$A$1:$G$49,MATCH([1]orders!$D366,[1]products!$A$1:$A$49,0),MATCH([1]orders!K$1,[1]products!$A$1:$G$1,0))</f>
        <v>1</v>
      </c>
      <c r="Q366" s="6">
        <f>INDEX([1]products!$A$1:$G$49,MATCH([1]orders!$D366,[1]products!$A$1:$A$49,0),MATCH([1]orders!L$1,[1]products!$A$1:$G$1,0))</f>
        <v>12.15</v>
      </c>
      <c r="R366" s="6">
        <f t="shared" si="25"/>
        <v>72.900000000000006</v>
      </c>
      <c r="S366">
        <f>VLOOKUP(L366,Products!$A$2:$G$49,7,0)</f>
        <v>1.3365</v>
      </c>
      <c r="T366">
        <f t="shared" si="28"/>
        <v>8.0190000000000001</v>
      </c>
      <c r="U366" s="33">
        <f t="shared" si="29"/>
        <v>10.999999999999998</v>
      </c>
    </row>
    <row r="367" spans="1:21" x14ac:dyDescent="0.25">
      <c r="A367" s="1" t="s">
        <v>734</v>
      </c>
      <c r="B367" s="28">
        <v>44464</v>
      </c>
      <c r="C367" s="21" t="str">
        <f t="shared" si="26"/>
        <v>2021</v>
      </c>
      <c r="D367" s="19" t="str">
        <f t="shared" si="27"/>
        <v>September</v>
      </c>
      <c r="E367" s="3" t="s">
        <v>735</v>
      </c>
      <c r="F367" s="3" t="str">
        <f>VLOOKUP(E367,Customers!$A$2:$I$1001,2,0)</f>
        <v>Casi Gwinnett</v>
      </c>
      <c r="G367" s="3" t="str">
        <f>VLOOKUP(E367,Customers!$A$2:$I$1001,3,0)</f>
        <v>cgwinnetta5@behance.net</v>
      </c>
      <c r="H367" s="3" t="str">
        <f>VLOOKUP(E367,Customers!$A$2:$I$1001,4,0)</f>
        <v>UNKNOWN</v>
      </c>
      <c r="I367" s="25" t="str">
        <f>VLOOKUP(E367,Customers!$A$2:$I$1001,6,0)</f>
        <v>Anaheim</v>
      </c>
      <c r="J367" s="25" t="str">
        <f>VLOOKUP(E367,Customers!$A$2:$I$1001,7,0)</f>
        <v>United States</v>
      </c>
      <c r="K367" s="23" t="str">
        <f>VLOOKUP(E367,Customers!$A$2:$I$1001,9,0)</f>
        <v>No</v>
      </c>
      <c r="L367" s="4" t="s">
        <v>123</v>
      </c>
      <c r="M367" s="4" t="str">
        <f>VLOOKUP(L367,Products!$A$2:$G$49,2,0)</f>
        <v>Liberica</v>
      </c>
      <c r="N367" s="4" t="str">
        <f>VLOOKUP(L367,Products!$A$2:$G$49,3,0)</f>
        <v>Dark</v>
      </c>
      <c r="O367" s="25">
        <v>1</v>
      </c>
      <c r="P367" s="5">
        <f>INDEX([1]products!$A$1:$G$49,MATCH([1]orders!$D367,[1]products!$A$1:$A$49,0),MATCH([1]orders!K$1,[1]products!$A$1:$G$1,0))</f>
        <v>0.5</v>
      </c>
      <c r="Q367" s="6">
        <f>INDEX([1]products!$A$1:$G$49,MATCH([1]orders!$D367,[1]products!$A$1:$A$49,0),MATCH([1]orders!L$1,[1]products!$A$1:$G$1,0))</f>
        <v>7.77</v>
      </c>
      <c r="R367" s="6">
        <f t="shared" si="25"/>
        <v>7.77</v>
      </c>
      <c r="S367">
        <f>VLOOKUP(L367,Products!$A$2:$G$49,7,0)</f>
        <v>1.0101</v>
      </c>
      <c r="T367">
        <f t="shared" si="28"/>
        <v>1.0101</v>
      </c>
      <c r="U367" s="33">
        <f t="shared" si="29"/>
        <v>13</v>
      </c>
    </row>
    <row r="368" spans="1:21" x14ac:dyDescent="0.25">
      <c r="A368" s="1" t="s">
        <v>736</v>
      </c>
      <c r="B368" s="28">
        <v>43874</v>
      </c>
      <c r="C368" s="21" t="str">
        <f t="shared" si="26"/>
        <v>2020</v>
      </c>
      <c r="D368" s="19" t="str">
        <f t="shared" si="27"/>
        <v>February</v>
      </c>
      <c r="E368" s="3" t="s">
        <v>737</v>
      </c>
      <c r="F368" s="3" t="str">
        <f>VLOOKUP(E368,Customers!$A$2:$I$1001,2,0)</f>
        <v>Saree Ellesworth</v>
      </c>
      <c r="G368" s="3" t="str">
        <f>VLOOKUP(E368,Customers!$A$2:$I$1001,3,0)</f>
        <v>UNKNOWN</v>
      </c>
      <c r="H368" s="3" t="str">
        <f>VLOOKUP(E368,Customers!$A$2:$I$1001,4,0)</f>
        <v>+1 (757) 211-0153</v>
      </c>
      <c r="I368" s="25" t="str">
        <f>VLOOKUP(E368,Customers!$A$2:$I$1001,6,0)</f>
        <v>Newport News</v>
      </c>
      <c r="J368" s="25" t="str">
        <f>VLOOKUP(E368,Customers!$A$2:$I$1001,7,0)</f>
        <v>United States</v>
      </c>
      <c r="K368" s="23" t="str">
        <f>VLOOKUP(E368,Customers!$A$2:$I$1001,9,0)</f>
        <v>No</v>
      </c>
      <c r="L368" s="4" t="s">
        <v>16</v>
      </c>
      <c r="M368" s="4" t="str">
        <f>VLOOKUP(L368,Products!$A$2:$G$49,2,0)</f>
        <v>Excelsa</v>
      </c>
      <c r="N368" s="4" t="str">
        <f>VLOOKUP(L368,Products!$A$2:$G$49,3,0)</f>
        <v>Dark</v>
      </c>
      <c r="O368" s="25">
        <v>6</v>
      </c>
      <c r="P368" s="5">
        <f>INDEX([1]products!$A$1:$G$49,MATCH([1]orders!$D368,[1]products!$A$1:$A$49,0),MATCH([1]orders!K$1,[1]products!$A$1:$G$1,0))</f>
        <v>0.5</v>
      </c>
      <c r="Q368" s="6">
        <f>INDEX([1]products!$A$1:$G$49,MATCH([1]orders!$D368,[1]products!$A$1:$A$49,0),MATCH([1]orders!L$1,[1]products!$A$1:$G$1,0))</f>
        <v>7.29</v>
      </c>
      <c r="R368" s="6">
        <f t="shared" si="25"/>
        <v>43.74</v>
      </c>
      <c r="S368">
        <f>VLOOKUP(L368,Products!$A$2:$G$49,7,0)</f>
        <v>0.80190000000000006</v>
      </c>
      <c r="T368">
        <f t="shared" si="28"/>
        <v>4.8114000000000008</v>
      </c>
      <c r="U368" s="33">
        <f t="shared" si="29"/>
        <v>11.000000000000002</v>
      </c>
    </row>
    <row r="369" spans="1:21" x14ac:dyDescent="0.25">
      <c r="A369" s="1" t="s">
        <v>738</v>
      </c>
      <c r="B369" s="28">
        <v>44393</v>
      </c>
      <c r="C369" s="21" t="str">
        <f t="shared" si="26"/>
        <v>2021</v>
      </c>
      <c r="D369" s="19" t="str">
        <f t="shared" si="27"/>
        <v>July</v>
      </c>
      <c r="E369" s="3" t="s">
        <v>739</v>
      </c>
      <c r="F369" s="3" t="str">
        <f>VLOOKUP(E369,Customers!$A$2:$I$1001,2,0)</f>
        <v>Silvio Iorizzi</v>
      </c>
      <c r="G369" s="3" t="str">
        <f>VLOOKUP(E369,Customers!$A$2:$I$1001,3,0)</f>
        <v>UNKNOWN</v>
      </c>
      <c r="H369" s="3" t="str">
        <f>VLOOKUP(E369,Customers!$A$2:$I$1001,4,0)</f>
        <v>UNKNOWN</v>
      </c>
      <c r="I369" s="25" t="str">
        <f>VLOOKUP(E369,Customers!$A$2:$I$1001,6,0)</f>
        <v>Spartanburg</v>
      </c>
      <c r="J369" s="25" t="str">
        <f>VLOOKUP(E369,Customers!$A$2:$I$1001,7,0)</f>
        <v>United States</v>
      </c>
      <c r="K369" s="23" t="str">
        <f>VLOOKUP(E369,Customers!$A$2:$I$1001,9,0)</f>
        <v>Yes</v>
      </c>
      <c r="L369" s="4" t="s">
        <v>77</v>
      </c>
      <c r="M369" s="4" t="str">
        <f>VLOOKUP(L369,Products!$A$2:$G$49,2,0)</f>
        <v>Liberica</v>
      </c>
      <c r="N369" s="4" t="str">
        <f>VLOOKUP(L369,Products!$A$2:$G$49,3,0)</f>
        <v>Medium</v>
      </c>
      <c r="O369" s="25">
        <v>2</v>
      </c>
      <c r="P369" s="5">
        <f>INDEX([1]products!$A$1:$G$49,MATCH([1]orders!$D369,[1]products!$A$1:$A$49,0),MATCH([1]orders!K$1,[1]products!$A$1:$G$1,0))</f>
        <v>0.2</v>
      </c>
      <c r="Q369" s="6">
        <f>INDEX([1]products!$A$1:$G$49,MATCH([1]orders!$D369,[1]products!$A$1:$A$49,0),MATCH([1]orders!L$1,[1]products!$A$1:$G$1,0))</f>
        <v>4.3650000000000002</v>
      </c>
      <c r="R369" s="6">
        <f t="shared" si="25"/>
        <v>8.73</v>
      </c>
      <c r="S369">
        <f>VLOOKUP(L369,Products!$A$2:$G$49,7,0)</f>
        <v>0.56745000000000001</v>
      </c>
      <c r="T369">
        <f t="shared" si="28"/>
        <v>1.1349</v>
      </c>
      <c r="U369" s="33">
        <f t="shared" si="29"/>
        <v>13</v>
      </c>
    </row>
    <row r="370" spans="1:21" x14ac:dyDescent="0.25">
      <c r="A370" s="1" t="s">
        <v>740</v>
      </c>
      <c r="B370" s="28">
        <v>44692</v>
      </c>
      <c r="C370" s="21" t="str">
        <f t="shared" si="26"/>
        <v>2022</v>
      </c>
      <c r="D370" s="19" t="str">
        <f t="shared" si="27"/>
        <v>May</v>
      </c>
      <c r="E370" s="3" t="s">
        <v>741</v>
      </c>
      <c r="F370" s="3" t="str">
        <f>VLOOKUP(E370,Customers!$A$2:$I$1001,2,0)</f>
        <v>Leesa Flaonier</v>
      </c>
      <c r="G370" s="3" t="str">
        <f>VLOOKUP(E370,Customers!$A$2:$I$1001,3,0)</f>
        <v>lflaoniera8@wordpress.org</v>
      </c>
      <c r="H370" s="3" t="str">
        <f>VLOOKUP(E370,Customers!$A$2:$I$1001,4,0)</f>
        <v>+1 (718) 586-2839</v>
      </c>
      <c r="I370" s="25" t="str">
        <f>VLOOKUP(E370,Customers!$A$2:$I$1001,6,0)</f>
        <v>Staten Island</v>
      </c>
      <c r="J370" s="25" t="str">
        <f>VLOOKUP(E370,Customers!$A$2:$I$1001,7,0)</f>
        <v>United States</v>
      </c>
      <c r="K370" s="23" t="str">
        <f>VLOOKUP(E370,Customers!$A$2:$I$1001,9,0)</f>
        <v>No</v>
      </c>
      <c r="L370" s="4" t="s">
        <v>112</v>
      </c>
      <c r="M370" s="4" t="str">
        <f>VLOOKUP(L370,Products!$A$2:$G$49,2,0)</f>
        <v>Excelsa</v>
      </c>
      <c r="N370" s="4" t="str">
        <f>VLOOKUP(L370,Products!$A$2:$G$49,3,0)</f>
        <v>Medium</v>
      </c>
      <c r="O370" s="25">
        <v>2</v>
      </c>
      <c r="P370" s="5">
        <f>INDEX([1]products!$A$1:$G$49,MATCH([1]orders!$D370,[1]products!$A$1:$A$49,0),MATCH([1]orders!K$1,[1]products!$A$1:$G$1,0))</f>
        <v>2.5</v>
      </c>
      <c r="Q370" s="6">
        <f>INDEX([1]products!$A$1:$G$49,MATCH([1]orders!$D370,[1]products!$A$1:$A$49,0),MATCH([1]orders!L$1,[1]products!$A$1:$G$1,0))</f>
        <v>31.624999999999996</v>
      </c>
      <c r="R370" s="6">
        <f t="shared" si="25"/>
        <v>63.249999999999993</v>
      </c>
      <c r="S370">
        <f>VLOOKUP(L370,Products!$A$2:$G$49,7,0)</f>
        <v>3.4787499999999998</v>
      </c>
      <c r="T370">
        <f t="shared" si="28"/>
        <v>6.9574999999999996</v>
      </c>
      <c r="U370" s="33">
        <f t="shared" si="29"/>
        <v>11</v>
      </c>
    </row>
    <row r="371" spans="1:21" x14ac:dyDescent="0.25">
      <c r="A371" s="1" t="s">
        <v>742</v>
      </c>
      <c r="B371" s="28">
        <v>43500</v>
      </c>
      <c r="C371" s="21" t="str">
        <f t="shared" si="26"/>
        <v>2019</v>
      </c>
      <c r="D371" s="19" t="str">
        <f t="shared" si="27"/>
        <v>February</v>
      </c>
      <c r="E371" s="3" t="s">
        <v>743</v>
      </c>
      <c r="F371" s="3" t="str">
        <f>VLOOKUP(E371,Customers!$A$2:$I$1001,2,0)</f>
        <v>Abba Pummell</v>
      </c>
      <c r="G371" s="3" t="str">
        <f>VLOOKUP(E371,Customers!$A$2:$I$1001,3,0)</f>
        <v>UNKNOWN</v>
      </c>
      <c r="H371" s="3" t="str">
        <f>VLOOKUP(E371,Customers!$A$2:$I$1001,4,0)</f>
        <v>UNKNOWN</v>
      </c>
      <c r="I371" s="25" t="str">
        <f>VLOOKUP(E371,Customers!$A$2:$I$1001,6,0)</f>
        <v>Las Vegas</v>
      </c>
      <c r="J371" s="25" t="str">
        <f>VLOOKUP(E371,Customers!$A$2:$I$1001,7,0)</f>
        <v>United States</v>
      </c>
      <c r="K371" s="23" t="str">
        <f>VLOOKUP(E371,Customers!$A$2:$I$1001,9,0)</f>
        <v>Yes</v>
      </c>
      <c r="L371" s="4" t="s">
        <v>176</v>
      </c>
      <c r="M371" s="4" t="str">
        <f>VLOOKUP(L371,Products!$A$2:$G$49,2,0)</f>
        <v>Excelsa</v>
      </c>
      <c r="N371" s="4" t="str">
        <f>VLOOKUP(L371,Products!$A$2:$G$49,3,0)</f>
        <v>Light</v>
      </c>
      <c r="O371" s="25">
        <v>1</v>
      </c>
      <c r="P371" s="5">
        <f>INDEX([1]products!$A$1:$G$49,MATCH([1]orders!$D371,[1]products!$A$1:$A$49,0),MATCH([1]orders!K$1,[1]products!$A$1:$G$1,0))</f>
        <v>0.5</v>
      </c>
      <c r="Q371" s="6">
        <f>INDEX([1]products!$A$1:$G$49,MATCH([1]orders!$D371,[1]products!$A$1:$A$49,0),MATCH([1]orders!L$1,[1]products!$A$1:$G$1,0))</f>
        <v>8.91</v>
      </c>
      <c r="R371" s="6">
        <f t="shared" si="25"/>
        <v>8.91</v>
      </c>
      <c r="S371">
        <f>VLOOKUP(L371,Products!$A$2:$G$49,7,0)</f>
        <v>0.98009999999999997</v>
      </c>
      <c r="T371">
        <f t="shared" si="28"/>
        <v>0.98009999999999997</v>
      </c>
      <c r="U371" s="33">
        <f t="shared" si="29"/>
        <v>11</v>
      </c>
    </row>
    <row r="372" spans="1:21" x14ac:dyDescent="0.25">
      <c r="A372" s="1" t="s">
        <v>744</v>
      </c>
      <c r="B372" s="28">
        <v>43501</v>
      </c>
      <c r="C372" s="21" t="str">
        <f t="shared" si="26"/>
        <v>2019</v>
      </c>
      <c r="D372" s="19" t="str">
        <f t="shared" si="27"/>
        <v>February</v>
      </c>
      <c r="E372" s="3" t="s">
        <v>745</v>
      </c>
      <c r="F372" s="3" t="str">
        <f>VLOOKUP(E372,Customers!$A$2:$I$1001,2,0)</f>
        <v>Corinna Catcheside</v>
      </c>
      <c r="G372" s="3" t="str">
        <f>VLOOKUP(E372,Customers!$A$2:$I$1001,3,0)</f>
        <v>ccatchesideaa@macromedia.com</v>
      </c>
      <c r="H372" s="3" t="str">
        <f>VLOOKUP(E372,Customers!$A$2:$I$1001,4,0)</f>
        <v>+1 (801) 121-6042</v>
      </c>
      <c r="I372" s="25" t="str">
        <f>VLOOKUP(E372,Customers!$A$2:$I$1001,6,0)</f>
        <v>Salt Lake City</v>
      </c>
      <c r="J372" s="25" t="str">
        <f>VLOOKUP(E372,Customers!$A$2:$I$1001,7,0)</f>
        <v>United States</v>
      </c>
      <c r="K372" s="23" t="str">
        <f>VLOOKUP(E372,Customers!$A$2:$I$1001,9,0)</f>
        <v>Yes</v>
      </c>
      <c r="L372" s="4" t="s">
        <v>245</v>
      </c>
      <c r="M372" s="4" t="str">
        <f>VLOOKUP(L372,Products!$A$2:$G$49,2,0)</f>
        <v>Excelsa</v>
      </c>
      <c r="N372" s="4" t="str">
        <f>VLOOKUP(L372,Products!$A$2:$G$49,3,0)</f>
        <v>Dark</v>
      </c>
      <c r="O372" s="25">
        <v>2</v>
      </c>
      <c r="P372" s="5">
        <f>INDEX([1]products!$A$1:$G$49,MATCH([1]orders!$D372,[1]products!$A$1:$A$49,0),MATCH([1]orders!K$1,[1]products!$A$1:$G$1,0))</f>
        <v>1</v>
      </c>
      <c r="Q372" s="6">
        <f>INDEX([1]products!$A$1:$G$49,MATCH([1]orders!$D372,[1]products!$A$1:$A$49,0),MATCH([1]orders!L$1,[1]products!$A$1:$G$1,0))</f>
        <v>12.15</v>
      </c>
      <c r="R372" s="6">
        <f t="shared" si="25"/>
        <v>24.3</v>
      </c>
      <c r="S372">
        <f>VLOOKUP(L372,Products!$A$2:$G$49,7,0)</f>
        <v>1.3365</v>
      </c>
      <c r="T372">
        <f t="shared" si="28"/>
        <v>2.673</v>
      </c>
      <c r="U372" s="33">
        <f t="shared" si="29"/>
        <v>11</v>
      </c>
    </row>
    <row r="373" spans="1:21" x14ac:dyDescent="0.25">
      <c r="A373" s="1" t="s">
        <v>746</v>
      </c>
      <c r="B373" s="28">
        <v>44705</v>
      </c>
      <c r="C373" s="21" t="str">
        <f t="shared" si="26"/>
        <v>2022</v>
      </c>
      <c r="D373" s="19" t="str">
        <f t="shared" si="27"/>
        <v>May</v>
      </c>
      <c r="E373" s="3" t="s">
        <v>747</v>
      </c>
      <c r="F373" s="3" t="str">
        <f>VLOOKUP(E373,Customers!$A$2:$I$1001,2,0)</f>
        <v>Cortney Gibbonson</v>
      </c>
      <c r="G373" s="3" t="str">
        <f>VLOOKUP(E373,Customers!$A$2:$I$1001,3,0)</f>
        <v>cgibbonsonab@accuweather.com</v>
      </c>
      <c r="H373" s="3" t="str">
        <f>VLOOKUP(E373,Customers!$A$2:$I$1001,4,0)</f>
        <v>+1 (206) 848-3585</v>
      </c>
      <c r="I373" s="25" t="str">
        <f>VLOOKUP(E373,Customers!$A$2:$I$1001,6,0)</f>
        <v>Seattle</v>
      </c>
      <c r="J373" s="25" t="str">
        <f>VLOOKUP(E373,Customers!$A$2:$I$1001,7,0)</f>
        <v>United States</v>
      </c>
      <c r="K373" s="23" t="str">
        <f>VLOOKUP(E373,Customers!$A$2:$I$1001,9,0)</f>
        <v>Yes</v>
      </c>
      <c r="L373" s="4" t="s">
        <v>192</v>
      </c>
      <c r="M373" s="4" t="str">
        <f>VLOOKUP(L373,Products!$A$2:$G$49,2,0)</f>
        <v>Arabica</v>
      </c>
      <c r="N373" s="4" t="str">
        <f>VLOOKUP(L373,Products!$A$2:$G$49,3,0)</f>
        <v>Light</v>
      </c>
      <c r="O373" s="25">
        <v>6</v>
      </c>
      <c r="P373" s="5">
        <f>INDEX([1]products!$A$1:$G$49,MATCH([1]orders!$D373,[1]products!$A$1:$A$49,0),MATCH([1]orders!K$1,[1]products!$A$1:$G$1,0))</f>
        <v>0.5</v>
      </c>
      <c r="Q373" s="6">
        <f>INDEX([1]products!$A$1:$G$49,MATCH([1]orders!$D373,[1]products!$A$1:$A$49,0),MATCH([1]orders!L$1,[1]products!$A$1:$G$1,0))</f>
        <v>7.77</v>
      </c>
      <c r="R373" s="6">
        <f t="shared" si="25"/>
        <v>46.62</v>
      </c>
      <c r="S373">
        <f>VLOOKUP(L373,Products!$A$2:$G$49,7,0)</f>
        <v>0.69929999999999992</v>
      </c>
      <c r="T373">
        <f t="shared" si="28"/>
        <v>4.1957999999999993</v>
      </c>
      <c r="U373" s="33">
        <f t="shared" si="29"/>
        <v>9</v>
      </c>
    </row>
    <row r="374" spans="1:21" x14ac:dyDescent="0.25">
      <c r="A374" s="1" t="s">
        <v>748</v>
      </c>
      <c r="B374" s="28">
        <v>44108</v>
      </c>
      <c r="C374" s="21" t="str">
        <f t="shared" si="26"/>
        <v>2020</v>
      </c>
      <c r="D374" s="19" t="str">
        <f t="shared" si="27"/>
        <v>October</v>
      </c>
      <c r="E374" s="3" t="s">
        <v>749</v>
      </c>
      <c r="F374" s="3" t="str">
        <f>VLOOKUP(E374,Customers!$A$2:$I$1001,2,0)</f>
        <v>Terri Farra</v>
      </c>
      <c r="G374" s="3" t="str">
        <f>VLOOKUP(E374,Customers!$A$2:$I$1001,3,0)</f>
        <v>tfarraac@behance.net</v>
      </c>
      <c r="H374" s="3" t="str">
        <f>VLOOKUP(E374,Customers!$A$2:$I$1001,4,0)</f>
        <v>+1 (432) 648-9589</v>
      </c>
      <c r="I374" s="25" t="str">
        <f>VLOOKUP(E374,Customers!$A$2:$I$1001,6,0)</f>
        <v>Odessa</v>
      </c>
      <c r="J374" s="25" t="str">
        <f>VLOOKUP(E374,Customers!$A$2:$I$1001,7,0)</f>
        <v>United States</v>
      </c>
      <c r="K374" s="23" t="str">
        <f>VLOOKUP(E374,Customers!$A$2:$I$1001,9,0)</f>
        <v>No</v>
      </c>
      <c r="L374" s="4" t="s">
        <v>157</v>
      </c>
      <c r="M374" s="4" t="str">
        <f>VLOOKUP(L374,Products!$A$2:$G$49,2,0)</f>
        <v>Robusta</v>
      </c>
      <c r="N374" s="4" t="str">
        <f>VLOOKUP(L374,Products!$A$2:$G$49,3,0)</f>
        <v>Light</v>
      </c>
      <c r="O374" s="25">
        <v>6</v>
      </c>
      <c r="P374" s="5">
        <f>INDEX([1]products!$A$1:$G$49,MATCH([1]orders!$D374,[1]products!$A$1:$A$49,0),MATCH([1]orders!K$1,[1]products!$A$1:$G$1,0))</f>
        <v>0.5</v>
      </c>
      <c r="Q374" s="6">
        <f>INDEX([1]products!$A$1:$G$49,MATCH([1]orders!$D374,[1]products!$A$1:$A$49,0),MATCH([1]orders!L$1,[1]products!$A$1:$G$1,0))</f>
        <v>7.169999999999999</v>
      </c>
      <c r="R374" s="6">
        <f t="shared" si="25"/>
        <v>43.019999999999996</v>
      </c>
      <c r="S374">
        <f>VLOOKUP(L374,Products!$A$2:$G$49,7,0)</f>
        <v>0.43019999999999992</v>
      </c>
      <c r="T374">
        <f t="shared" si="28"/>
        <v>2.5811999999999995</v>
      </c>
      <c r="U374" s="33">
        <f t="shared" si="29"/>
        <v>5.9999999999999991</v>
      </c>
    </row>
    <row r="375" spans="1:21" x14ac:dyDescent="0.25">
      <c r="A375" s="1" t="s">
        <v>750</v>
      </c>
      <c r="B375" s="28">
        <v>44742</v>
      </c>
      <c r="C375" s="21" t="str">
        <f t="shared" si="26"/>
        <v>2022</v>
      </c>
      <c r="D375" s="19" t="str">
        <f t="shared" si="27"/>
        <v>June</v>
      </c>
      <c r="E375" s="3" t="s">
        <v>751</v>
      </c>
      <c r="F375" s="3" t="str">
        <f>VLOOKUP(E375,Customers!$A$2:$I$1001,2,0)</f>
        <v>Corney Curme</v>
      </c>
      <c r="G375" s="3" t="str">
        <f>VLOOKUP(E375,Customers!$A$2:$I$1001,3,0)</f>
        <v>UNKNOWN</v>
      </c>
      <c r="H375" s="3" t="str">
        <f>VLOOKUP(E375,Customers!$A$2:$I$1001,4,0)</f>
        <v>+353 (772) 127-7148</v>
      </c>
      <c r="I375" s="25" t="str">
        <f>VLOOKUP(E375,Customers!$A$2:$I$1001,6,0)</f>
        <v>Castleknock</v>
      </c>
      <c r="J375" s="25" t="str">
        <f>VLOOKUP(E375,Customers!$A$2:$I$1001,7,0)</f>
        <v>Ireland</v>
      </c>
      <c r="K375" s="23" t="str">
        <f>VLOOKUP(E375,Customers!$A$2:$I$1001,9,0)</f>
        <v>Yes</v>
      </c>
      <c r="L375" s="4" t="s">
        <v>72</v>
      </c>
      <c r="M375" s="4" t="str">
        <f>VLOOKUP(L375,Products!$A$2:$G$49,2,0)</f>
        <v>Arabica</v>
      </c>
      <c r="N375" s="4" t="str">
        <f>VLOOKUP(L375,Products!$A$2:$G$49,3,0)</f>
        <v>Dark</v>
      </c>
      <c r="O375" s="25">
        <v>3</v>
      </c>
      <c r="P375" s="5">
        <f>INDEX([1]products!$A$1:$G$49,MATCH([1]orders!$D375,[1]products!$A$1:$A$49,0),MATCH([1]orders!K$1,[1]products!$A$1:$G$1,0))</f>
        <v>0.5</v>
      </c>
      <c r="Q375" s="6">
        <f>INDEX([1]products!$A$1:$G$49,MATCH([1]orders!$D375,[1]products!$A$1:$A$49,0),MATCH([1]orders!L$1,[1]products!$A$1:$G$1,0))</f>
        <v>5.97</v>
      </c>
      <c r="R375" s="6">
        <f t="shared" si="25"/>
        <v>17.91</v>
      </c>
      <c r="S375">
        <f>VLOOKUP(L375,Products!$A$2:$G$49,7,0)</f>
        <v>0.5373</v>
      </c>
      <c r="T375">
        <f t="shared" si="28"/>
        <v>1.6118999999999999</v>
      </c>
      <c r="U375" s="33">
        <f t="shared" si="29"/>
        <v>9</v>
      </c>
    </row>
    <row r="376" spans="1:21" x14ac:dyDescent="0.25">
      <c r="A376" s="1" t="s">
        <v>752</v>
      </c>
      <c r="B376" s="28">
        <v>44125</v>
      </c>
      <c r="C376" s="21" t="str">
        <f t="shared" si="26"/>
        <v>2020</v>
      </c>
      <c r="D376" s="19" t="str">
        <f t="shared" si="27"/>
        <v>October</v>
      </c>
      <c r="E376" s="3" t="s">
        <v>753</v>
      </c>
      <c r="F376" s="3" t="str">
        <f>VLOOKUP(E376,Customers!$A$2:$I$1001,2,0)</f>
        <v>Gothart Bamfield</v>
      </c>
      <c r="G376" s="3" t="str">
        <f>VLOOKUP(E376,Customers!$A$2:$I$1001,3,0)</f>
        <v>gbamfieldae@yellowpages.com</v>
      </c>
      <c r="H376" s="3" t="str">
        <f>VLOOKUP(E376,Customers!$A$2:$I$1001,4,0)</f>
        <v>+1 (214) 200-7886</v>
      </c>
      <c r="I376" s="25" t="str">
        <f>VLOOKUP(E376,Customers!$A$2:$I$1001,6,0)</f>
        <v>Irving</v>
      </c>
      <c r="J376" s="25" t="str">
        <f>VLOOKUP(E376,Customers!$A$2:$I$1001,7,0)</f>
        <v>United States</v>
      </c>
      <c r="K376" s="23" t="str">
        <f>VLOOKUP(E376,Customers!$A$2:$I$1001,9,0)</f>
        <v>Yes</v>
      </c>
      <c r="L376" s="4" t="s">
        <v>83</v>
      </c>
      <c r="M376" s="4" t="str">
        <f>VLOOKUP(L376,Products!$A$2:$G$49,2,0)</f>
        <v>Liberica</v>
      </c>
      <c r="N376" s="4" t="str">
        <f>VLOOKUP(L376,Products!$A$2:$G$49,3,0)</f>
        <v>Light</v>
      </c>
      <c r="O376" s="25">
        <v>4</v>
      </c>
      <c r="P376" s="5">
        <f>INDEX([1]products!$A$1:$G$49,MATCH([1]orders!$D376,[1]products!$A$1:$A$49,0),MATCH([1]orders!K$1,[1]products!$A$1:$G$1,0))</f>
        <v>0.5</v>
      </c>
      <c r="Q376" s="6">
        <f>INDEX([1]products!$A$1:$G$49,MATCH([1]orders!$D376,[1]products!$A$1:$A$49,0),MATCH([1]orders!L$1,[1]products!$A$1:$G$1,0))</f>
        <v>9.51</v>
      </c>
      <c r="R376" s="6">
        <f t="shared" si="25"/>
        <v>38.04</v>
      </c>
      <c r="S376">
        <f>VLOOKUP(L376,Products!$A$2:$G$49,7,0)</f>
        <v>1.2363</v>
      </c>
      <c r="T376">
        <f t="shared" si="28"/>
        <v>4.9451999999999998</v>
      </c>
      <c r="U376" s="33">
        <f t="shared" si="29"/>
        <v>13</v>
      </c>
    </row>
    <row r="377" spans="1:21" x14ac:dyDescent="0.25">
      <c r="A377" s="1" t="s">
        <v>754</v>
      </c>
      <c r="B377" s="28">
        <v>44120</v>
      </c>
      <c r="C377" s="21" t="str">
        <f t="shared" si="26"/>
        <v>2020</v>
      </c>
      <c r="D377" s="19" t="str">
        <f t="shared" si="27"/>
        <v>October</v>
      </c>
      <c r="E377" s="3" t="s">
        <v>755</v>
      </c>
      <c r="F377" s="3" t="str">
        <f>VLOOKUP(E377,Customers!$A$2:$I$1001,2,0)</f>
        <v>Waylin Hollingdale</v>
      </c>
      <c r="G377" s="3" t="str">
        <f>VLOOKUP(E377,Customers!$A$2:$I$1001,3,0)</f>
        <v>whollingdaleaf@about.me</v>
      </c>
      <c r="H377" s="3" t="str">
        <f>VLOOKUP(E377,Customers!$A$2:$I$1001,4,0)</f>
        <v>+1 (937) 354-2653</v>
      </c>
      <c r="I377" s="25" t="str">
        <f>VLOOKUP(E377,Customers!$A$2:$I$1001,6,0)</f>
        <v>Dayton</v>
      </c>
      <c r="J377" s="25" t="str">
        <f>VLOOKUP(E377,Customers!$A$2:$I$1001,7,0)</f>
        <v>United States</v>
      </c>
      <c r="K377" s="23" t="str">
        <f>VLOOKUP(E377,Customers!$A$2:$I$1001,9,0)</f>
        <v>Yes</v>
      </c>
      <c r="L377" s="4" t="s">
        <v>44</v>
      </c>
      <c r="M377" s="4" t="str">
        <f>VLOOKUP(L377,Products!$A$2:$G$49,2,0)</f>
        <v>Arabica</v>
      </c>
      <c r="N377" s="4" t="str">
        <f>VLOOKUP(L377,Products!$A$2:$G$49,3,0)</f>
        <v>Medium</v>
      </c>
      <c r="O377" s="25">
        <v>2</v>
      </c>
      <c r="P377" s="5">
        <f>INDEX([1]products!$A$1:$G$49,MATCH([1]orders!$D377,[1]products!$A$1:$A$49,0),MATCH([1]orders!K$1,[1]products!$A$1:$G$1,0))</f>
        <v>0.2</v>
      </c>
      <c r="Q377" s="6">
        <f>INDEX([1]products!$A$1:$G$49,MATCH([1]orders!$D377,[1]products!$A$1:$A$49,0),MATCH([1]orders!L$1,[1]products!$A$1:$G$1,0))</f>
        <v>3.375</v>
      </c>
      <c r="R377" s="6">
        <f t="shared" si="25"/>
        <v>6.75</v>
      </c>
      <c r="S377">
        <f>VLOOKUP(L377,Products!$A$2:$G$49,7,0)</f>
        <v>0.30374999999999996</v>
      </c>
      <c r="T377">
        <f t="shared" si="28"/>
        <v>0.60749999999999993</v>
      </c>
      <c r="U377" s="33">
        <f t="shared" si="29"/>
        <v>8.9999999999999982</v>
      </c>
    </row>
    <row r="378" spans="1:21" x14ac:dyDescent="0.25">
      <c r="A378" s="1" t="s">
        <v>756</v>
      </c>
      <c r="B378" s="28">
        <v>44097</v>
      </c>
      <c r="C378" s="21" t="str">
        <f t="shared" si="26"/>
        <v>2020</v>
      </c>
      <c r="D378" s="19" t="str">
        <f t="shared" si="27"/>
        <v>September</v>
      </c>
      <c r="E378" s="3" t="s">
        <v>757</v>
      </c>
      <c r="F378" s="3" t="str">
        <f>VLOOKUP(E378,Customers!$A$2:$I$1001,2,0)</f>
        <v>Judd De Leek</v>
      </c>
      <c r="G378" s="3" t="str">
        <f>VLOOKUP(E378,Customers!$A$2:$I$1001,3,0)</f>
        <v>jdeag@xrea.com</v>
      </c>
      <c r="H378" s="3" t="str">
        <f>VLOOKUP(E378,Customers!$A$2:$I$1001,4,0)</f>
        <v>+1 (616) 966-1581</v>
      </c>
      <c r="I378" s="25" t="str">
        <f>VLOOKUP(E378,Customers!$A$2:$I$1001,6,0)</f>
        <v>Grand Rapids</v>
      </c>
      <c r="J378" s="25" t="str">
        <f>VLOOKUP(E378,Customers!$A$2:$I$1001,7,0)</f>
        <v>United States</v>
      </c>
      <c r="K378" s="23" t="str">
        <f>VLOOKUP(E378,Customers!$A$2:$I$1001,9,0)</f>
        <v>Yes</v>
      </c>
      <c r="L378" s="4" t="s">
        <v>22</v>
      </c>
      <c r="M378" s="4" t="str">
        <f>VLOOKUP(L378,Products!$A$2:$G$49,2,0)</f>
        <v>Robusta</v>
      </c>
      <c r="N378" s="4" t="str">
        <f>VLOOKUP(L378,Products!$A$2:$G$49,3,0)</f>
        <v>Medium</v>
      </c>
      <c r="O378" s="25">
        <v>1</v>
      </c>
      <c r="P378" s="5">
        <f>INDEX([1]products!$A$1:$G$49,MATCH([1]orders!$D378,[1]products!$A$1:$A$49,0),MATCH([1]orders!K$1,[1]products!$A$1:$G$1,0))</f>
        <v>0.5</v>
      </c>
      <c r="Q378" s="6">
        <f>INDEX([1]products!$A$1:$G$49,MATCH([1]orders!$D378,[1]products!$A$1:$A$49,0),MATCH([1]orders!L$1,[1]products!$A$1:$G$1,0))</f>
        <v>5.97</v>
      </c>
      <c r="R378" s="6">
        <f t="shared" si="25"/>
        <v>5.97</v>
      </c>
      <c r="S378">
        <f>VLOOKUP(L378,Products!$A$2:$G$49,7,0)</f>
        <v>0.35819999999999996</v>
      </c>
      <c r="T378">
        <f t="shared" si="28"/>
        <v>0.35819999999999996</v>
      </c>
      <c r="U378" s="33">
        <f t="shared" si="29"/>
        <v>6</v>
      </c>
    </row>
    <row r="379" spans="1:21" x14ac:dyDescent="0.25">
      <c r="A379" s="1" t="s">
        <v>758</v>
      </c>
      <c r="B379" s="28">
        <v>43532</v>
      </c>
      <c r="C379" s="21" t="str">
        <f t="shared" si="26"/>
        <v>2019</v>
      </c>
      <c r="D379" s="19" t="str">
        <f t="shared" si="27"/>
        <v>March</v>
      </c>
      <c r="E379" s="3" t="s">
        <v>759</v>
      </c>
      <c r="F379" s="3" t="str">
        <f>VLOOKUP(E379,Customers!$A$2:$I$1001,2,0)</f>
        <v>Vanya Skullet</v>
      </c>
      <c r="G379" s="3" t="str">
        <f>VLOOKUP(E379,Customers!$A$2:$I$1001,3,0)</f>
        <v>vskulletah@tinyurl.com</v>
      </c>
      <c r="H379" s="3" t="str">
        <f>VLOOKUP(E379,Customers!$A$2:$I$1001,4,0)</f>
        <v>+353 (215) 420-1467</v>
      </c>
      <c r="I379" s="25" t="str">
        <f>VLOOKUP(E379,Customers!$A$2:$I$1001,6,0)</f>
        <v>Balally</v>
      </c>
      <c r="J379" s="25" t="str">
        <f>VLOOKUP(E379,Customers!$A$2:$I$1001,7,0)</f>
        <v>Ireland</v>
      </c>
      <c r="K379" s="23" t="str">
        <f>VLOOKUP(E379,Customers!$A$2:$I$1001,9,0)</f>
        <v>No</v>
      </c>
      <c r="L379" s="4" t="s">
        <v>101</v>
      </c>
      <c r="M379" s="4" t="str">
        <f>VLOOKUP(L379,Products!$A$2:$G$49,2,0)</f>
        <v>Robusta</v>
      </c>
      <c r="N379" s="4" t="str">
        <f>VLOOKUP(L379,Products!$A$2:$G$49,3,0)</f>
        <v>Dark</v>
      </c>
      <c r="O379" s="25">
        <v>3</v>
      </c>
      <c r="P379" s="5">
        <f>INDEX([1]products!$A$1:$G$49,MATCH([1]orders!$D379,[1]products!$A$1:$A$49,0),MATCH([1]orders!K$1,[1]products!$A$1:$G$1,0))</f>
        <v>0.2</v>
      </c>
      <c r="Q379" s="6">
        <f>INDEX([1]products!$A$1:$G$49,MATCH([1]orders!$D379,[1]products!$A$1:$A$49,0),MATCH([1]orders!L$1,[1]products!$A$1:$G$1,0))</f>
        <v>2.6849999999999996</v>
      </c>
      <c r="R379" s="6">
        <f t="shared" si="25"/>
        <v>8.0549999999999997</v>
      </c>
      <c r="S379">
        <f>VLOOKUP(L379,Products!$A$2:$G$49,7,0)</f>
        <v>0.16109999999999997</v>
      </c>
      <c r="T379">
        <f t="shared" si="28"/>
        <v>0.4832999999999999</v>
      </c>
      <c r="U379" s="33">
        <f t="shared" si="29"/>
        <v>5.9999999999999991</v>
      </c>
    </row>
    <row r="380" spans="1:21" x14ac:dyDescent="0.25">
      <c r="A380" s="1" t="s">
        <v>760</v>
      </c>
      <c r="B380" s="28">
        <v>44377</v>
      </c>
      <c r="C380" s="21" t="str">
        <f t="shared" si="26"/>
        <v>2021</v>
      </c>
      <c r="D380" s="19" t="str">
        <f t="shared" si="27"/>
        <v>June</v>
      </c>
      <c r="E380" s="3" t="s">
        <v>761</v>
      </c>
      <c r="F380" s="3" t="str">
        <f>VLOOKUP(E380,Customers!$A$2:$I$1001,2,0)</f>
        <v>Jany Rudeforth</v>
      </c>
      <c r="G380" s="3" t="str">
        <f>VLOOKUP(E380,Customers!$A$2:$I$1001,3,0)</f>
        <v>jrudeforthai@wunderground.com</v>
      </c>
      <c r="H380" s="3" t="str">
        <f>VLOOKUP(E380,Customers!$A$2:$I$1001,4,0)</f>
        <v>+353 (232) 377-5407</v>
      </c>
      <c r="I380" s="25" t="str">
        <f>VLOOKUP(E380,Customers!$A$2:$I$1001,6,0)</f>
        <v>Tullyallen</v>
      </c>
      <c r="J380" s="25" t="str">
        <f>VLOOKUP(E380,Customers!$A$2:$I$1001,7,0)</f>
        <v>Ireland</v>
      </c>
      <c r="K380" s="23" t="str">
        <f>VLOOKUP(E380,Customers!$A$2:$I$1001,9,0)</f>
        <v>Yes</v>
      </c>
      <c r="L380" s="4" t="s">
        <v>192</v>
      </c>
      <c r="M380" s="4" t="str">
        <f>VLOOKUP(L380,Products!$A$2:$G$49,2,0)</f>
        <v>Arabica</v>
      </c>
      <c r="N380" s="4" t="str">
        <f>VLOOKUP(L380,Products!$A$2:$G$49,3,0)</f>
        <v>Light</v>
      </c>
      <c r="O380" s="25">
        <v>3</v>
      </c>
      <c r="P380" s="5">
        <f>INDEX([1]products!$A$1:$G$49,MATCH([1]orders!$D380,[1]products!$A$1:$A$49,0),MATCH([1]orders!K$1,[1]products!$A$1:$G$1,0))</f>
        <v>0.5</v>
      </c>
      <c r="Q380" s="6">
        <f>INDEX([1]products!$A$1:$G$49,MATCH([1]orders!$D380,[1]products!$A$1:$A$49,0),MATCH([1]orders!L$1,[1]products!$A$1:$G$1,0))</f>
        <v>7.77</v>
      </c>
      <c r="R380" s="6">
        <f t="shared" si="25"/>
        <v>23.31</v>
      </c>
      <c r="S380">
        <f>VLOOKUP(L380,Products!$A$2:$G$49,7,0)</f>
        <v>0.69929999999999992</v>
      </c>
      <c r="T380">
        <f t="shared" si="28"/>
        <v>2.0978999999999997</v>
      </c>
      <c r="U380" s="33">
        <f t="shared" si="29"/>
        <v>9</v>
      </c>
    </row>
    <row r="381" spans="1:21" x14ac:dyDescent="0.25">
      <c r="A381" s="1" t="s">
        <v>762</v>
      </c>
      <c r="B381" s="28">
        <v>43690</v>
      </c>
      <c r="C381" s="21" t="str">
        <f t="shared" si="26"/>
        <v>2019</v>
      </c>
      <c r="D381" s="19" t="str">
        <f t="shared" si="27"/>
        <v>August</v>
      </c>
      <c r="E381" s="3" t="s">
        <v>763</v>
      </c>
      <c r="F381" s="3" t="str">
        <f>VLOOKUP(E381,Customers!$A$2:$I$1001,2,0)</f>
        <v>Ashbey Tomaszewski</v>
      </c>
      <c r="G381" s="3" t="str">
        <f>VLOOKUP(E381,Customers!$A$2:$I$1001,3,0)</f>
        <v>atomaszewskiaj@answers.com</v>
      </c>
      <c r="H381" s="3" t="str">
        <f>VLOOKUP(E381,Customers!$A$2:$I$1001,4,0)</f>
        <v>UNKNOWN</v>
      </c>
      <c r="I381" s="25" t="str">
        <f>VLOOKUP(E381,Customers!$A$2:$I$1001,6,0)</f>
        <v>Sutton</v>
      </c>
      <c r="J381" s="25" t="str">
        <f>VLOOKUP(E381,Customers!$A$2:$I$1001,7,0)</f>
        <v>United Kingdom</v>
      </c>
      <c r="K381" s="23" t="str">
        <f>VLOOKUP(E381,Customers!$A$2:$I$1001,9,0)</f>
        <v>Yes</v>
      </c>
      <c r="L381" s="4" t="s">
        <v>157</v>
      </c>
      <c r="M381" s="4" t="str">
        <f>VLOOKUP(L381,Products!$A$2:$G$49,2,0)</f>
        <v>Robusta</v>
      </c>
      <c r="N381" s="4" t="str">
        <f>VLOOKUP(L381,Products!$A$2:$G$49,3,0)</f>
        <v>Light</v>
      </c>
      <c r="O381" s="25">
        <v>6</v>
      </c>
      <c r="P381" s="5">
        <f>INDEX([1]products!$A$1:$G$49,MATCH([1]orders!$D381,[1]products!$A$1:$A$49,0),MATCH([1]orders!K$1,[1]products!$A$1:$G$1,0))</f>
        <v>0.5</v>
      </c>
      <c r="Q381" s="6">
        <f>INDEX([1]products!$A$1:$G$49,MATCH([1]orders!$D381,[1]products!$A$1:$A$49,0),MATCH([1]orders!L$1,[1]products!$A$1:$G$1,0))</f>
        <v>7.169999999999999</v>
      </c>
      <c r="R381" s="6">
        <f t="shared" si="25"/>
        <v>43.019999999999996</v>
      </c>
      <c r="S381">
        <f>VLOOKUP(L381,Products!$A$2:$G$49,7,0)</f>
        <v>0.43019999999999992</v>
      </c>
      <c r="T381">
        <f t="shared" si="28"/>
        <v>2.5811999999999995</v>
      </c>
      <c r="U381" s="33">
        <f t="shared" si="29"/>
        <v>5.9999999999999991</v>
      </c>
    </row>
    <row r="382" spans="1:21" x14ac:dyDescent="0.25">
      <c r="A382" s="1" t="s">
        <v>764</v>
      </c>
      <c r="B382" s="28">
        <v>44249</v>
      </c>
      <c r="C382" s="21" t="str">
        <f t="shared" si="26"/>
        <v>2021</v>
      </c>
      <c r="D382" s="19" t="str">
        <f t="shared" si="27"/>
        <v>February</v>
      </c>
      <c r="E382" s="3" t="s">
        <v>664</v>
      </c>
      <c r="F382" s="3" t="str">
        <f>VLOOKUP(E382,Customers!$A$2:$I$1001,2,0)</f>
        <v>Flynn Antony</v>
      </c>
      <c r="G382" s="3" t="str">
        <f>VLOOKUP(E382,Customers!$A$2:$I$1001,3,0)</f>
        <v>UNKNOWN</v>
      </c>
      <c r="H382" s="3" t="str">
        <f>VLOOKUP(E382,Customers!$A$2:$I$1001,4,0)</f>
        <v>+1 (205) 680-5859</v>
      </c>
      <c r="I382" s="25" t="str">
        <f>VLOOKUP(E382,Customers!$A$2:$I$1001,6,0)</f>
        <v>Birmingham</v>
      </c>
      <c r="J382" s="25" t="str">
        <f>VLOOKUP(E382,Customers!$A$2:$I$1001,7,0)</f>
        <v>United States</v>
      </c>
      <c r="K382" s="23" t="str">
        <f>VLOOKUP(E382,Customers!$A$2:$I$1001,9,0)</f>
        <v>No</v>
      </c>
      <c r="L382" s="4" t="s">
        <v>123</v>
      </c>
      <c r="M382" s="4" t="str">
        <f>VLOOKUP(L382,Products!$A$2:$G$49,2,0)</f>
        <v>Liberica</v>
      </c>
      <c r="N382" s="4" t="str">
        <f>VLOOKUP(L382,Products!$A$2:$G$49,3,0)</f>
        <v>Dark</v>
      </c>
      <c r="O382" s="25">
        <v>3</v>
      </c>
      <c r="P382" s="5">
        <f>INDEX([1]products!$A$1:$G$49,MATCH([1]orders!$D382,[1]products!$A$1:$A$49,0),MATCH([1]orders!K$1,[1]products!$A$1:$G$1,0))</f>
        <v>0.5</v>
      </c>
      <c r="Q382" s="6">
        <f>INDEX([1]products!$A$1:$G$49,MATCH([1]orders!$D382,[1]products!$A$1:$A$49,0),MATCH([1]orders!L$1,[1]products!$A$1:$G$1,0))</f>
        <v>7.77</v>
      </c>
      <c r="R382" s="6">
        <f t="shared" si="25"/>
        <v>23.31</v>
      </c>
      <c r="S382">
        <f>VLOOKUP(L382,Products!$A$2:$G$49,7,0)</f>
        <v>1.0101</v>
      </c>
      <c r="T382">
        <f t="shared" si="28"/>
        <v>3.0303</v>
      </c>
      <c r="U382" s="33">
        <f t="shared" si="29"/>
        <v>13</v>
      </c>
    </row>
    <row r="383" spans="1:21" x14ac:dyDescent="0.25">
      <c r="A383" s="1" t="s">
        <v>765</v>
      </c>
      <c r="B383" s="28">
        <v>44646</v>
      </c>
      <c r="C383" s="21" t="str">
        <f t="shared" si="26"/>
        <v>2022</v>
      </c>
      <c r="D383" s="19" t="str">
        <f t="shared" si="27"/>
        <v>March</v>
      </c>
      <c r="E383" s="3" t="s">
        <v>766</v>
      </c>
      <c r="F383" s="3" t="str">
        <f>VLOOKUP(E383,Customers!$A$2:$I$1001,2,0)</f>
        <v>Pren Bess</v>
      </c>
      <c r="G383" s="3" t="str">
        <f>VLOOKUP(E383,Customers!$A$2:$I$1001,3,0)</f>
        <v>pbessal@qq.com</v>
      </c>
      <c r="H383" s="3" t="str">
        <f>VLOOKUP(E383,Customers!$A$2:$I$1001,4,0)</f>
        <v>+1 (949) 121-4600</v>
      </c>
      <c r="I383" s="25" t="str">
        <f>VLOOKUP(E383,Customers!$A$2:$I$1001,6,0)</f>
        <v>Los Angeles</v>
      </c>
      <c r="J383" s="25" t="str">
        <f>VLOOKUP(E383,Customers!$A$2:$I$1001,7,0)</f>
        <v>United States</v>
      </c>
      <c r="K383" s="23" t="str">
        <f>VLOOKUP(E383,Customers!$A$2:$I$1001,9,0)</f>
        <v>Yes</v>
      </c>
      <c r="L383" s="4" t="s">
        <v>54</v>
      </c>
      <c r="M383" s="4" t="str">
        <f>VLOOKUP(L383,Products!$A$2:$G$49,2,0)</f>
        <v>Arabica</v>
      </c>
      <c r="N383" s="4" t="str">
        <f>VLOOKUP(L383,Products!$A$2:$G$49,3,0)</f>
        <v>Dark</v>
      </c>
      <c r="O383" s="25">
        <v>5</v>
      </c>
      <c r="P383" s="5">
        <f>INDEX([1]products!$A$1:$G$49,MATCH([1]orders!$D383,[1]products!$A$1:$A$49,0),MATCH([1]orders!K$1,[1]products!$A$1:$G$1,0))</f>
        <v>0.2</v>
      </c>
      <c r="Q383" s="6">
        <f>INDEX([1]products!$A$1:$G$49,MATCH([1]orders!$D383,[1]products!$A$1:$A$49,0),MATCH([1]orders!L$1,[1]products!$A$1:$G$1,0))</f>
        <v>2.9849999999999999</v>
      </c>
      <c r="R383" s="6">
        <f t="shared" si="25"/>
        <v>14.924999999999999</v>
      </c>
      <c r="S383">
        <f>VLOOKUP(L383,Products!$A$2:$G$49,7,0)</f>
        <v>0.26865</v>
      </c>
      <c r="T383">
        <f t="shared" si="28"/>
        <v>1.3432500000000001</v>
      </c>
      <c r="U383" s="33">
        <f t="shared" si="29"/>
        <v>9.0000000000000018</v>
      </c>
    </row>
    <row r="384" spans="1:21" x14ac:dyDescent="0.25">
      <c r="A384" s="1" t="s">
        <v>767</v>
      </c>
      <c r="B384" s="28">
        <v>43840</v>
      </c>
      <c r="C384" s="21" t="str">
        <f t="shared" si="26"/>
        <v>2020</v>
      </c>
      <c r="D384" s="19" t="str">
        <f t="shared" si="27"/>
        <v>January</v>
      </c>
      <c r="E384" s="3" t="s">
        <v>768</v>
      </c>
      <c r="F384" s="3" t="str">
        <f>VLOOKUP(E384,Customers!$A$2:$I$1001,2,0)</f>
        <v>Elka Windress</v>
      </c>
      <c r="G384" s="3" t="str">
        <f>VLOOKUP(E384,Customers!$A$2:$I$1001,3,0)</f>
        <v>ewindressam@marketwatch.com</v>
      </c>
      <c r="H384" s="3" t="str">
        <f>VLOOKUP(E384,Customers!$A$2:$I$1001,4,0)</f>
        <v>+1 (443) 619-7953</v>
      </c>
      <c r="I384" s="25" t="str">
        <f>VLOOKUP(E384,Customers!$A$2:$I$1001,6,0)</f>
        <v>Baltimore</v>
      </c>
      <c r="J384" s="25" t="str">
        <f>VLOOKUP(E384,Customers!$A$2:$I$1001,7,0)</f>
        <v>United States</v>
      </c>
      <c r="K384" s="23" t="str">
        <f>VLOOKUP(E384,Customers!$A$2:$I$1001,9,0)</f>
        <v>No</v>
      </c>
      <c r="L384" s="4" t="s">
        <v>16</v>
      </c>
      <c r="M384" s="4" t="str">
        <f>VLOOKUP(L384,Products!$A$2:$G$49,2,0)</f>
        <v>Excelsa</v>
      </c>
      <c r="N384" s="4" t="str">
        <f>VLOOKUP(L384,Products!$A$2:$G$49,3,0)</f>
        <v>Dark</v>
      </c>
      <c r="O384" s="25">
        <v>3</v>
      </c>
      <c r="P384" s="5">
        <f>INDEX([1]products!$A$1:$G$49,MATCH([1]orders!$D384,[1]products!$A$1:$A$49,0),MATCH([1]orders!K$1,[1]products!$A$1:$G$1,0))</f>
        <v>0.5</v>
      </c>
      <c r="Q384" s="6">
        <f>INDEX([1]products!$A$1:$G$49,MATCH([1]orders!$D384,[1]products!$A$1:$A$49,0),MATCH([1]orders!L$1,[1]products!$A$1:$G$1,0))</f>
        <v>7.29</v>
      </c>
      <c r="R384" s="6">
        <f t="shared" si="25"/>
        <v>21.87</v>
      </c>
      <c r="S384">
        <f>VLOOKUP(L384,Products!$A$2:$G$49,7,0)</f>
        <v>0.80190000000000006</v>
      </c>
      <c r="T384">
        <f t="shared" si="28"/>
        <v>2.4057000000000004</v>
      </c>
      <c r="U384" s="33">
        <f t="shared" si="29"/>
        <v>11.000000000000002</v>
      </c>
    </row>
    <row r="385" spans="1:21" x14ac:dyDescent="0.25">
      <c r="A385" s="1" t="s">
        <v>769</v>
      </c>
      <c r="B385" s="28">
        <v>43586</v>
      </c>
      <c r="C385" s="21" t="str">
        <f t="shared" si="26"/>
        <v>2019</v>
      </c>
      <c r="D385" s="19" t="str">
        <f t="shared" si="27"/>
        <v>May</v>
      </c>
      <c r="E385" s="3" t="s">
        <v>770</v>
      </c>
      <c r="F385" s="3" t="str">
        <f>VLOOKUP(E385,Customers!$A$2:$I$1001,2,0)</f>
        <v>Marty Kidstoun</v>
      </c>
      <c r="G385" s="3" t="str">
        <f>VLOOKUP(E385,Customers!$A$2:$I$1001,3,0)</f>
        <v>UNKNOWN</v>
      </c>
      <c r="H385" s="3" t="str">
        <f>VLOOKUP(E385,Customers!$A$2:$I$1001,4,0)</f>
        <v>+1 (717) 990-3931</v>
      </c>
      <c r="I385" s="25" t="str">
        <f>VLOOKUP(E385,Customers!$A$2:$I$1001,6,0)</f>
        <v>Harrisburg</v>
      </c>
      <c r="J385" s="25" t="str">
        <f>VLOOKUP(E385,Customers!$A$2:$I$1001,7,0)</f>
        <v>United States</v>
      </c>
      <c r="K385" s="23" t="str">
        <f>VLOOKUP(E385,Customers!$A$2:$I$1001,9,0)</f>
        <v>Yes</v>
      </c>
      <c r="L385" s="4" t="s">
        <v>176</v>
      </c>
      <c r="M385" s="4" t="str">
        <f>VLOOKUP(L385,Products!$A$2:$G$49,2,0)</f>
        <v>Excelsa</v>
      </c>
      <c r="N385" s="4" t="str">
        <f>VLOOKUP(L385,Products!$A$2:$G$49,3,0)</f>
        <v>Light</v>
      </c>
      <c r="O385" s="25">
        <v>6</v>
      </c>
      <c r="P385" s="5">
        <f>INDEX([1]products!$A$1:$G$49,MATCH([1]orders!$D385,[1]products!$A$1:$A$49,0),MATCH([1]orders!K$1,[1]products!$A$1:$G$1,0))</f>
        <v>0.5</v>
      </c>
      <c r="Q385" s="6">
        <f>INDEX([1]products!$A$1:$G$49,MATCH([1]orders!$D385,[1]products!$A$1:$A$49,0),MATCH([1]orders!L$1,[1]products!$A$1:$G$1,0))</f>
        <v>8.91</v>
      </c>
      <c r="R385" s="6">
        <f t="shared" si="25"/>
        <v>53.46</v>
      </c>
      <c r="S385">
        <f>VLOOKUP(L385,Products!$A$2:$G$49,7,0)</f>
        <v>0.98009999999999997</v>
      </c>
      <c r="T385">
        <f t="shared" si="28"/>
        <v>5.8805999999999994</v>
      </c>
      <c r="U385" s="33">
        <f t="shared" si="29"/>
        <v>10.999999999999998</v>
      </c>
    </row>
    <row r="386" spans="1:21" x14ac:dyDescent="0.25">
      <c r="A386" s="1" t="s">
        <v>771</v>
      </c>
      <c r="B386" s="28">
        <v>43870</v>
      </c>
      <c r="C386" s="21" t="str">
        <f t="shared" si="26"/>
        <v>2020</v>
      </c>
      <c r="D386" s="19" t="str">
        <f t="shared" si="27"/>
        <v>February</v>
      </c>
      <c r="E386" s="3" t="s">
        <v>772</v>
      </c>
      <c r="F386" s="3" t="str">
        <f>VLOOKUP(E386,Customers!$A$2:$I$1001,2,0)</f>
        <v>Nickey Dimbleby</v>
      </c>
      <c r="G386" s="3" t="str">
        <f>VLOOKUP(E386,Customers!$A$2:$I$1001,3,0)</f>
        <v>UNKNOWN</v>
      </c>
      <c r="H386" s="3" t="str">
        <f>VLOOKUP(E386,Customers!$A$2:$I$1001,4,0)</f>
        <v>+1 (469) 579-2051</v>
      </c>
      <c r="I386" s="25" t="str">
        <f>VLOOKUP(E386,Customers!$A$2:$I$1001,6,0)</f>
        <v>Dallas</v>
      </c>
      <c r="J386" s="25" t="str">
        <f>VLOOKUP(E386,Customers!$A$2:$I$1001,7,0)</f>
        <v>United States</v>
      </c>
      <c r="K386" s="23" t="str">
        <f>VLOOKUP(E386,Customers!$A$2:$I$1001,9,0)</f>
        <v>No</v>
      </c>
      <c r="L386" s="4" t="s">
        <v>204</v>
      </c>
      <c r="M386" s="4" t="str">
        <f>VLOOKUP(L386,Products!$A$2:$G$49,2,0)</f>
        <v>Arabica</v>
      </c>
      <c r="N386" s="4" t="str">
        <f>VLOOKUP(L386,Products!$A$2:$G$49,3,0)</f>
        <v>Light</v>
      </c>
      <c r="O386" s="25">
        <v>4</v>
      </c>
      <c r="P386" s="5">
        <f>INDEX([1]products!$A$1:$G$49,MATCH([1]orders!$D386,[1]products!$A$1:$A$49,0),MATCH([1]orders!K$1,[1]products!$A$1:$G$1,0))</f>
        <v>2.5</v>
      </c>
      <c r="Q386" s="6">
        <f>INDEX([1]products!$A$1:$G$49,MATCH([1]orders!$D386,[1]products!$A$1:$A$49,0),MATCH([1]orders!L$1,[1]products!$A$1:$G$1,0))</f>
        <v>29.784999999999997</v>
      </c>
      <c r="R386" s="6">
        <f t="shared" ref="R386:R449" si="30">O386*Q386</f>
        <v>119.13999999999999</v>
      </c>
      <c r="S386">
        <f>VLOOKUP(L386,Products!$A$2:$G$49,7,0)</f>
        <v>2.6806499999999995</v>
      </c>
      <c r="T386">
        <f t="shared" si="28"/>
        <v>10.722599999999998</v>
      </c>
      <c r="U386" s="33">
        <f t="shared" si="29"/>
        <v>9</v>
      </c>
    </row>
    <row r="387" spans="1:21" x14ac:dyDescent="0.25">
      <c r="A387" s="1" t="s">
        <v>773</v>
      </c>
      <c r="B387" s="28">
        <v>44559</v>
      </c>
      <c r="C387" s="21" t="str">
        <f t="shared" ref="C387:C450" si="31">TEXT(B387,"yyyy")</f>
        <v>2021</v>
      </c>
      <c r="D387" s="19" t="str">
        <f t="shared" ref="D387:D450" si="32">TEXT(B387,"mmmm")</f>
        <v>December</v>
      </c>
      <c r="E387" s="3" t="s">
        <v>774</v>
      </c>
      <c r="F387" s="3" t="str">
        <f>VLOOKUP(E387,Customers!$A$2:$I$1001,2,0)</f>
        <v>Virgil Baumadier</v>
      </c>
      <c r="G387" s="3" t="str">
        <f>VLOOKUP(E387,Customers!$A$2:$I$1001,3,0)</f>
        <v>vbaumadierap@google.cn</v>
      </c>
      <c r="H387" s="3" t="str">
        <f>VLOOKUP(E387,Customers!$A$2:$I$1001,4,0)</f>
        <v>+1 (816) 987-4857</v>
      </c>
      <c r="I387" s="25" t="str">
        <f>VLOOKUP(E387,Customers!$A$2:$I$1001,6,0)</f>
        <v>Kansas City</v>
      </c>
      <c r="J387" s="25" t="str">
        <f>VLOOKUP(E387,Customers!$A$2:$I$1001,7,0)</f>
        <v>United States</v>
      </c>
      <c r="K387" s="23" t="str">
        <f>VLOOKUP(E387,Customers!$A$2:$I$1001,9,0)</f>
        <v>Yes</v>
      </c>
      <c r="L387" s="4" t="s">
        <v>78</v>
      </c>
      <c r="M387" s="4" t="str">
        <f>VLOOKUP(L387,Products!$A$2:$G$49,2,0)</f>
        <v>Liberica</v>
      </c>
      <c r="N387" s="4" t="str">
        <f>VLOOKUP(L387,Products!$A$2:$G$49,3,0)</f>
        <v>Medium</v>
      </c>
      <c r="O387" s="25">
        <v>5</v>
      </c>
      <c r="P387" s="5">
        <f>INDEX([1]products!$A$1:$G$49,MATCH([1]orders!$D387,[1]products!$A$1:$A$49,0),MATCH([1]orders!K$1,[1]products!$A$1:$G$1,0))</f>
        <v>0.5</v>
      </c>
      <c r="Q387" s="6">
        <f>INDEX([1]products!$A$1:$G$49,MATCH([1]orders!$D387,[1]products!$A$1:$A$49,0),MATCH([1]orders!L$1,[1]products!$A$1:$G$1,0))</f>
        <v>8.73</v>
      </c>
      <c r="R387" s="6">
        <f t="shared" si="30"/>
        <v>43.650000000000006</v>
      </c>
      <c r="S387">
        <f>VLOOKUP(L387,Products!$A$2:$G$49,7,0)</f>
        <v>1.1349</v>
      </c>
      <c r="T387">
        <f t="shared" ref="T387:T450" si="33">O387*S387</f>
        <v>5.6745000000000001</v>
      </c>
      <c r="U387" s="33">
        <f t="shared" ref="U387:U450" si="34">T387/R387*100</f>
        <v>12.999999999999998</v>
      </c>
    </row>
    <row r="388" spans="1:21" x14ac:dyDescent="0.25">
      <c r="A388" s="1" t="s">
        <v>775</v>
      </c>
      <c r="B388" s="28">
        <v>44083</v>
      </c>
      <c r="C388" s="21" t="str">
        <f t="shared" si="31"/>
        <v>2020</v>
      </c>
      <c r="D388" s="19" t="str">
        <f t="shared" si="32"/>
        <v>September</v>
      </c>
      <c r="E388" s="3" t="s">
        <v>776</v>
      </c>
      <c r="F388" s="3" t="str">
        <f>VLOOKUP(E388,Customers!$A$2:$I$1001,2,0)</f>
        <v>Lenore Messenbird</v>
      </c>
      <c r="G388" s="3" t="str">
        <f>VLOOKUP(E388,Customers!$A$2:$I$1001,3,0)</f>
        <v>UNKNOWN</v>
      </c>
      <c r="H388" s="3" t="str">
        <f>VLOOKUP(E388,Customers!$A$2:$I$1001,4,0)</f>
        <v>+1 (217) 713-5108</v>
      </c>
      <c r="I388" s="25" t="str">
        <f>VLOOKUP(E388,Customers!$A$2:$I$1001,6,0)</f>
        <v>Springfield</v>
      </c>
      <c r="J388" s="25" t="str">
        <f>VLOOKUP(E388,Customers!$A$2:$I$1001,7,0)</f>
        <v>United States</v>
      </c>
      <c r="K388" s="23" t="str">
        <f>VLOOKUP(E388,Customers!$A$2:$I$1001,9,0)</f>
        <v>Yes</v>
      </c>
      <c r="L388" s="4" t="s">
        <v>54</v>
      </c>
      <c r="M388" s="4" t="str">
        <f>VLOOKUP(L388,Products!$A$2:$G$49,2,0)</f>
        <v>Arabica</v>
      </c>
      <c r="N388" s="4" t="str">
        <f>VLOOKUP(L388,Products!$A$2:$G$49,3,0)</f>
        <v>Dark</v>
      </c>
      <c r="O388" s="25">
        <v>6</v>
      </c>
      <c r="P388" s="5">
        <f>INDEX([1]products!$A$1:$G$49,MATCH([1]orders!$D388,[1]products!$A$1:$A$49,0),MATCH([1]orders!K$1,[1]products!$A$1:$G$1,0))</f>
        <v>0.2</v>
      </c>
      <c r="Q388" s="6">
        <f>INDEX([1]products!$A$1:$G$49,MATCH([1]orders!$D388,[1]products!$A$1:$A$49,0),MATCH([1]orders!L$1,[1]products!$A$1:$G$1,0))</f>
        <v>2.9849999999999999</v>
      </c>
      <c r="R388" s="6">
        <f t="shared" si="30"/>
        <v>17.91</v>
      </c>
      <c r="S388">
        <f>VLOOKUP(L388,Products!$A$2:$G$49,7,0)</f>
        <v>0.26865</v>
      </c>
      <c r="T388">
        <f t="shared" si="33"/>
        <v>1.6118999999999999</v>
      </c>
      <c r="U388" s="33">
        <f t="shared" si="34"/>
        <v>9</v>
      </c>
    </row>
    <row r="389" spans="1:21" x14ac:dyDescent="0.25">
      <c r="A389" s="1" t="s">
        <v>777</v>
      </c>
      <c r="B389" s="28">
        <v>44455</v>
      </c>
      <c r="C389" s="21" t="str">
        <f t="shared" si="31"/>
        <v>2021</v>
      </c>
      <c r="D389" s="19" t="str">
        <f t="shared" si="32"/>
        <v>September</v>
      </c>
      <c r="E389" s="3" t="s">
        <v>778</v>
      </c>
      <c r="F389" s="3" t="str">
        <f>VLOOKUP(E389,Customers!$A$2:$I$1001,2,0)</f>
        <v>Shirleen Welds</v>
      </c>
      <c r="G389" s="3" t="str">
        <f>VLOOKUP(E389,Customers!$A$2:$I$1001,3,0)</f>
        <v>sweldsar@wired.com</v>
      </c>
      <c r="H389" s="3" t="str">
        <f>VLOOKUP(E389,Customers!$A$2:$I$1001,4,0)</f>
        <v>+1 (203) 568-7058</v>
      </c>
      <c r="I389" s="25" t="str">
        <f>VLOOKUP(E389,Customers!$A$2:$I$1001,6,0)</f>
        <v>New Haven</v>
      </c>
      <c r="J389" s="25" t="str">
        <f>VLOOKUP(E389,Customers!$A$2:$I$1001,7,0)</f>
        <v>United States</v>
      </c>
      <c r="K389" s="23" t="str">
        <f>VLOOKUP(E389,Customers!$A$2:$I$1001,9,0)</f>
        <v>Yes</v>
      </c>
      <c r="L389" s="4" t="s">
        <v>137</v>
      </c>
      <c r="M389" s="4" t="str">
        <f>VLOOKUP(L389,Products!$A$2:$G$49,2,0)</f>
        <v>Excelsa</v>
      </c>
      <c r="N389" s="4" t="str">
        <f>VLOOKUP(L389,Products!$A$2:$G$49,3,0)</f>
        <v>Light</v>
      </c>
      <c r="O389" s="25">
        <v>5</v>
      </c>
      <c r="P389" s="5">
        <f>INDEX([1]products!$A$1:$G$49,MATCH([1]orders!$D389,[1]products!$A$1:$A$49,0),MATCH([1]orders!K$1,[1]products!$A$1:$G$1,0))</f>
        <v>1</v>
      </c>
      <c r="Q389" s="6">
        <f>INDEX([1]products!$A$1:$G$49,MATCH([1]orders!$D389,[1]products!$A$1:$A$49,0),MATCH([1]orders!L$1,[1]products!$A$1:$G$1,0))</f>
        <v>14.85</v>
      </c>
      <c r="R389" s="6">
        <f t="shared" si="30"/>
        <v>74.25</v>
      </c>
      <c r="S389">
        <f>VLOOKUP(L389,Products!$A$2:$G$49,7,0)</f>
        <v>1.6335</v>
      </c>
      <c r="T389">
        <f t="shared" si="33"/>
        <v>8.1675000000000004</v>
      </c>
      <c r="U389" s="33">
        <f t="shared" si="34"/>
        <v>11</v>
      </c>
    </row>
    <row r="390" spans="1:21" x14ac:dyDescent="0.25">
      <c r="A390" s="1" t="s">
        <v>779</v>
      </c>
      <c r="B390" s="28">
        <v>44130</v>
      </c>
      <c r="C390" s="21" t="str">
        <f t="shared" si="31"/>
        <v>2020</v>
      </c>
      <c r="D390" s="19" t="str">
        <f t="shared" si="32"/>
        <v>October</v>
      </c>
      <c r="E390" s="3" t="s">
        <v>780</v>
      </c>
      <c r="F390" s="3" t="str">
        <f>VLOOKUP(E390,Customers!$A$2:$I$1001,2,0)</f>
        <v>Maisie Sarvar</v>
      </c>
      <c r="G390" s="3" t="str">
        <f>VLOOKUP(E390,Customers!$A$2:$I$1001,3,0)</f>
        <v>msarvaras@artisteer.com</v>
      </c>
      <c r="H390" s="3" t="str">
        <f>VLOOKUP(E390,Customers!$A$2:$I$1001,4,0)</f>
        <v>+1 (404) 401-6865</v>
      </c>
      <c r="I390" s="25" t="str">
        <f>VLOOKUP(E390,Customers!$A$2:$I$1001,6,0)</f>
        <v>Lawrenceville</v>
      </c>
      <c r="J390" s="25" t="str">
        <f>VLOOKUP(E390,Customers!$A$2:$I$1001,7,0)</f>
        <v>United States</v>
      </c>
      <c r="K390" s="23" t="str">
        <f>VLOOKUP(E390,Customers!$A$2:$I$1001,9,0)</f>
        <v>Yes</v>
      </c>
      <c r="L390" s="4" t="s">
        <v>38</v>
      </c>
      <c r="M390" s="4" t="str">
        <f>VLOOKUP(L390,Products!$A$2:$G$49,2,0)</f>
        <v>Liberica</v>
      </c>
      <c r="N390" s="4" t="str">
        <f>VLOOKUP(L390,Products!$A$2:$G$49,3,0)</f>
        <v>Dark</v>
      </c>
      <c r="O390" s="25">
        <v>3</v>
      </c>
      <c r="P390" s="5">
        <f>INDEX([1]products!$A$1:$G$49,MATCH([1]orders!$D390,[1]products!$A$1:$A$49,0),MATCH([1]orders!K$1,[1]products!$A$1:$G$1,0))</f>
        <v>0.2</v>
      </c>
      <c r="Q390" s="6">
        <f>INDEX([1]products!$A$1:$G$49,MATCH([1]orders!$D390,[1]products!$A$1:$A$49,0),MATCH([1]orders!L$1,[1]products!$A$1:$G$1,0))</f>
        <v>3.8849999999999998</v>
      </c>
      <c r="R390" s="6">
        <f t="shared" si="30"/>
        <v>11.654999999999999</v>
      </c>
      <c r="S390">
        <f>VLOOKUP(L390,Products!$A$2:$G$49,7,0)</f>
        <v>0.50505</v>
      </c>
      <c r="T390">
        <f t="shared" si="33"/>
        <v>1.51515</v>
      </c>
      <c r="U390" s="33">
        <f t="shared" si="34"/>
        <v>13</v>
      </c>
    </row>
    <row r="391" spans="1:21" x14ac:dyDescent="0.25">
      <c r="A391" s="1" t="s">
        <v>781</v>
      </c>
      <c r="B391" s="28">
        <v>43536</v>
      </c>
      <c r="C391" s="21" t="str">
        <f t="shared" si="31"/>
        <v>2019</v>
      </c>
      <c r="D391" s="19" t="str">
        <f t="shared" si="32"/>
        <v>March</v>
      </c>
      <c r="E391" s="3" t="s">
        <v>782</v>
      </c>
      <c r="F391" s="3" t="str">
        <f>VLOOKUP(E391,Customers!$A$2:$I$1001,2,0)</f>
        <v>Andrej Havick</v>
      </c>
      <c r="G391" s="3" t="str">
        <f>VLOOKUP(E391,Customers!$A$2:$I$1001,3,0)</f>
        <v>ahavickat@nsw.gov.au</v>
      </c>
      <c r="H391" s="3" t="str">
        <f>VLOOKUP(E391,Customers!$A$2:$I$1001,4,0)</f>
        <v>+1 (828) 769-0743</v>
      </c>
      <c r="I391" s="25" t="str">
        <f>VLOOKUP(E391,Customers!$A$2:$I$1001,6,0)</f>
        <v>Asheville</v>
      </c>
      <c r="J391" s="25" t="str">
        <f>VLOOKUP(E391,Customers!$A$2:$I$1001,7,0)</f>
        <v>United States</v>
      </c>
      <c r="K391" s="23" t="str">
        <f>VLOOKUP(E391,Customers!$A$2:$I$1001,9,0)</f>
        <v>Yes</v>
      </c>
      <c r="L391" s="4" t="s">
        <v>123</v>
      </c>
      <c r="M391" s="4" t="str">
        <f>VLOOKUP(L391,Products!$A$2:$G$49,2,0)</f>
        <v>Liberica</v>
      </c>
      <c r="N391" s="4" t="str">
        <f>VLOOKUP(L391,Products!$A$2:$G$49,3,0)</f>
        <v>Dark</v>
      </c>
      <c r="O391" s="25">
        <v>3</v>
      </c>
      <c r="P391" s="5">
        <f>INDEX([1]products!$A$1:$G$49,MATCH([1]orders!$D391,[1]products!$A$1:$A$49,0),MATCH([1]orders!K$1,[1]products!$A$1:$G$1,0))</f>
        <v>0.5</v>
      </c>
      <c r="Q391" s="6">
        <f>INDEX([1]products!$A$1:$G$49,MATCH([1]orders!$D391,[1]products!$A$1:$A$49,0),MATCH([1]orders!L$1,[1]products!$A$1:$G$1,0))</f>
        <v>7.77</v>
      </c>
      <c r="R391" s="6">
        <f t="shared" si="30"/>
        <v>23.31</v>
      </c>
      <c r="S391">
        <f>VLOOKUP(L391,Products!$A$2:$G$49,7,0)</f>
        <v>1.0101</v>
      </c>
      <c r="T391">
        <f t="shared" si="33"/>
        <v>3.0303</v>
      </c>
      <c r="U391" s="33">
        <f t="shared" si="34"/>
        <v>13</v>
      </c>
    </row>
    <row r="392" spans="1:21" x14ac:dyDescent="0.25">
      <c r="A392" s="1" t="s">
        <v>783</v>
      </c>
      <c r="B392" s="28">
        <v>44245</v>
      </c>
      <c r="C392" s="21" t="str">
        <f t="shared" si="31"/>
        <v>2021</v>
      </c>
      <c r="D392" s="19" t="str">
        <f t="shared" si="32"/>
        <v>February</v>
      </c>
      <c r="E392" s="3" t="s">
        <v>784</v>
      </c>
      <c r="F392" s="3" t="str">
        <f>VLOOKUP(E392,Customers!$A$2:$I$1001,2,0)</f>
        <v>Sloan Diviny</v>
      </c>
      <c r="G392" s="3" t="str">
        <f>VLOOKUP(E392,Customers!$A$2:$I$1001,3,0)</f>
        <v>sdivinyau@ask.com</v>
      </c>
      <c r="H392" s="3" t="str">
        <f>VLOOKUP(E392,Customers!$A$2:$I$1001,4,0)</f>
        <v>UNKNOWN</v>
      </c>
      <c r="I392" s="25" t="str">
        <f>VLOOKUP(E392,Customers!$A$2:$I$1001,6,0)</f>
        <v>Saint Paul</v>
      </c>
      <c r="J392" s="25" t="str">
        <f>VLOOKUP(E392,Customers!$A$2:$I$1001,7,0)</f>
        <v>United States</v>
      </c>
      <c r="K392" s="23" t="str">
        <f>VLOOKUP(E392,Customers!$A$2:$I$1001,9,0)</f>
        <v>Yes</v>
      </c>
      <c r="L392" s="4" t="s">
        <v>16</v>
      </c>
      <c r="M392" s="4" t="str">
        <f>VLOOKUP(L392,Products!$A$2:$G$49,2,0)</f>
        <v>Excelsa</v>
      </c>
      <c r="N392" s="4" t="str">
        <f>VLOOKUP(L392,Products!$A$2:$G$49,3,0)</f>
        <v>Dark</v>
      </c>
      <c r="O392" s="25">
        <v>2</v>
      </c>
      <c r="P392" s="5">
        <f>INDEX([1]products!$A$1:$G$49,MATCH([1]orders!$D392,[1]products!$A$1:$A$49,0),MATCH([1]orders!K$1,[1]products!$A$1:$G$1,0))</f>
        <v>0.5</v>
      </c>
      <c r="Q392" s="6">
        <f>INDEX([1]products!$A$1:$G$49,MATCH([1]orders!$D392,[1]products!$A$1:$A$49,0),MATCH([1]orders!L$1,[1]products!$A$1:$G$1,0))</f>
        <v>7.29</v>
      </c>
      <c r="R392" s="6">
        <f t="shared" si="30"/>
        <v>14.58</v>
      </c>
      <c r="S392">
        <f>VLOOKUP(L392,Products!$A$2:$G$49,7,0)</f>
        <v>0.80190000000000006</v>
      </c>
      <c r="T392">
        <f t="shared" si="33"/>
        <v>1.6038000000000001</v>
      </c>
      <c r="U392" s="33">
        <f t="shared" si="34"/>
        <v>11</v>
      </c>
    </row>
    <row r="393" spans="1:21" x14ac:dyDescent="0.25">
      <c r="A393" s="1" t="s">
        <v>785</v>
      </c>
      <c r="B393" s="28">
        <v>44133</v>
      </c>
      <c r="C393" s="21" t="str">
        <f t="shared" si="31"/>
        <v>2020</v>
      </c>
      <c r="D393" s="19" t="str">
        <f t="shared" si="32"/>
        <v>October</v>
      </c>
      <c r="E393" s="3" t="s">
        <v>786</v>
      </c>
      <c r="F393" s="3" t="str">
        <f>VLOOKUP(E393,Customers!$A$2:$I$1001,2,0)</f>
        <v>Itch Norquoy</v>
      </c>
      <c r="G393" s="3" t="str">
        <f>VLOOKUP(E393,Customers!$A$2:$I$1001,3,0)</f>
        <v>inorquoyav@businessweek.com</v>
      </c>
      <c r="H393" s="3" t="str">
        <f>VLOOKUP(E393,Customers!$A$2:$I$1001,4,0)</f>
        <v>UNKNOWN</v>
      </c>
      <c r="I393" s="25" t="str">
        <f>VLOOKUP(E393,Customers!$A$2:$I$1001,6,0)</f>
        <v>Minneapolis</v>
      </c>
      <c r="J393" s="25" t="str">
        <f>VLOOKUP(E393,Customers!$A$2:$I$1001,7,0)</f>
        <v>United States</v>
      </c>
      <c r="K393" s="23" t="str">
        <f>VLOOKUP(E393,Customers!$A$2:$I$1001,9,0)</f>
        <v>No</v>
      </c>
      <c r="L393" s="4" t="s">
        <v>67</v>
      </c>
      <c r="M393" s="4" t="str">
        <f>VLOOKUP(L393,Products!$A$2:$G$49,2,0)</f>
        <v>Arabica</v>
      </c>
      <c r="N393" s="4" t="str">
        <f>VLOOKUP(L393,Products!$A$2:$G$49,3,0)</f>
        <v>Medium</v>
      </c>
      <c r="O393" s="25">
        <v>2</v>
      </c>
      <c r="P393" s="5">
        <f>INDEX([1]products!$A$1:$G$49,MATCH([1]orders!$D393,[1]products!$A$1:$A$49,0),MATCH([1]orders!K$1,[1]products!$A$1:$G$1,0))</f>
        <v>0.5</v>
      </c>
      <c r="Q393" s="6">
        <f>INDEX([1]products!$A$1:$G$49,MATCH([1]orders!$D393,[1]products!$A$1:$A$49,0),MATCH([1]orders!L$1,[1]products!$A$1:$G$1,0))</f>
        <v>6.75</v>
      </c>
      <c r="R393" s="6">
        <f t="shared" si="30"/>
        <v>13.5</v>
      </c>
      <c r="S393">
        <f>VLOOKUP(L393,Products!$A$2:$G$49,7,0)</f>
        <v>0.60749999999999993</v>
      </c>
      <c r="T393">
        <f t="shared" si="33"/>
        <v>1.2149999999999999</v>
      </c>
      <c r="U393" s="33">
        <f t="shared" si="34"/>
        <v>8.9999999999999982</v>
      </c>
    </row>
    <row r="394" spans="1:21" x14ac:dyDescent="0.25">
      <c r="A394" s="1" t="s">
        <v>787</v>
      </c>
      <c r="B394" s="28">
        <v>44445</v>
      </c>
      <c r="C394" s="21" t="str">
        <f t="shared" si="31"/>
        <v>2021</v>
      </c>
      <c r="D394" s="19" t="str">
        <f t="shared" si="32"/>
        <v>September</v>
      </c>
      <c r="E394" s="3" t="s">
        <v>788</v>
      </c>
      <c r="F394" s="3" t="str">
        <f>VLOOKUP(E394,Customers!$A$2:$I$1001,2,0)</f>
        <v>Anson Iddison</v>
      </c>
      <c r="G394" s="3" t="str">
        <f>VLOOKUP(E394,Customers!$A$2:$I$1001,3,0)</f>
        <v>aiddisonaw@usa.gov</v>
      </c>
      <c r="H394" s="3" t="str">
        <f>VLOOKUP(E394,Customers!$A$2:$I$1001,4,0)</f>
        <v>+1 (714) 658-0310</v>
      </c>
      <c r="I394" s="25" t="str">
        <f>VLOOKUP(E394,Customers!$A$2:$I$1001,6,0)</f>
        <v>Santa Ana</v>
      </c>
      <c r="J394" s="25" t="str">
        <f>VLOOKUP(E394,Customers!$A$2:$I$1001,7,0)</f>
        <v>United States</v>
      </c>
      <c r="K394" s="23" t="str">
        <f>VLOOKUP(E394,Customers!$A$2:$I$1001,9,0)</f>
        <v>No</v>
      </c>
      <c r="L394" s="4" t="s">
        <v>137</v>
      </c>
      <c r="M394" s="4" t="str">
        <f>VLOOKUP(L394,Products!$A$2:$G$49,2,0)</f>
        <v>Excelsa</v>
      </c>
      <c r="N394" s="4" t="str">
        <f>VLOOKUP(L394,Products!$A$2:$G$49,3,0)</f>
        <v>Light</v>
      </c>
      <c r="O394" s="25">
        <v>6</v>
      </c>
      <c r="P394" s="5">
        <f>INDEX([1]products!$A$1:$G$49,MATCH([1]orders!$D394,[1]products!$A$1:$A$49,0),MATCH([1]orders!K$1,[1]products!$A$1:$G$1,0))</f>
        <v>1</v>
      </c>
      <c r="Q394" s="6">
        <f>INDEX([1]products!$A$1:$G$49,MATCH([1]orders!$D394,[1]products!$A$1:$A$49,0),MATCH([1]orders!L$1,[1]products!$A$1:$G$1,0))</f>
        <v>14.85</v>
      </c>
      <c r="R394" s="6">
        <f t="shared" si="30"/>
        <v>89.1</v>
      </c>
      <c r="S394">
        <f>VLOOKUP(L394,Products!$A$2:$G$49,7,0)</f>
        <v>1.6335</v>
      </c>
      <c r="T394">
        <f t="shared" si="33"/>
        <v>9.8010000000000002</v>
      </c>
      <c r="U394" s="33">
        <f t="shared" si="34"/>
        <v>11.000000000000002</v>
      </c>
    </row>
    <row r="395" spans="1:21" x14ac:dyDescent="0.25">
      <c r="A395" s="1" t="s">
        <v>787</v>
      </c>
      <c r="B395" s="28">
        <v>44445</v>
      </c>
      <c r="C395" s="21" t="str">
        <f t="shared" si="31"/>
        <v>2021</v>
      </c>
      <c r="D395" s="19" t="str">
        <f t="shared" si="32"/>
        <v>September</v>
      </c>
      <c r="E395" s="3" t="s">
        <v>788</v>
      </c>
      <c r="F395" s="3" t="str">
        <f>VLOOKUP(E395,Customers!$A$2:$I$1001,2,0)</f>
        <v>Anson Iddison</v>
      </c>
      <c r="G395" s="3" t="str">
        <f>VLOOKUP(E395,Customers!$A$2:$I$1001,3,0)</f>
        <v>aiddisonaw@usa.gov</v>
      </c>
      <c r="H395" s="3" t="str">
        <f>VLOOKUP(E395,Customers!$A$2:$I$1001,4,0)</f>
        <v>+1 (714) 658-0310</v>
      </c>
      <c r="I395" s="25" t="str">
        <f>VLOOKUP(E395,Customers!$A$2:$I$1001,6,0)</f>
        <v>Santa Ana</v>
      </c>
      <c r="J395" s="25" t="str">
        <f>VLOOKUP(E395,Customers!$A$2:$I$1001,7,0)</f>
        <v>United States</v>
      </c>
      <c r="K395" s="23" t="str">
        <f>VLOOKUP(E395,Customers!$A$2:$I$1001,9,0)</f>
        <v>No</v>
      </c>
      <c r="L395" s="4" t="s">
        <v>115</v>
      </c>
      <c r="M395" s="4" t="str">
        <f>VLOOKUP(L395,Products!$A$2:$G$49,2,0)</f>
        <v>Arabica</v>
      </c>
      <c r="N395" s="4" t="str">
        <f>VLOOKUP(L395,Products!$A$2:$G$49,3,0)</f>
        <v>Light</v>
      </c>
      <c r="O395" s="25">
        <v>1</v>
      </c>
      <c r="P395" s="5">
        <f>INDEX([1]products!$A$1:$G$49,MATCH([1]orders!$D395,[1]products!$A$1:$A$49,0),MATCH([1]orders!K$1,[1]products!$A$1:$G$1,0))</f>
        <v>0.2</v>
      </c>
      <c r="Q395" s="6">
        <f>INDEX([1]products!$A$1:$G$49,MATCH([1]orders!$D395,[1]products!$A$1:$A$49,0),MATCH([1]orders!L$1,[1]products!$A$1:$G$1,0))</f>
        <v>3.8849999999999998</v>
      </c>
      <c r="R395" s="6">
        <f t="shared" si="30"/>
        <v>3.8849999999999998</v>
      </c>
      <c r="S395">
        <f>VLOOKUP(L395,Products!$A$2:$G$49,7,0)</f>
        <v>0.34964999999999996</v>
      </c>
      <c r="T395">
        <f t="shared" si="33"/>
        <v>0.34964999999999996</v>
      </c>
      <c r="U395" s="33">
        <f t="shared" si="34"/>
        <v>9</v>
      </c>
    </row>
    <row r="396" spans="1:21" x14ac:dyDescent="0.25">
      <c r="A396" s="1" t="s">
        <v>789</v>
      </c>
      <c r="B396" s="28">
        <v>44083</v>
      </c>
      <c r="C396" s="21" t="str">
        <f t="shared" si="31"/>
        <v>2020</v>
      </c>
      <c r="D396" s="19" t="str">
        <f t="shared" si="32"/>
        <v>September</v>
      </c>
      <c r="E396" s="3" t="s">
        <v>790</v>
      </c>
      <c r="F396" s="3" t="str">
        <f>VLOOKUP(E396,Customers!$A$2:$I$1001,2,0)</f>
        <v>Randal Longfield</v>
      </c>
      <c r="G396" s="3" t="str">
        <f>VLOOKUP(E396,Customers!$A$2:$I$1001,3,0)</f>
        <v>rlongfielday@bluehost.com</v>
      </c>
      <c r="H396" s="3" t="str">
        <f>VLOOKUP(E396,Customers!$A$2:$I$1001,4,0)</f>
        <v>+1 (612) 210-6966</v>
      </c>
      <c r="I396" s="25" t="str">
        <f>VLOOKUP(E396,Customers!$A$2:$I$1001,6,0)</f>
        <v>Minneapolis</v>
      </c>
      <c r="J396" s="25" t="str">
        <f>VLOOKUP(E396,Customers!$A$2:$I$1001,7,0)</f>
        <v>United States</v>
      </c>
      <c r="K396" s="23" t="str">
        <f>VLOOKUP(E396,Customers!$A$2:$I$1001,9,0)</f>
        <v>No</v>
      </c>
      <c r="L396" s="4" t="s">
        <v>10</v>
      </c>
      <c r="M396" s="4" t="str">
        <f>VLOOKUP(L396,Products!$A$2:$G$49,2,0)</f>
        <v>Robusta</v>
      </c>
      <c r="N396" s="4" t="str">
        <f>VLOOKUP(L396,Products!$A$2:$G$49,3,0)</f>
        <v>Light</v>
      </c>
      <c r="O396" s="25">
        <v>4</v>
      </c>
      <c r="P396" s="5">
        <f>INDEX([1]products!$A$1:$G$49,MATCH([1]orders!$D396,[1]products!$A$1:$A$49,0),MATCH([1]orders!K$1,[1]products!$A$1:$G$1,0))</f>
        <v>2.5</v>
      </c>
      <c r="Q396" s="6">
        <f>INDEX([1]products!$A$1:$G$49,MATCH([1]orders!$D396,[1]products!$A$1:$A$49,0),MATCH([1]orders!L$1,[1]products!$A$1:$G$1,0))</f>
        <v>27.484999999999996</v>
      </c>
      <c r="R396" s="6">
        <f t="shared" si="30"/>
        <v>109.93999999999998</v>
      </c>
      <c r="S396">
        <f>VLOOKUP(L396,Products!$A$2:$G$49,7,0)</f>
        <v>1.6490999999999998</v>
      </c>
      <c r="T396">
        <f t="shared" si="33"/>
        <v>6.5963999999999992</v>
      </c>
      <c r="U396" s="33">
        <f t="shared" si="34"/>
        <v>6.0000000000000009</v>
      </c>
    </row>
    <row r="397" spans="1:21" x14ac:dyDescent="0.25">
      <c r="A397" s="1" t="s">
        <v>791</v>
      </c>
      <c r="B397" s="28">
        <v>44465</v>
      </c>
      <c r="C397" s="21" t="str">
        <f t="shared" si="31"/>
        <v>2021</v>
      </c>
      <c r="D397" s="19" t="str">
        <f t="shared" si="32"/>
        <v>September</v>
      </c>
      <c r="E397" s="3" t="s">
        <v>792</v>
      </c>
      <c r="F397" s="3" t="str">
        <f>VLOOKUP(E397,Customers!$A$2:$I$1001,2,0)</f>
        <v>Gregorius Kislingbury</v>
      </c>
      <c r="G397" s="3" t="str">
        <f>VLOOKUP(E397,Customers!$A$2:$I$1001,3,0)</f>
        <v>gkislingburyaz@samsung.com</v>
      </c>
      <c r="H397" s="3" t="str">
        <f>VLOOKUP(E397,Customers!$A$2:$I$1001,4,0)</f>
        <v>UNKNOWN</v>
      </c>
      <c r="I397" s="25" t="str">
        <f>VLOOKUP(E397,Customers!$A$2:$I$1001,6,0)</f>
        <v>Washington</v>
      </c>
      <c r="J397" s="25" t="str">
        <f>VLOOKUP(E397,Customers!$A$2:$I$1001,7,0)</f>
        <v>United States</v>
      </c>
      <c r="K397" s="23" t="str">
        <f>VLOOKUP(E397,Customers!$A$2:$I$1001,9,0)</f>
        <v>Yes</v>
      </c>
      <c r="L397" s="4" t="s">
        <v>123</v>
      </c>
      <c r="M397" s="4" t="str">
        <f>VLOOKUP(L397,Products!$A$2:$G$49,2,0)</f>
        <v>Liberica</v>
      </c>
      <c r="N397" s="4" t="str">
        <f>VLOOKUP(L397,Products!$A$2:$G$49,3,0)</f>
        <v>Dark</v>
      </c>
      <c r="O397" s="25">
        <v>6</v>
      </c>
      <c r="P397" s="5">
        <f>INDEX([1]products!$A$1:$G$49,MATCH([1]orders!$D397,[1]products!$A$1:$A$49,0),MATCH([1]orders!K$1,[1]products!$A$1:$G$1,0))</f>
        <v>0.5</v>
      </c>
      <c r="Q397" s="6">
        <f>INDEX([1]products!$A$1:$G$49,MATCH([1]orders!$D397,[1]products!$A$1:$A$49,0),MATCH([1]orders!L$1,[1]products!$A$1:$G$1,0))</f>
        <v>7.77</v>
      </c>
      <c r="R397" s="6">
        <f t="shared" si="30"/>
        <v>46.62</v>
      </c>
      <c r="S397">
        <f>VLOOKUP(L397,Products!$A$2:$G$49,7,0)</f>
        <v>1.0101</v>
      </c>
      <c r="T397">
        <f t="shared" si="33"/>
        <v>6.0606</v>
      </c>
      <c r="U397" s="33">
        <f t="shared" si="34"/>
        <v>13</v>
      </c>
    </row>
    <row r="398" spans="1:21" x14ac:dyDescent="0.25">
      <c r="A398" s="1" t="s">
        <v>793</v>
      </c>
      <c r="B398" s="28">
        <v>44140</v>
      </c>
      <c r="C398" s="21" t="str">
        <f t="shared" si="31"/>
        <v>2020</v>
      </c>
      <c r="D398" s="19" t="str">
        <f t="shared" si="32"/>
        <v>November</v>
      </c>
      <c r="E398" s="3" t="s">
        <v>794</v>
      </c>
      <c r="F398" s="3" t="str">
        <f>VLOOKUP(E398,Customers!$A$2:$I$1001,2,0)</f>
        <v>Xenos Gibbons</v>
      </c>
      <c r="G398" s="3" t="str">
        <f>VLOOKUP(E398,Customers!$A$2:$I$1001,3,0)</f>
        <v>xgibbonsb0@artisteer.com</v>
      </c>
      <c r="H398" s="3" t="str">
        <f>VLOOKUP(E398,Customers!$A$2:$I$1001,4,0)</f>
        <v>+1 (909) 614-0008</v>
      </c>
      <c r="I398" s="25" t="str">
        <f>VLOOKUP(E398,Customers!$A$2:$I$1001,6,0)</f>
        <v>San Bernardino</v>
      </c>
      <c r="J398" s="25" t="str">
        <f>VLOOKUP(E398,Customers!$A$2:$I$1001,7,0)</f>
        <v>United States</v>
      </c>
      <c r="K398" s="23" t="str">
        <f>VLOOKUP(E398,Customers!$A$2:$I$1001,9,0)</f>
        <v>No</v>
      </c>
      <c r="L398" s="4" t="s">
        <v>192</v>
      </c>
      <c r="M398" s="4" t="str">
        <f>VLOOKUP(L398,Products!$A$2:$G$49,2,0)</f>
        <v>Arabica</v>
      </c>
      <c r="N398" s="4" t="str">
        <f>VLOOKUP(L398,Products!$A$2:$G$49,3,0)</f>
        <v>Light</v>
      </c>
      <c r="O398" s="25">
        <v>5</v>
      </c>
      <c r="P398" s="5">
        <f>INDEX([1]products!$A$1:$G$49,MATCH([1]orders!$D398,[1]products!$A$1:$A$49,0),MATCH([1]orders!K$1,[1]products!$A$1:$G$1,0))</f>
        <v>0.5</v>
      </c>
      <c r="Q398" s="6">
        <f>INDEX([1]products!$A$1:$G$49,MATCH([1]orders!$D398,[1]products!$A$1:$A$49,0),MATCH([1]orders!L$1,[1]products!$A$1:$G$1,0))</f>
        <v>7.77</v>
      </c>
      <c r="R398" s="6">
        <f t="shared" si="30"/>
        <v>38.849999999999994</v>
      </c>
      <c r="S398">
        <f>VLOOKUP(L398,Products!$A$2:$G$49,7,0)</f>
        <v>0.69929999999999992</v>
      </c>
      <c r="T398">
        <f t="shared" si="33"/>
        <v>3.4964999999999997</v>
      </c>
      <c r="U398" s="33">
        <f t="shared" si="34"/>
        <v>9.0000000000000018</v>
      </c>
    </row>
    <row r="399" spans="1:21" x14ac:dyDescent="0.25">
      <c r="A399" s="1" t="s">
        <v>795</v>
      </c>
      <c r="B399" s="28">
        <v>43720</v>
      </c>
      <c r="C399" s="21" t="str">
        <f t="shared" si="31"/>
        <v>2019</v>
      </c>
      <c r="D399" s="19" t="str">
        <f t="shared" si="32"/>
        <v>September</v>
      </c>
      <c r="E399" s="3" t="s">
        <v>796</v>
      </c>
      <c r="F399" s="3" t="str">
        <f>VLOOKUP(E399,Customers!$A$2:$I$1001,2,0)</f>
        <v>Fleur Parres</v>
      </c>
      <c r="G399" s="3" t="str">
        <f>VLOOKUP(E399,Customers!$A$2:$I$1001,3,0)</f>
        <v>fparresb1@imageshack.us</v>
      </c>
      <c r="H399" s="3" t="str">
        <f>VLOOKUP(E399,Customers!$A$2:$I$1001,4,0)</f>
        <v>+1 (585) 672-4256</v>
      </c>
      <c r="I399" s="25" t="str">
        <f>VLOOKUP(E399,Customers!$A$2:$I$1001,6,0)</f>
        <v>Rochester</v>
      </c>
      <c r="J399" s="25" t="str">
        <f>VLOOKUP(E399,Customers!$A$2:$I$1001,7,0)</f>
        <v>United States</v>
      </c>
      <c r="K399" s="23" t="str">
        <f>VLOOKUP(E399,Customers!$A$2:$I$1001,9,0)</f>
        <v>Yes</v>
      </c>
      <c r="L399" s="4" t="s">
        <v>123</v>
      </c>
      <c r="M399" s="4" t="str">
        <f>VLOOKUP(L399,Products!$A$2:$G$49,2,0)</f>
        <v>Liberica</v>
      </c>
      <c r="N399" s="4" t="str">
        <f>VLOOKUP(L399,Products!$A$2:$G$49,3,0)</f>
        <v>Dark</v>
      </c>
      <c r="O399" s="25">
        <v>4</v>
      </c>
      <c r="P399" s="5">
        <f>INDEX([1]products!$A$1:$G$49,MATCH([1]orders!$D399,[1]products!$A$1:$A$49,0),MATCH([1]orders!K$1,[1]products!$A$1:$G$1,0))</f>
        <v>0.5</v>
      </c>
      <c r="Q399" s="6">
        <f>INDEX([1]products!$A$1:$G$49,MATCH([1]orders!$D399,[1]products!$A$1:$A$49,0),MATCH([1]orders!L$1,[1]products!$A$1:$G$1,0))</f>
        <v>7.77</v>
      </c>
      <c r="R399" s="6">
        <f t="shared" si="30"/>
        <v>31.08</v>
      </c>
      <c r="S399">
        <f>VLOOKUP(L399,Products!$A$2:$G$49,7,0)</f>
        <v>1.0101</v>
      </c>
      <c r="T399">
        <f t="shared" si="33"/>
        <v>4.0404</v>
      </c>
      <c r="U399" s="33">
        <f t="shared" si="34"/>
        <v>13</v>
      </c>
    </row>
    <row r="400" spans="1:21" x14ac:dyDescent="0.25">
      <c r="A400" s="1" t="s">
        <v>797</v>
      </c>
      <c r="B400" s="28">
        <v>43677</v>
      </c>
      <c r="C400" s="21" t="str">
        <f t="shared" si="31"/>
        <v>2019</v>
      </c>
      <c r="D400" s="19" t="str">
        <f t="shared" si="32"/>
        <v>July</v>
      </c>
      <c r="E400" s="3" t="s">
        <v>798</v>
      </c>
      <c r="F400" s="3" t="str">
        <f>VLOOKUP(E400,Customers!$A$2:$I$1001,2,0)</f>
        <v>Gran Sibray</v>
      </c>
      <c r="G400" s="3" t="str">
        <f>VLOOKUP(E400,Customers!$A$2:$I$1001,3,0)</f>
        <v>gsibrayb2@wsj.com</v>
      </c>
      <c r="H400" s="3" t="str">
        <f>VLOOKUP(E400,Customers!$A$2:$I$1001,4,0)</f>
        <v>+1 (360) 389-5295</v>
      </c>
      <c r="I400" s="25" t="str">
        <f>VLOOKUP(E400,Customers!$A$2:$I$1001,6,0)</f>
        <v>Vancouver</v>
      </c>
      <c r="J400" s="25" t="str">
        <f>VLOOKUP(E400,Customers!$A$2:$I$1001,7,0)</f>
        <v>United States</v>
      </c>
      <c r="K400" s="23" t="str">
        <f>VLOOKUP(E400,Customers!$A$2:$I$1001,9,0)</f>
        <v>Yes</v>
      </c>
      <c r="L400" s="4" t="s">
        <v>54</v>
      </c>
      <c r="M400" s="4" t="str">
        <f>VLOOKUP(L400,Products!$A$2:$G$49,2,0)</f>
        <v>Arabica</v>
      </c>
      <c r="N400" s="4" t="str">
        <f>VLOOKUP(L400,Products!$A$2:$G$49,3,0)</f>
        <v>Dark</v>
      </c>
      <c r="O400" s="25">
        <v>6</v>
      </c>
      <c r="P400" s="5">
        <f>INDEX([1]products!$A$1:$G$49,MATCH([1]orders!$D400,[1]products!$A$1:$A$49,0),MATCH([1]orders!K$1,[1]products!$A$1:$G$1,0))</f>
        <v>0.2</v>
      </c>
      <c r="Q400" s="6">
        <f>INDEX([1]products!$A$1:$G$49,MATCH([1]orders!$D400,[1]products!$A$1:$A$49,0),MATCH([1]orders!L$1,[1]products!$A$1:$G$1,0))</f>
        <v>2.9849999999999999</v>
      </c>
      <c r="R400" s="6">
        <f t="shared" si="30"/>
        <v>17.91</v>
      </c>
      <c r="S400">
        <f>VLOOKUP(L400,Products!$A$2:$G$49,7,0)</f>
        <v>0.26865</v>
      </c>
      <c r="T400">
        <f t="shared" si="33"/>
        <v>1.6118999999999999</v>
      </c>
      <c r="U400" s="33">
        <f t="shared" si="34"/>
        <v>9</v>
      </c>
    </row>
    <row r="401" spans="1:21" x14ac:dyDescent="0.25">
      <c r="A401" s="1" t="s">
        <v>799</v>
      </c>
      <c r="B401" s="28">
        <v>43539</v>
      </c>
      <c r="C401" s="21" t="str">
        <f t="shared" si="31"/>
        <v>2019</v>
      </c>
      <c r="D401" s="19" t="str">
        <f t="shared" si="32"/>
        <v>March</v>
      </c>
      <c r="E401" s="3" t="s">
        <v>800</v>
      </c>
      <c r="F401" s="3" t="str">
        <f>VLOOKUP(E401,Customers!$A$2:$I$1001,2,0)</f>
        <v>Ingelbert Hotchkin</v>
      </c>
      <c r="G401" s="3" t="str">
        <f>VLOOKUP(E401,Customers!$A$2:$I$1001,3,0)</f>
        <v>ihotchkinb3@mit.edu</v>
      </c>
      <c r="H401" s="3" t="str">
        <f>VLOOKUP(E401,Customers!$A$2:$I$1001,4,0)</f>
        <v>+44 (387) 464-9544</v>
      </c>
      <c r="I401" s="25" t="str">
        <f>VLOOKUP(E401,Customers!$A$2:$I$1001,6,0)</f>
        <v>Preston</v>
      </c>
      <c r="J401" s="25" t="str">
        <f>VLOOKUP(E401,Customers!$A$2:$I$1001,7,0)</f>
        <v>United Kingdom</v>
      </c>
      <c r="K401" s="23" t="str">
        <f>VLOOKUP(E401,Customers!$A$2:$I$1001,9,0)</f>
        <v>No</v>
      </c>
      <c r="L401" s="4" t="s">
        <v>530</v>
      </c>
      <c r="M401" s="4" t="str">
        <f>VLOOKUP(L401,Products!$A$2:$G$49,2,0)</f>
        <v>Excelsa</v>
      </c>
      <c r="N401" s="4" t="str">
        <f>VLOOKUP(L401,Products!$A$2:$G$49,3,0)</f>
        <v>Dark</v>
      </c>
      <c r="O401" s="25">
        <v>6</v>
      </c>
      <c r="P401" s="5">
        <f>INDEX([1]products!$A$1:$G$49,MATCH([1]orders!$D401,[1]products!$A$1:$A$49,0),MATCH([1]orders!K$1,[1]products!$A$1:$G$1,0))</f>
        <v>2.5</v>
      </c>
      <c r="Q401" s="6">
        <f>INDEX([1]products!$A$1:$G$49,MATCH([1]orders!$D401,[1]products!$A$1:$A$49,0),MATCH([1]orders!L$1,[1]products!$A$1:$G$1,0))</f>
        <v>27.945</v>
      </c>
      <c r="R401" s="6">
        <f t="shared" si="30"/>
        <v>167.67000000000002</v>
      </c>
      <c r="S401">
        <f>VLOOKUP(L401,Products!$A$2:$G$49,7,0)</f>
        <v>3.07395</v>
      </c>
      <c r="T401">
        <f t="shared" si="33"/>
        <v>18.4437</v>
      </c>
      <c r="U401" s="33">
        <f t="shared" si="34"/>
        <v>10.999999999999998</v>
      </c>
    </row>
    <row r="402" spans="1:21" x14ac:dyDescent="0.25">
      <c r="A402" s="1" t="s">
        <v>801</v>
      </c>
      <c r="B402" s="28">
        <v>44332</v>
      </c>
      <c r="C402" s="21" t="str">
        <f t="shared" si="31"/>
        <v>2021</v>
      </c>
      <c r="D402" s="19" t="str">
        <f t="shared" si="32"/>
        <v>May</v>
      </c>
      <c r="E402" s="3" t="s">
        <v>802</v>
      </c>
      <c r="F402" s="3" t="str">
        <f>VLOOKUP(E402,Customers!$A$2:$I$1001,2,0)</f>
        <v>Neely Broadberrie</v>
      </c>
      <c r="G402" s="3" t="str">
        <f>VLOOKUP(E402,Customers!$A$2:$I$1001,3,0)</f>
        <v>nbroadberrieb4@gnu.org</v>
      </c>
      <c r="H402" s="3" t="str">
        <f>VLOOKUP(E402,Customers!$A$2:$I$1001,4,0)</f>
        <v>+1 (202) 327-2217</v>
      </c>
      <c r="I402" s="25" t="str">
        <f>VLOOKUP(E402,Customers!$A$2:$I$1001,6,0)</f>
        <v>Washington</v>
      </c>
      <c r="J402" s="25" t="str">
        <f>VLOOKUP(E402,Customers!$A$2:$I$1001,7,0)</f>
        <v>United States</v>
      </c>
      <c r="K402" s="23" t="str">
        <f>VLOOKUP(E402,Customers!$A$2:$I$1001,9,0)</f>
        <v>No</v>
      </c>
      <c r="L402" s="4" t="s">
        <v>132</v>
      </c>
      <c r="M402" s="4" t="str">
        <f>VLOOKUP(L402,Products!$A$2:$G$49,2,0)</f>
        <v>Liberica</v>
      </c>
      <c r="N402" s="4" t="str">
        <f>VLOOKUP(L402,Products!$A$2:$G$49,3,0)</f>
        <v>Light</v>
      </c>
      <c r="O402" s="25">
        <v>4</v>
      </c>
      <c r="P402" s="5">
        <f>INDEX([1]products!$A$1:$G$49,MATCH([1]orders!$D402,[1]products!$A$1:$A$49,0),MATCH([1]orders!K$1,[1]products!$A$1:$G$1,0))</f>
        <v>1</v>
      </c>
      <c r="Q402" s="6">
        <f>INDEX([1]products!$A$1:$G$49,MATCH([1]orders!$D402,[1]products!$A$1:$A$49,0),MATCH([1]orders!L$1,[1]products!$A$1:$G$1,0))</f>
        <v>15.85</v>
      </c>
      <c r="R402" s="6">
        <f t="shared" si="30"/>
        <v>63.4</v>
      </c>
      <c r="S402">
        <f>VLOOKUP(L402,Products!$A$2:$G$49,7,0)</f>
        <v>2.0605000000000002</v>
      </c>
      <c r="T402">
        <f t="shared" si="33"/>
        <v>8.2420000000000009</v>
      </c>
      <c r="U402" s="33">
        <f t="shared" si="34"/>
        <v>13</v>
      </c>
    </row>
    <row r="403" spans="1:21" x14ac:dyDescent="0.25">
      <c r="A403" s="1" t="s">
        <v>803</v>
      </c>
      <c r="B403" s="28">
        <v>43591</v>
      </c>
      <c r="C403" s="21" t="str">
        <f t="shared" si="31"/>
        <v>2019</v>
      </c>
      <c r="D403" s="19" t="str">
        <f t="shared" si="32"/>
        <v>May</v>
      </c>
      <c r="E403" s="3" t="s">
        <v>804</v>
      </c>
      <c r="F403" s="3" t="str">
        <f>VLOOKUP(E403,Customers!$A$2:$I$1001,2,0)</f>
        <v>Rutger Pithcock</v>
      </c>
      <c r="G403" s="3" t="str">
        <f>VLOOKUP(E403,Customers!$A$2:$I$1001,3,0)</f>
        <v>rpithcockb5@yellowbook.com</v>
      </c>
      <c r="H403" s="3" t="str">
        <f>VLOOKUP(E403,Customers!$A$2:$I$1001,4,0)</f>
        <v>+1 (865) 655-9540</v>
      </c>
      <c r="I403" s="25" t="str">
        <f>VLOOKUP(E403,Customers!$A$2:$I$1001,6,0)</f>
        <v>Knoxville</v>
      </c>
      <c r="J403" s="25" t="str">
        <f>VLOOKUP(E403,Customers!$A$2:$I$1001,7,0)</f>
        <v>United States</v>
      </c>
      <c r="K403" s="23" t="str">
        <f>VLOOKUP(E403,Customers!$A$2:$I$1001,9,0)</f>
        <v>Yes</v>
      </c>
      <c r="L403" s="4" t="s">
        <v>77</v>
      </c>
      <c r="M403" s="4" t="str">
        <f>VLOOKUP(L403,Products!$A$2:$G$49,2,0)</f>
        <v>Liberica</v>
      </c>
      <c r="N403" s="4" t="str">
        <f>VLOOKUP(L403,Products!$A$2:$G$49,3,0)</f>
        <v>Medium</v>
      </c>
      <c r="O403" s="25">
        <v>2</v>
      </c>
      <c r="P403" s="5">
        <f>INDEX([1]products!$A$1:$G$49,MATCH([1]orders!$D403,[1]products!$A$1:$A$49,0),MATCH([1]orders!K$1,[1]products!$A$1:$G$1,0))</f>
        <v>0.2</v>
      </c>
      <c r="Q403" s="6">
        <f>INDEX([1]products!$A$1:$G$49,MATCH([1]orders!$D403,[1]products!$A$1:$A$49,0),MATCH([1]orders!L$1,[1]products!$A$1:$G$1,0))</f>
        <v>4.3650000000000002</v>
      </c>
      <c r="R403" s="6">
        <f t="shared" si="30"/>
        <v>8.73</v>
      </c>
      <c r="S403">
        <f>VLOOKUP(L403,Products!$A$2:$G$49,7,0)</f>
        <v>0.56745000000000001</v>
      </c>
      <c r="T403">
        <f t="shared" si="33"/>
        <v>1.1349</v>
      </c>
      <c r="U403" s="33">
        <f t="shared" si="34"/>
        <v>13</v>
      </c>
    </row>
    <row r="404" spans="1:21" x14ac:dyDescent="0.25">
      <c r="A404" s="1" t="s">
        <v>805</v>
      </c>
      <c r="B404" s="28">
        <v>43502</v>
      </c>
      <c r="C404" s="21" t="str">
        <f t="shared" si="31"/>
        <v>2019</v>
      </c>
      <c r="D404" s="19" t="str">
        <f t="shared" si="32"/>
        <v>February</v>
      </c>
      <c r="E404" s="3" t="s">
        <v>806</v>
      </c>
      <c r="F404" s="3" t="str">
        <f>VLOOKUP(E404,Customers!$A$2:$I$1001,2,0)</f>
        <v>Gale Croysdale</v>
      </c>
      <c r="G404" s="3" t="str">
        <f>VLOOKUP(E404,Customers!$A$2:$I$1001,3,0)</f>
        <v>gcroysdaleb6@nih.gov</v>
      </c>
      <c r="H404" s="3" t="str">
        <f>VLOOKUP(E404,Customers!$A$2:$I$1001,4,0)</f>
        <v>+1 (304) 384-2939</v>
      </c>
      <c r="I404" s="25" t="str">
        <f>VLOOKUP(E404,Customers!$A$2:$I$1001,6,0)</f>
        <v>Charleston</v>
      </c>
      <c r="J404" s="25" t="str">
        <f>VLOOKUP(E404,Customers!$A$2:$I$1001,7,0)</f>
        <v>United States</v>
      </c>
      <c r="K404" s="23" t="str">
        <f>VLOOKUP(E404,Customers!$A$2:$I$1001,9,0)</f>
        <v>Yes</v>
      </c>
      <c r="L404" s="4" t="s">
        <v>179</v>
      </c>
      <c r="M404" s="4" t="str">
        <f>VLOOKUP(L404,Products!$A$2:$G$49,2,0)</f>
        <v>Robusta</v>
      </c>
      <c r="N404" s="4" t="str">
        <f>VLOOKUP(L404,Products!$A$2:$G$49,3,0)</f>
        <v>Dark</v>
      </c>
      <c r="O404" s="25">
        <v>3</v>
      </c>
      <c r="P404" s="5">
        <f>INDEX([1]products!$A$1:$G$49,MATCH([1]orders!$D404,[1]products!$A$1:$A$49,0),MATCH([1]orders!K$1,[1]products!$A$1:$G$1,0))</f>
        <v>1</v>
      </c>
      <c r="Q404" s="6">
        <f>INDEX([1]products!$A$1:$G$49,MATCH([1]orders!$D404,[1]products!$A$1:$A$49,0),MATCH([1]orders!L$1,[1]products!$A$1:$G$1,0))</f>
        <v>8.9499999999999993</v>
      </c>
      <c r="R404" s="6">
        <f t="shared" si="30"/>
        <v>26.849999999999998</v>
      </c>
      <c r="S404">
        <f>VLOOKUP(L404,Products!$A$2:$G$49,7,0)</f>
        <v>0.53699999999999992</v>
      </c>
      <c r="T404">
        <f t="shared" si="33"/>
        <v>1.6109999999999998</v>
      </c>
      <c r="U404" s="33">
        <f t="shared" si="34"/>
        <v>6</v>
      </c>
    </row>
    <row r="405" spans="1:21" x14ac:dyDescent="0.25">
      <c r="A405" s="1" t="s">
        <v>807</v>
      </c>
      <c r="B405" s="28">
        <v>44295</v>
      </c>
      <c r="C405" s="21" t="str">
        <f t="shared" si="31"/>
        <v>2021</v>
      </c>
      <c r="D405" s="19" t="str">
        <f t="shared" si="32"/>
        <v>April</v>
      </c>
      <c r="E405" s="3" t="s">
        <v>808</v>
      </c>
      <c r="F405" s="3" t="str">
        <f>VLOOKUP(E405,Customers!$A$2:$I$1001,2,0)</f>
        <v>Benedetto Gozzett</v>
      </c>
      <c r="G405" s="3" t="str">
        <f>VLOOKUP(E405,Customers!$A$2:$I$1001,3,0)</f>
        <v>bgozzettb7@github.com</v>
      </c>
      <c r="H405" s="3" t="str">
        <f>VLOOKUP(E405,Customers!$A$2:$I$1001,4,0)</f>
        <v>+1 (214) 700-0229</v>
      </c>
      <c r="I405" s="25" t="str">
        <f>VLOOKUP(E405,Customers!$A$2:$I$1001,6,0)</f>
        <v>Dallas</v>
      </c>
      <c r="J405" s="25" t="str">
        <f>VLOOKUP(E405,Customers!$A$2:$I$1001,7,0)</f>
        <v>United States</v>
      </c>
      <c r="K405" s="23" t="str">
        <f>VLOOKUP(E405,Customers!$A$2:$I$1001,9,0)</f>
        <v>No</v>
      </c>
      <c r="L405" s="4" t="s">
        <v>19</v>
      </c>
      <c r="M405" s="4" t="str">
        <f>VLOOKUP(L405,Products!$A$2:$G$49,2,0)</f>
        <v>Liberica</v>
      </c>
      <c r="N405" s="4" t="str">
        <f>VLOOKUP(L405,Products!$A$2:$G$49,3,0)</f>
        <v>Light</v>
      </c>
      <c r="O405" s="25">
        <v>2</v>
      </c>
      <c r="P405" s="5">
        <f>INDEX([1]products!$A$1:$G$49,MATCH([1]orders!$D405,[1]products!$A$1:$A$49,0),MATCH([1]orders!K$1,[1]products!$A$1:$G$1,0))</f>
        <v>0.2</v>
      </c>
      <c r="Q405" s="6">
        <f>INDEX([1]products!$A$1:$G$49,MATCH([1]orders!$D405,[1]products!$A$1:$A$49,0),MATCH([1]orders!L$1,[1]products!$A$1:$G$1,0))</f>
        <v>4.7549999999999999</v>
      </c>
      <c r="R405" s="6">
        <f t="shared" si="30"/>
        <v>9.51</v>
      </c>
      <c r="S405">
        <f>VLOOKUP(L405,Products!$A$2:$G$49,7,0)</f>
        <v>0.61814999999999998</v>
      </c>
      <c r="T405">
        <f t="shared" si="33"/>
        <v>1.2363</v>
      </c>
      <c r="U405" s="33">
        <f t="shared" si="34"/>
        <v>13</v>
      </c>
    </row>
    <row r="406" spans="1:21" x14ac:dyDescent="0.25">
      <c r="A406" s="1" t="s">
        <v>809</v>
      </c>
      <c r="B406" s="28">
        <v>43971</v>
      </c>
      <c r="C406" s="21" t="str">
        <f t="shared" si="31"/>
        <v>2020</v>
      </c>
      <c r="D406" s="19" t="str">
        <f t="shared" si="32"/>
        <v>May</v>
      </c>
      <c r="E406" s="3" t="s">
        <v>810</v>
      </c>
      <c r="F406" s="3" t="str">
        <f>VLOOKUP(E406,Customers!$A$2:$I$1001,2,0)</f>
        <v>Tania Craggs</v>
      </c>
      <c r="G406" s="3" t="str">
        <f>VLOOKUP(E406,Customers!$A$2:$I$1001,3,0)</f>
        <v>tcraggsb8@house.gov</v>
      </c>
      <c r="H406" s="3" t="str">
        <f>VLOOKUP(E406,Customers!$A$2:$I$1001,4,0)</f>
        <v>+353 (239) 197-6142</v>
      </c>
      <c r="I406" s="25" t="str">
        <f>VLOOKUP(E406,Customers!$A$2:$I$1001,6,0)</f>
        <v>Whitegate</v>
      </c>
      <c r="J406" s="25" t="str">
        <f>VLOOKUP(E406,Customers!$A$2:$I$1001,7,0)</f>
        <v>Ireland</v>
      </c>
      <c r="K406" s="23" t="str">
        <f>VLOOKUP(E406,Customers!$A$2:$I$1001,9,0)</f>
        <v>No</v>
      </c>
      <c r="L406" s="4" t="s">
        <v>27</v>
      </c>
      <c r="M406" s="4" t="str">
        <f>VLOOKUP(L406,Products!$A$2:$G$49,2,0)</f>
        <v>Arabica</v>
      </c>
      <c r="N406" s="4" t="str">
        <f>VLOOKUP(L406,Products!$A$2:$G$49,3,0)</f>
        <v>Dark</v>
      </c>
      <c r="O406" s="25">
        <v>4</v>
      </c>
      <c r="P406" s="5">
        <f>INDEX([1]products!$A$1:$G$49,MATCH([1]orders!$D406,[1]products!$A$1:$A$49,0),MATCH([1]orders!K$1,[1]products!$A$1:$G$1,0))</f>
        <v>1</v>
      </c>
      <c r="Q406" s="6">
        <f>INDEX([1]products!$A$1:$G$49,MATCH([1]orders!$D406,[1]products!$A$1:$A$49,0),MATCH([1]orders!L$1,[1]products!$A$1:$G$1,0))</f>
        <v>9.9499999999999993</v>
      </c>
      <c r="R406" s="6">
        <f t="shared" si="30"/>
        <v>39.799999999999997</v>
      </c>
      <c r="S406">
        <f>VLOOKUP(L406,Products!$A$2:$G$49,7,0)</f>
        <v>0.89549999999999985</v>
      </c>
      <c r="T406">
        <f t="shared" si="33"/>
        <v>3.5819999999999994</v>
      </c>
      <c r="U406" s="33">
        <f t="shared" si="34"/>
        <v>9</v>
      </c>
    </row>
    <row r="407" spans="1:21" x14ac:dyDescent="0.25">
      <c r="A407" s="1" t="s">
        <v>811</v>
      </c>
      <c r="B407" s="28">
        <v>44167</v>
      </c>
      <c r="C407" s="21" t="str">
        <f t="shared" si="31"/>
        <v>2020</v>
      </c>
      <c r="D407" s="19" t="str">
        <f t="shared" si="32"/>
        <v>December</v>
      </c>
      <c r="E407" s="3" t="s">
        <v>812</v>
      </c>
      <c r="F407" s="3" t="str">
        <f>VLOOKUP(E407,Customers!$A$2:$I$1001,2,0)</f>
        <v>Leonie Cullrford</v>
      </c>
      <c r="G407" s="3" t="str">
        <f>VLOOKUP(E407,Customers!$A$2:$I$1001,3,0)</f>
        <v>lcullrfordb9@xing.com</v>
      </c>
      <c r="H407" s="3" t="str">
        <f>VLOOKUP(E407,Customers!$A$2:$I$1001,4,0)</f>
        <v>+1 (530) 998-9789</v>
      </c>
      <c r="I407" s="25" t="str">
        <f>VLOOKUP(E407,Customers!$A$2:$I$1001,6,0)</f>
        <v>Chico</v>
      </c>
      <c r="J407" s="25" t="str">
        <f>VLOOKUP(E407,Customers!$A$2:$I$1001,7,0)</f>
        <v>United States</v>
      </c>
      <c r="K407" s="23" t="str">
        <f>VLOOKUP(E407,Customers!$A$2:$I$1001,9,0)</f>
        <v>Yes</v>
      </c>
      <c r="L407" s="4" t="s">
        <v>3</v>
      </c>
      <c r="M407" s="4" t="str">
        <f>VLOOKUP(L407,Products!$A$2:$G$49,2,0)</f>
        <v>Excelsa</v>
      </c>
      <c r="N407" s="4" t="str">
        <f>VLOOKUP(L407,Products!$A$2:$G$49,3,0)</f>
        <v>Medium</v>
      </c>
      <c r="O407" s="25">
        <v>3</v>
      </c>
      <c r="P407" s="5">
        <f>INDEX([1]products!$A$1:$G$49,MATCH([1]orders!$D407,[1]products!$A$1:$A$49,0),MATCH([1]orders!K$1,[1]products!$A$1:$G$1,0))</f>
        <v>0.5</v>
      </c>
      <c r="Q407" s="6">
        <f>INDEX([1]products!$A$1:$G$49,MATCH([1]orders!$D407,[1]products!$A$1:$A$49,0),MATCH([1]orders!L$1,[1]products!$A$1:$G$1,0))</f>
        <v>8.25</v>
      </c>
      <c r="R407" s="6">
        <f t="shared" si="30"/>
        <v>24.75</v>
      </c>
      <c r="S407">
        <f>VLOOKUP(L407,Products!$A$2:$G$49,7,0)</f>
        <v>0.90749999999999997</v>
      </c>
      <c r="T407">
        <f t="shared" si="33"/>
        <v>2.7225000000000001</v>
      </c>
      <c r="U407" s="33">
        <f t="shared" si="34"/>
        <v>11</v>
      </c>
    </row>
    <row r="408" spans="1:21" x14ac:dyDescent="0.25">
      <c r="A408" s="1" t="s">
        <v>813</v>
      </c>
      <c r="B408" s="28">
        <v>44416</v>
      </c>
      <c r="C408" s="21" t="str">
        <f t="shared" si="31"/>
        <v>2021</v>
      </c>
      <c r="D408" s="19" t="str">
        <f t="shared" si="32"/>
        <v>August</v>
      </c>
      <c r="E408" s="3" t="s">
        <v>814</v>
      </c>
      <c r="F408" s="3" t="str">
        <f>VLOOKUP(E408,Customers!$A$2:$I$1001,2,0)</f>
        <v>Auguste Rizon</v>
      </c>
      <c r="G408" s="3" t="str">
        <f>VLOOKUP(E408,Customers!$A$2:$I$1001,3,0)</f>
        <v>arizonba@xing.com</v>
      </c>
      <c r="H408" s="3" t="str">
        <f>VLOOKUP(E408,Customers!$A$2:$I$1001,4,0)</f>
        <v>+1 (501) 732-3644</v>
      </c>
      <c r="I408" s="25" t="str">
        <f>VLOOKUP(E408,Customers!$A$2:$I$1001,6,0)</f>
        <v>Little Rock</v>
      </c>
      <c r="J408" s="25" t="str">
        <f>VLOOKUP(E408,Customers!$A$2:$I$1001,7,0)</f>
        <v>United States</v>
      </c>
      <c r="K408" s="23" t="str">
        <f>VLOOKUP(E408,Customers!$A$2:$I$1001,9,0)</f>
        <v>Yes</v>
      </c>
      <c r="L408" s="4" t="s">
        <v>9</v>
      </c>
      <c r="M408" s="4" t="str">
        <f>VLOOKUP(L408,Products!$A$2:$G$49,2,0)</f>
        <v>Excelsa</v>
      </c>
      <c r="N408" s="4" t="str">
        <f>VLOOKUP(L408,Products!$A$2:$G$49,3,0)</f>
        <v>Medium</v>
      </c>
      <c r="O408" s="25">
        <v>5</v>
      </c>
      <c r="P408" s="5">
        <f>INDEX([1]products!$A$1:$G$49,MATCH([1]orders!$D408,[1]products!$A$1:$A$49,0),MATCH([1]orders!K$1,[1]products!$A$1:$G$1,0))</f>
        <v>1</v>
      </c>
      <c r="Q408" s="6">
        <f>INDEX([1]products!$A$1:$G$49,MATCH([1]orders!$D408,[1]products!$A$1:$A$49,0),MATCH([1]orders!L$1,[1]products!$A$1:$G$1,0))</f>
        <v>13.75</v>
      </c>
      <c r="R408" s="6">
        <f t="shared" si="30"/>
        <v>68.75</v>
      </c>
      <c r="S408">
        <f>VLOOKUP(L408,Products!$A$2:$G$49,7,0)</f>
        <v>1.5125</v>
      </c>
      <c r="T408">
        <f t="shared" si="33"/>
        <v>7.5625</v>
      </c>
      <c r="U408" s="33">
        <f t="shared" si="34"/>
        <v>11</v>
      </c>
    </row>
    <row r="409" spans="1:21" x14ac:dyDescent="0.25">
      <c r="A409" s="1" t="s">
        <v>815</v>
      </c>
      <c r="B409" s="28">
        <v>44595</v>
      </c>
      <c r="C409" s="21" t="str">
        <f t="shared" si="31"/>
        <v>2022</v>
      </c>
      <c r="D409" s="19" t="str">
        <f t="shared" si="32"/>
        <v>February</v>
      </c>
      <c r="E409" s="3" t="s">
        <v>816</v>
      </c>
      <c r="F409" s="3" t="str">
        <f>VLOOKUP(E409,Customers!$A$2:$I$1001,2,0)</f>
        <v>Lorin Guerrazzi</v>
      </c>
      <c r="G409" s="3" t="str">
        <f>VLOOKUP(E409,Customers!$A$2:$I$1001,3,0)</f>
        <v>UNKNOWN</v>
      </c>
      <c r="H409" s="3" t="str">
        <f>VLOOKUP(E409,Customers!$A$2:$I$1001,4,0)</f>
        <v>+353 (764) 294-5957</v>
      </c>
      <c r="I409" s="25" t="str">
        <f>VLOOKUP(E409,Customers!$A$2:$I$1001,6,0)</f>
        <v>Balrothery</v>
      </c>
      <c r="J409" s="25" t="str">
        <f>VLOOKUP(E409,Customers!$A$2:$I$1001,7,0)</f>
        <v>Ireland</v>
      </c>
      <c r="K409" s="23" t="str">
        <f>VLOOKUP(E409,Customers!$A$2:$I$1001,9,0)</f>
        <v>No</v>
      </c>
      <c r="L409" s="4" t="s">
        <v>3</v>
      </c>
      <c r="M409" s="4" t="str">
        <f>VLOOKUP(L409,Products!$A$2:$G$49,2,0)</f>
        <v>Excelsa</v>
      </c>
      <c r="N409" s="4" t="str">
        <f>VLOOKUP(L409,Products!$A$2:$G$49,3,0)</f>
        <v>Medium</v>
      </c>
      <c r="O409" s="25">
        <v>6</v>
      </c>
      <c r="P409" s="5">
        <f>INDEX([1]products!$A$1:$G$49,MATCH([1]orders!$D409,[1]products!$A$1:$A$49,0),MATCH([1]orders!K$1,[1]products!$A$1:$G$1,0))</f>
        <v>0.5</v>
      </c>
      <c r="Q409" s="6">
        <f>INDEX([1]products!$A$1:$G$49,MATCH([1]orders!$D409,[1]products!$A$1:$A$49,0),MATCH([1]orders!L$1,[1]products!$A$1:$G$1,0))</f>
        <v>8.25</v>
      </c>
      <c r="R409" s="6">
        <f t="shared" si="30"/>
        <v>49.5</v>
      </c>
      <c r="S409">
        <f>VLOOKUP(L409,Products!$A$2:$G$49,7,0)</f>
        <v>0.90749999999999997</v>
      </c>
      <c r="T409">
        <f t="shared" si="33"/>
        <v>5.4450000000000003</v>
      </c>
      <c r="U409" s="33">
        <f t="shared" si="34"/>
        <v>11</v>
      </c>
    </row>
    <row r="410" spans="1:21" x14ac:dyDescent="0.25">
      <c r="A410" s="1" t="s">
        <v>817</v>
      </c>
      <c r="B410" s="28">
        <v>44659</v>
      </c>
      <c r="C410" s="21" t="str">
        <f t="shared" si="31"/>
        <v>2022</v>
      </c>
      <c r="D410" s="19" t="str">
        <f t="shared" si="32"/>
        <v>April</v>
      </c>
      <c r="E410" s="3" t="s">
        <v>818</v>
      </c>
      <c r="F410" s="3" t="str">
        <f>VLOOKUP(E410,Customers!$A$2:$I$1001,2,0)</f>
        <v>Felice Miell</v>
      </c>
      <c r="G410" s="3" t="str">
        <f>VLOOKUP(E410,Customers!$A$2:$I$1001,3,0)</f>
        <v>fmiellbc@spiegel.de</v>
      </c>
      <c r="H410" s="3" t="str">
        <f>VLOOKUP(E410,Customers!$A$2:$I$1001,4,0)</f>
        <v>+1 (732) 770-5368</v>
      </c>
      <c r="I410" s="25" t="str">
        <f>VLOOKUP(E410,Customers!$A$2:$I$1001,6,0)</f>
        <v>New Brunswick</v>
      </c>
      <c r="J410" s="25" t="str">
        <f>VLOOKUP(E410,Customers!$A$2:$I$1001,7,0)</f>
        <v>United States</v>
      </c>
      <c r="K410" s="23" t="str">
        <f>VLOOKUP(E410,Customers!$A$2:$I$1001,9,0)</f>
        <v>Yes</v>
      </c>
      <c r="L410" s="4" t="s">
        <v>171</v>
      </c>
      <c r="M410" s="4" t="str">
        <f>VLOOKUP(L410,Products!$A$2:$G$49,2,0)</f>
        <v>Arabica</v>
      </c>
      <c r="N410" s="4" t="str">
        <f>VLOOKUP(L410,Products!$A$2:$G$49,3,0)</f>
        <v>Medium</v>
      </c>
      <c r="O410" s="25">
        <v>2</v>
      </c>
      <c r="P410" s="5">
        <f>INDEX([1]products!$A$1:$G$49,MATCH([1]orders!$D410,[1]products!$A$1:$A$49,0),MATCH([1]orders!K$1,[1]products!$A$1:$G$1,0))</f>
        <v>2.5</v>
      </c>
      <c r="Q410" s="6">
        <f>INDEX([1]products!$A$1:$G$49,MATCH([1]orders!$D410,[1]products!$A$1:$A$49,0),MATCH([1]orders!L$1,[1]products!$A$1:$G$1,0))</f>
        <v>25.874999999999996</v>
      </c>
      <c r="R410" s="6">
        <f t="shared" si="30"/>
        <v>51.749999999999993</v>
      </c>
      <c r="S410">
        <f>VLOOKUP(L410,Products!$A$2:$G$49,7,0)</f>
        <v>2.3287499999999994</v>
      </c>
      <c r="T410">
        <f t="shared" si="33"/>
        <v>4.6574999999999989</v>
      </c>
      <c r="U410" s="33">
        <f t="shared" si="34"/>
        <v>9</v>
      </c>
    </row>
    <row r="411" spans="1:21" x14ac:dyDescent="0.25">
      <c r="A411" s="1" t="s">
        <v>819</v>
      </c>
      <c r="B411" s="28">
        <v>44203</v>
      </c>
      <c r="C411" s="21" t="str">
        <f t="shared" si="31"/>
        <v>2021</v>
      </c>
      <c r="D411" s="19" t="str">
        <f t="shared" si="32"/>
        <v>January</v>
      </c>
      <c r="E411" s="3" t="s">
        <v>820</v>
      </c>
      <c r="F411" s="3" t="str">
        <f>VLOOKUP(E411,Customers!$A$2:$I$1001,2,0)</f>
        <v>Hamish Skeech</v>
      </c>
      <c r="G411" s="3" t="str">
        <f>VLOOKUP(E411,Customers!$A$2:$I$1001,3,0)</f>
        <v>UNKNOWN</v>
      </c>
      <c r="H411" s="3" t="str">
        <f>VLOOKUP(E411,Customers!$A$2:$I$1001,4,0)</f>
        <v>+353 (677) 415-3920</v>
      </c>
      <c r="I411" s="25" t="str">
        <f>VLOOKUP(E411,Customers!$A$2:$I$1001,6,0)</f>
        <v>Valleymount</v>
      </c>
      <c r="J411" s="25" t="str">
        <f>VLOOKUP(E411,Customers!$A$2:$I$1001,7,0)</f>
        <v>Ireland</v>
      </c>
      <c r="K411" s="23" t="str">
        <f>VLOOKUP(E411,Customers!$A$2:$I$1001,9,0)</f>
        <v>Yes</v>
      </c>
      <c r="L411" s="4" t="s">
        <v>132</v>
      </c>
      <c r="M411" s="4" t="str">
        <f>VLOOKUP(L411,Products!$A$2:$G$49,2,0)</f>
        <v>Liberica</v>
      </c>
      <c r="N411" s="4" t="str">
        <f>VLOOKUP(L411,Products!$A$2:$G$49,3,0)</f>
        <v>Light</v>
      </c>
      <c r="O411" s="25">
        <v>3</v>
      </c>
      <c r="P411" s="5">
        <f>INDEX([1]products!$A$1:$G$49,MATCH([1]orders!$D411,[1]products!$A$1:$A$49,0),MATCH([1]orders!K$1,[1]products!$A$1:$G$1,0))</f>
        <v>1</v>
      </c>
      <c r="Q411" s="6">
        <f>INDEX([1]products!$A$1:$G$49,MATCH([1]orders!$D411,[1]products!$A$1:$A$49,0),MATCH([1]orders!L$1,[1]products!$A$1:$G$1,0))</f>
        <v>15.85</v>
      </c>
      <c r="R411" s="6">
        <f t="shared" si="30"/>
        <v>47.55</v>
      </c>
      <c r="S411">
        <f>VLOOKUP(L411,Products!$A$2:$G$49,7,0)</f>
        <v>2.0605000000000002</v>
      </c>
      <c r="T411">
        <f t="shared" si="33"/>
        <v>6.1815000000000007</v>
      </c>
      <c r="U411" s="33">
        <f t="shared" si="34"/>
        <v>13.000000000000004</v>
      </c>
    </row>
    <row r="412" spans="1:21" x14ac:dyDescent="0.25">
      <c r="A412" s="1" t="s">
        <v>821</v>
      </c>
      <c r="B412" s="28">
        <v>44441</v>
      </c>
      <c r="C412" s="21" t="str">
        <f t="shared" si="31"/>
        <v>2021</v>
      </c>
      <c r="D412" s="19" t="str">
        <f t="shared" si="32"/>
        <v>September</v>
      </c>
      <c r="E412" s="3" t="s">
        <v>822</v>
      </c>
      <c r="F412" s="3" t="str">
        <f>VLOOKUP(E412,Customers!$A$2:$I$1001,2,0)</f>
        <v>Giordano Lorenzin</v>
      </c>
      <c r="G412" s="3" t="str">
        <f>VLOOKUP(E412,Customers!$A$2:$I$1001,3,0)</f>
        <v>UNKNOWN</v>
      </c>
      <c r="H412" s="3" t="str">
        <f>VLOOKUP(E412,Customers!$A$2:$I$1001,4,0)</f>
        <v>+1 (415) 414-0382</v>
      </c>
      <c r="I412" s="25" t="str">
        <f>VLOOKUP(E412,Customers!$A$2:$I$1001,6,0)</f>
        <v>San Francisco</v>
      </c>
      <c r="J412" s="25" t="str">
        <f>VLOOKUP(E412,Customers!$A$2:$I$1001,7,0)</f>
        <v>United States</v>
      </c>
      <c r="K412" s="23" t="str">
        <f>VLOOKUP(E412,Customers!$A$2:$I$1001,9,0)</f>
        <v>No</v>
      </c>
      <c r="L412" s="4" t="s">
        <v>115</v>
      </c>
      <c r="M412" s="4" t="str">
        <f>VLOOKUP(L412,Products!$A$2:$G$49,2,0)</f>
        <v>Arabica</v>
      </c>
      <c r="N412" s="4" t="str">
        <f>VLOOKUP(L412,Products!$A$2:$G$49,3,0)</f>
        <v>Light</v>
      </c>
      <c r="O412" s="25">
        <v>4</v>
      </c>
      <c r="P412" s="5">
        <f>INDEX([1]products!$A$1:$G$49,MATCH([1]orders!$D412,[1]products!$A$1:$A$49,0),MATCH([1]orders!K$1,[1]products!$A$1:$G$1,0))</f>
        <v>0.2</v>
      </c>
      <c r="Q412" s="6">
        <f>INDEX([1]products!$A$1:$G$49,MATCH([1]orders!$D412,[1]products!$A$1:$A$49,0),MATCH([1]orders!L$1,[1]products!$A$1:$G$1,0))</f>
        <v>3.8849999999999998</v>
      </c>
      <c r="R412" s="6">
        <f t="shared" si="30"/>
        <v>15.54</v>
      </c>
      <c r="S412">
        <f>VLOOKUP(L412,Products!$A$2:$G$49,7,0)</f>
        <v>0.34964999999999996</v>
      </c>
      <c r="T412">
        <f t="shared" si="33"/>
        <v>1.3985999999999998</v>
      </c>
      <c r="U412" s="33">
        <f t="shared" si="34"/>
        <v>9</v>
      </c>
    </row>
    <row r="413" spans="1:21" x14ac:dyDescent="0.25">
      <c r="A413" s="1" t="s">
        <v>823</v>
      </c>
      <c r="B413" s="28">
        <v>44504</v>
      </c>
      <c r="C413" s="21" t="str">
        <f t="shared" si="31"/>
        <v>2021</v>
      </c>
      <c r="D413" s="19" t="str">
        <f t="shared" si="32"/>
        <v>November</v>
      </c>
      <c r="E413" s="3" t="s">
        <v>824</v>
      </c>
      <c r="F413" s="3" t="str">
        <f>VLOOKUP(E413,Customers!$A$2:$I$1001,2,0)</f>
        <v>Harwilll Bishell</v>
      </c>
      <c r="G413" s="3" t="str">
        <f>VLOOKUP(E413,Customers!$A$2:$I$1001,3,0)</f>
        <v>UNKNOWN</v>
      </c>
      <c r="H413" s="3" t="str">
        <f>VLOOKUP(E413,Customers!$A$2:$I$1001,4,0)</f>
        <v>+1 (337) 322-9762</v>
      </c>
      <c r="I413" s="25" t="str">
        <f>VLOOKUP(E413,Customers!$A$2:$I$1001,6,0)</f>
        <v>Lafayette</v>
      </c>
      <c r="J413" s="25" t="str">
        <f>VLOOKUP(E413,Customers!$A$2:$I$1001,7,0)</f>
        <v>United States</v>
      </c>
      <c r="K413" s="23" t="str">
        <f>VLOOKUP(E413,Customers!$A$2:$I$1001,9,0)</f>
        <v>Yes</v>
      </c>
      <c r="L413" s="4" t="s">
        <v>96</v>
      </c>
      <c r="M413" s="4" t="str">
        <f>VLOOKUP(L413,Products!$A$2:$G$49,2,0)</f>
        <v>Liberica</v>
      </c>
      <c r="N413" s="4" t="str">
        <f>VLOOKUP(L413,Products!$A$2:$G$49,3,0)</f>
        <v>Medium</v>
      </c>
      <c r="O413" s="25">
        <v>6</v>
      </c>
      <c r="P413" s="5">
        <f>INDEX([1]products!$A$1:$G$49,MATCH([1]orders!$D413,[1]products!$A$1:$A$49,0),MATCH([1]orders!K$1,[1]products!$A$1:$G$1,0))</f>
        <v>1</v>
      </c>
      <c r="Q413" s="6">
        <f>INDEX([1]products!$A$1:$G$49,MATCH([1]orders!$D413,[1]products!$A$1:$A$49,0),MATCH([1]orders!L$1,[1]products!$A$1:$G$1,0))</f>
        <v>14.55</v>
      </c>
      <c r="R413" s="6">
        <f t="shared" si="30"/>
        <v>87.300000000000011</v>
      </c>
      <c r="S413">
        <f>VLOOKUP(L413,Products!$A$2:$G$49,7,0)</f>
        <v>1.8915000000000002</v>
      </c>
      <c r="T413">
        <f t="shared" si="33"/>
        <v>11.349</v>
      </c>
      <c r="U413" s="33">
        <f t="shared" si="34"/>
        <v>12.999999999999998</v>
      </c>
    </row>
    <row r="414" spans="1:21" x14ac:dyDescent="0.25">
      <c r="A414" s="1" t="s">
        <v>825</v>
      </c>
      <c r="B414" s="28">
        <v>44410</v>
      </c>
      <c r="C414" s="21" t="str">
        <f t="shared" si="31"/>
        <v>2021</v>
      </c>
      <c r="D414" s="19" t="str">
        <f t="shared" si="32"/>
        <v>August</v>
      </c>
      <c r="E414" s="3" t="s">
        <v>826</v>
      </c>
      <c r="F414" s="3" t="str">
        <f>VLOOKUP(E414,Customers!$A$2:$I$1001,2,0)</f>
        <v>Freeland Missenden</v>
      </c>
      <c r="G414" s="3" t="str">
        <f>VLOOKUP(E414,Customers!$A$2:$I$1001,3,0)</f>
        <v>UNKNOWN</v>
      </c>
      <c r="H414" s="3" t="str">
        <f>VLOOKUP(E414,Customers!$A$2:$I$1001,4,0)</f>
        <v>+1 (619) 481-1493</v>
      </c>
      <c r="I414" s="25" t="str">
        <f>VLOOKUP(E414,Customers!$A$2:$I$1001,6,0)</f>
        <v>San Diego</v>
      </c>
      <c r="J414" s="25" t="str">
        <f>VLOOKUP(E414,Customers!$A$2:$I$1001,7,0)</f>
        <v>United States</v>
      </c>
      <c r="K414" s="23" t="str">
        <f>VLOOKUP(E414,Customers!$A$2:$I$1001,9,0)</f>
        <v>Yes</v>
      </c>
      <c r="L414" s="4" t="s">
        <v>61</v>
      </c>
      <c r="M414" s="4" t="str">
        <f>VLOOKUP(L414,Products!$A$2:$G$49,2,0)</f>
        <v>Arabica</v>
      </c>
      <c r="N414" s="4" t="str">
        <f>VLOOKUP(L414,Products!$A$2:$G$49,3,0)</f>
        <v>Medium</v>
      </c>
      <c r="O414" s="25">
        <v>5</v>
      </c>
      <c r="P414" s="5">
        <f>INDEX([1]products!$A$1:$G$49,MATCH([1]orders!$D414,[1]products!$A$1:$A$49,0),MATCH([1]orders!K$1,[1]products!$A$1:$G$1,0))</f>
        <v>1</v>
      </c>
      <c r="Q414" s="6">
        <f>INDEX([1]products!$A$1:$G$49,MATCH([1]orders!$D414,[1]products!$A$1:$A$49,0),MATCH([1]orders!L$1,[1]products!$A$1:$G$1,0))</f>
        <v>11.25</v>
      </c>
      <c r="R414" s="6">
        <f t="shared" si="30"/>
        <v>56.25</v>
      </c>
      <c r="S414">
        <f>VLOOKUP(L414,Products!$A$2:$G$49,7,0)</f>
        <v>1.0125</v>
      </c>
      <c r="T414">
        <f t="shared" si="33"/>
        <v>5.0625</v>
      </c>
      <c r="U414" s="33">
        <f t="shared" si="34"/>
        <v>9</v>
      </c>
    </row>
    <row r="415" spans="1:21" x14ac:dyDescent="0.25">
      <c r="A415" s="1" t="s">
        <v>827</v>
      </c>
      <c r="B415" s="28">
        <v>43857</v>
      </c>
      <c r="C415" s="21" t="str">
        <f t="shared" si="31"/>
        <v>2020</v>
      </c>
      <c r="D415" s="19" t="str">
        <f t="shared" si="32"/>
        <v>January</v>
      </c>
      <c r="E415" s="3" t="s">
        <v>828</v>
      </c>
      <c r="F415" s="3" t="str">
        <f>VLOOKUP(E415,Customers!$A$2:$I$1001,2,0)</f>
        <v>Waylan Springall</v>
      </c>
      <c r="G415" s="3" t="str">
        <f>VLOOKUP(E415,Customers!$A$2:$I$1001,3,0)</f>
        <v>wspringallbh@jugem.jp</v>
      </c>
      <c r="H415" s="3" t="str">
        <f>VLOOKUP(E415,Customers!$A$2:$I$1001,4,0)</f>
        <v>+1 (626) 495-9253</v>
      </c>
      <c r="I415" s="25" t="str">
        <f>VLOOKUP(E415,Customers!$A$2:$I$1001,6,0)</f>
        <v>Alhambra</v>
      </c>
      <c r="J415" s="25" t="str">
        <f>VLOOKUP(E415,Customers!$A$2:$I$1001,7,0)</f>
        <v>United States</v>
      </c>
      <c r="K415" s="23" t="str">
        <f>VLOOKUP(E415,Customers!$A$2:$I$1001,9,0)</f>
        <v>Yes</v>
      </c>
      <c r="L415" s="4" t="s">
        <v>104</v>
      </c>
      <c r="M415" s="4" t="str">
        <f>VLOOKUP(L415,Products!$A$2:$G$49,2,0)</f>
        <v>Liberica</v>
      </c>
      <c r="N415" s="4" t="str">
        <f>VLOOKUP(L415,Products!$A$2:$G$49,3,0)</f>
        <v>Light</v>
      </c>
      <c r="O415" s="25">
        <v>1</v>
      </c>
      <c r="P415" s="5">
        <f>INDEX([1]products!$A$1:$G$49,MATCH([1]orders!$D415,[1]products!$A$1:$A$49,0),MATCH([1]orders!K$1,[1]products!$A$1:$G$1,0))</f>
        <v>2.5</v>
      </c>
      <c r="Q415" s="6">
        <f>INDEX([1]products!$A$1:$G$49,MATCH([1]orders!$D415,[1]products!$A$1:$A$49,0),MATCH([1]orders!L$1,[1]products!$A$1:$G$1,0))</f>
        <v>36.454999999999998</v>
      </c>
      <c r="R415" s="6">
        <f t="shared" si="30"/>
        <v>36.454999999999998</v>
      </c>
      <c r="S415">
        <f>VLOOKUP(L415,Products!$A$2:$G$49,7,0)</f>
        <v>4.7391499999999995</v>
      </c>
      <c r="T415">
        <f t="shared" si="33"/>
        <v>4.7391499999999995</v>
      </c>
      <c r="U415" s="33">
        <f t="shared" si="34"/>
        <v>13</v>
      </c>
    </row>
    <row r="416" spans="1:21" x14ac:dyDescent="0.25">
      <c r="A416" s="1" t="s">
        <v>829</v>
      </c>
      <c r="B416" s="28">
        <v>43802</v>
      </c>
      <c r="C416" s="21" t="str">
        <f t="shared" si="31"/>
        <v>2019</v>
      </c>
      <c r="D416" s="19" t="str">
        <f t="shared" si="32"/>
        <v>December</v>
      </c>
      <c r="E416" s="3" t="s">
        <v>830</v>
      </c>
      <c r="F416" s="3" t="str">
        <f>VLOOKUP(E416,Customers!$A$2:$I$1001,2,0)</f>
        <v>Kiri Avramow</v>
      </c>
      <c r="G416" s="3" t="str">
        <f>VLOOKUP(E416,Customers!$A$2:$I$1001,3,0)</f>
        <v>UNKNOWN</v>
      </c>
      <c r="H416" s="3" t="str">
        <f>VLOOKUP(E416,Customers!$A$2:$I$1001,4,0)</f>
        <v>+1 (903) 801-9492</v>
      </c>
      <c r="I416" s="25" t="str">
        <f>VLOOKUP(E416,Customers!$A$2:$I$1001,6,0)</f>
        <v>Tyler</v>
      </c>
      <c r="J416" s="25" t="str">
        <f>VLOOKUP(E416,Customers!$A$2:$I$1001,7,0)</f>
        <v>United States</v>
      </c>
      <c r="K416" s="23" t="str">
        <f>VLOOKUP(E416,Customers!$A$2:$I$1001,9,0)</f>
        <v>Yes</v>
      </c>
      <c r="L416" s="4" t="s">
        <v>182</v>
      </c>
      <c r="M416" s="4" t="str">
        <f>VLOOKUP(L416,Products!$A$2:$G$49,2,0)</f>
        <v>Robusta</v>
      </c>
      <c r="N416" s="4" t="str">
        <f>VLOOKUP(L416,Products!$A$2:$G$49,3,0)</f>
        <v>Light</v>
      </c>
      <c r="O416" s="25">
        <v>3</v>
      </c>
      <c r="P416" s="5">
        <f>INDEX([1]products!$A$1:$G$49,MATCH([1]orders!$D416,[1]products!$A$1:$A$49,0),MATCH([1]orders!K$1,[1]products!$A$1:$G$1,0))</f>
        <v>0.2</v>
      </c>
      <c r="Q416" s="6">
        <f>INDEX([1]products!$A$1:$G$49,MATCH([1]orders!$D416,[1]products!$A$1:$A$49,0),MATCH([1]orders!L$1,[1]products!$A$1:$G$1,0))</f>
        <v>3.5849999999999995</v>
      </c>
      <c r="R416" s="6">
        <f t="shared" si="30"/>
        <v>10.754999999999999</v>
      </c>
      <c r="S416">
        <f>VLOOKUP(L416,Products!$A$2:$G$49,7,0)</f>
        <v>0.21509999999999996</v>
      </c>
      <c r="T416">
        <f t="shared" si="33"/>
        <v>0.64529999999999987</v>
      </c>
      <c r="U416" s="33">
        <f t="shared" si="34"/>
        <v>5.9999999999999991</v>
      </c>
    </row>
    <row r="417" spans="1:21" x14ac:dyDescent="0.25">
      <c r="A417" s="1" t="s">
        <v>831</v>
      </c>
      <c r="B417" s="28">
        <v>43683</v>
      </c>
      <c r="C417" s="21" t="str">
        <f t="shared" si="31"/>
        <v>2019</v>
      </c>
      <c r="D417" s="19" t="str">
        <f t="shared" si="32"/>
        <v>August</v>
      </c>
      <c r="E417" s="3" t="s">
        <v>832</v>
      </c>
      <c r="F417" s="3" t="str">
        <f>VLOOKUP(E417,Customers!$A$2:$I$1001,2,0)</f>
        <v>Gregg Hawkyens</v>
      </c>
      <c r="G417" s="3" t="str">
        <f>VLOOKUP(E417,Customers!$A$2:$I$1001,3,0)</f>
        <v>ghawkyensbj@census.gov</v>
      </c>
      <c r="H417" s="3" t="str">
        <f>VLOOKUP(E417,Customers!$A$2:$I$1001,4,0)</f>
        <v>UNKNOWN</v>
      </c>
      <c r="I417" s="25" t="str">
        <f>VLOOKUP(E417,Customers!$A$2:$I$1001,6,0)</f>
        <v>Lafayette</v>
      </c>
      <c r="J417" s="25" t="str">
        <f>VLOOKUP(E417,Customers!$A$2:$I$1001,7,0)</f>
        <v>United States</v>
      </c>
      <c r="K417" s="23" t="str">
        <f>VLOOKUP(E417,Customers!$A$2:$I$1001,9,0)</f>
        <v>No</v>
      </c>
      <c r="L417" s="4" t="s">
        <v>162</v>
      </c>
      <c r="M417" s="4" t="str">
        <f>VLOOKUP(L417,Products!$A$2:$G$49,2,0)</f>
        <v>Robusta</v>
      </c>
      <c r="N417" s="4" t="str">
        <f>VLOOKUP(L417,Products!$A$2:$G$49,3,0)</f>
        <v>Medium</v>
      </c>
      <c r="O417" s="25">
        <v>3</v>
      </c>
      <c r="P417" s="5">
        <f>INDEX([1]products!$A$1:$G$49,MATCH([1]orders!$D417,[1]products!$A$1:$A$49,0),MATCH([1]orders!K$1,[1]products!$A$1:$G$1,0))</f>
        <v>0.2</v>
      </c>
      <c r="Q417" s="6">
        <f>INDEX([1]products!$A$1:$G$49,MATCH([1]orders!$D417,[1]products!$A$1:$A$49,0),MATCH([1]orders!L$1,[1]products!$A$1:$G$1,0))</f>
        <v>2.9849999999999999</v>
      </c>
      <c r="R417" s="6">
        <f t="shared" si="30"/>
        <v>8.9550000000000001</v>
      </c>
      <c r="S417">
        <f>VLOOKUP(L417,Products!$A$2:$G$49,7,0)</f>
        <v>0.17909999999999998</v>
      </c>
      <c r="T417">
        <f t="shared" si="33"/>
        <v>0.53729999999999989</v>
      </c>
      <c r="U417" s="33">
        <f t="shared" si="34"/>
        <v>5.9999999999999982</v>
      </c>
    </row>
    <row r="418" spans="1:21" x14ac:dyDescent="0.25">
      <c r="A418" s="1" t="s">
        <v>833</v>
      </c>
      <c r="B418" s="28">
        <v>43901</v>
      </c>
      <c r="C418" s="21" t="str">
        <f t="shared" si="31"/>
        <v>2020</v>
      </c>
      <c r="D418" s="19" t="str">
        <f t="shared" si="32"/>
        <v>March</v>
      </c>
      <c r="E418" s="3" t="s">
        <v>834</v>
      </c>
      <c r="F418" s="3" t="str">
        <f>VLOOKUP(E418,Customers!$A$2:$I$1001,2,0)</f>
        <v>Reggis Pracy</v>
      </c>
      <c r="G418" s="3" t="str">
        <f>VLOOKUP(E418,Customers!$A$2:$I$1001,3,0)</f>
        <v>UNKNOWN</v>
      </c>
      <c r="H418" s="3" t="str">
        <f>VLOOKUP(E418,Customers!$A$2:$I$1001,4,0)</f>
        <v>+1 (937) 683-0925</v>
      </c>
      <c r="I418" s="25" t="str">
        <f>VLOOKUP(E418,Customers!$A$2:$I$1001,6,0)</f>
        <v>Dayton</v>
      </c>
      <c r="J418" s="25" t="str">
        <f>VLOOKUP(E418,Customers!$A$2:$I$1001,7,0)</f>
        <v>United States</v>
      </c>
      <c r="K418" s="23" t="str">
        <f>VLOOKUP(E418,Customers!$A$2:$I$1001,9,0)</f>
        <v>Yes</v>
      </c>
      <c r="L418" s="4" t="s">
        <v>192</v>
      </c>
      <c r="M418" s="4" t="str">
        <f>VLOOKUP(L418,Products!$A$2:$G$49,2,0)</f>
        <v>Arabica</v>
      </c>
      <c r="N418" s="4" t="str">
        <f>VLOOKUP(L418,Products!$A$2:$G$49,3,0)</f>
        <v>Light</v>
      </c>
      <c r="O418" s="25">
        <v>3</v>
      </c>
      <c r="P418" s="5">
        <f>INDEX([1]products!$A$1:$G$49,MATCH([1]orders!$D418,[1]products!$A$1:$A$49,0),MATCH([1]orders!K$1,[1]products!$A$1:$G$1,0))</f>
        <v>0.5</v>
      </c>
      <c r="Q418" s="6">
        <f>INDEX([1]products!$A$1:$G$49,MATCH([1]orders!$D418,[1]products!$A$1:$A$49,0),MATCH([1]orders!L$1,[1]products!$A$1:$G$1,0))</f>
        <v>7.77</v>
      </c>
      <c r="R418" s="6">
        <f t="shared" si="30"/>
        <v>23.31</v>
      </c>
      <c r="S418">
        <f>VLOOKUP(L418,Products!$A$2:$G$49,7,0)</f>
        <v>0.69929999999999992</v>
      </c>
      <c r="T418">
        <f t="shared" si="33"/>
        <v>2.0978999999999997</v>
      </c>
      <c r="U418" s="33">
        <f t="shared" si="34"/>
        <v>9</v>
      </c>
    </row>
    <row r="419" spans="1:21" x14ac:dyDescent="0.25">
      <c r="A419" s="1" t="s">
        <v>835</v>
      </c>
      <c r="B419" s="28">
        <v>44457</v>
      </c>
      <c r="C419" s="21" t="str">
        <f t="shared" si="31"/>
        <v>2021</v>
      </c>
      <c r="D419" s="19" t="str">
        <f t="shared" si="32"/>
        <v>September</v>
      </c>
      <c r="E419" s="3" t="s">
        <v>836</v>
      </c>
      <c r="F419" s="3" t="str">
        <f>VLOOKUP(E419,Customers!$A$2:$I$1001,2,0)</f>
        <v>Paula Denis</v>
      </c>
      <c r="G419" s="3" t="str">
        <f>VLOOKUP(E419,Customers!$A$2:$I$1001,3,0)</f>
        <v>UNKNOWN</v>
      </c>
      <c r="H419" s="3" t="str">
        <f>VLOOKUP(E419,Customers!$A$2:$I$1001,4,0)</f>
        <v>+1 (602) 598-9823</v>
      </c>
      <c r="I419" s="25" t="str">
        <f>VLOOKUP(E419,Customers!$A$2:$I$1001,6,0)</f>
        <v>Phoenix</v>
      </c>
      <c r="J419" s="25" t="str">
        <f>VLOOKUP(E419,Customers!$A$2:$I$1001,7,0)</f>
        <v>United States</v>
      </c>
      <c r="K419" s="23" t="str">
        <f>VLOOKUP(E419,Customers!$A$2:$I$1001,9,0)</f>
        <v>Yes</v>
      </c>
      <c r="L419" s="4" t="s">
        <v>204</v>
      </c>
      <c r="M419" s="4" t="str">
        <f>VLOOKUP(L419,Products!$A$2:$G$49,2,0)</f>
        <v>Arabica</v>
      </c>
      <c r="N419" s="4" t="str">
        <f>VLOOKUP(L419,Products!$A$2:$G$49,3,0)</f>
        <v>Light</v>
      </c>
      <c r="O419" s="25">
        <v>1</v>
      </c>
      <c r="P419" s="5">
        <f>INDEX([1]products!$A$1:$G$49,MATCH([1]orders!$D419,[1]products!$A$1:$A$49,0),MATCH([1]orders!K$1,[1]products!$A$1:$G$1,0))</f>
        <v>2.5</v>
      </c>
      <c r="Q419" s="6">
        <f>INDEX([1]products!$A$1:$G$49,MATCH([1]orders!$D419,[1]products!$A$1:$A$49,0),MATCH([1]orders!L$1,[1]products!$A$1:$G$1,0))</f>
        <v>29.784999999999997</v>
      </c>
      <c r="R419" s="6">
        <f t="shared" si="30"/>
        <v>29.784999999999997</v>
      </c>
      <c r="S419">
        <f>VLOOKUP(L419,Products!$A$2:$G$49,7,0)</f>
        <v>2.6806499999999995</v>
      </c>
      <c r="T419">
        <f t="shared" si="33"/>
        <v>2.6806499999999995</v>
      </c>
      <c r="U419" s="33">
        <f t="shared" si="34"/>
        <v>9</v>
      </c>
    </row>
    <row r="420" spans="1:21" x14ac:dyDescent="0.25">
      <c r="A420" s="1" t="s">
        <v>837</v>
      </c>
      <c r="B420" s="28">
        <v>44142</v>
      </c>
      <c r="C420" s="21" t="str">
        <f t="shared" si="31"/>
        <v>2020</v>
      </c>
      <c r="D420" s="19" t="str">
        <f t="shared" si="32"/>
        <v>November</v>
      </c>
      <c r="E420" s="3" t="s">
        <v>838</v>
      </c>
      <c r="F420" s="3" t="str">
        <f>VLOOKUP(E420,Customers!$A$2:$I$1001,2,0)</f>
        <v>Broderick McGilvra</v>
      </c>
      <c r="G420" s="3" t="str">
        <f>VLOOKUP(E420,Customers!$A$2:$I$1001,3,0)</f>
        <v>bmcgilvrabm@so-net.ne.jp</v>
      </c>
      <c r="H420" s="3" t="str">
        <f>VLOOKUP(E420,Customers!$A$2:$I$1001,4,0)</f>
        <v>UNKNOWN</v>
      </c>
      <c r="I420" s="25" t="str">
        <f>VLOOKUP(E420,Customers!$A$2:$I$1001,6,0)</f>
        <v>Sacramento</v>
      </c>
      <c r="J420" s="25" t="str">
        <f>VLOOKUP(E420,Customers!$A$2:$I$1001,7,0)</f>
        <v>United States</v>
      </c>
      <c r="K420" s="23" t="str">
        <f>VLOOKUP(E420,Customers!$A$2:$I$1001,9,0)</f>
        <v>Yes</v>
      </c>
      <c r="L420" s="4" t="s">
        <v>204</v>
      </c>
      <c r="M420" s="4" t="str">
        <f>VLOOKUP(L420,Products!$A$2:$G$49,2,0)</f>
        <v>Arabica</v>
      </c>
      <c r="N420" s="4" t="str">
        <f>VLOOKUP(L420,Products!$A$2:$G$49,3,0)</f>
        <v>Light</v>
      </c>
      <c r="O420" s="25">
        <v>5</v>
      </c>
      <c r="P420" s="5">
        <f>INDEX([1]products!$A$1:$G$49,MATCH([1]orders!$D420,[1]products!$A$1:$A$49,0),MATCH([1]orders!K$1,[1]products!$A$1:$G$1,0))</f>
        <v>2.5</v>
      </c>
      <c r="Q420" s="6">
        <f>INDEX([1]products!$A$1:$G$49,MATCH([1]orders!$D420,[1]products!$A$1:$A$49,0),MATCH([1]orders!L$1,[1]products!$A$1:$G$1,0))</f>
        <v>29.784999999999997</v>
      </c>
      <c r="R420" s="6">
        <f t="shared" si="30"/>
        <v>148.92499999999998</v>
      </c>
      <c r="S420">
        <f>VLOOKUP(L420,Products!$A$2:$G$49,7,0)</f>
        <v>2.6806499999999995</v>
      </c>
      <c r="T420">
        <f t="shared" si="33"/>
        <v>13.403249999999998</v>
      </c>
      <c r="U420" s="33">
        <f t="shared" si="34"/>
        <v>9</v>
      </c>
    </row>
    <row r="421" spans="1:21" x14ac:dyDescent="0.25">
      <c r="A421" s="1" t="s">
        <v>839</v>
      </c>
      <c r="B421" s="28">
        <v>44739</v>
      </c>
      <c r="C421" s="21" t="str">
        <f t="shared" si="31"/>
        <v>2022</v>
      </c>
      <c r="D421" s="19" t="str">
        <f t="shared" si="32"/>
        <v>June</v>
      </c>
      <c r="E421" s="3" t="s">
        <v>840</v>
      </c>
      <c r="F421" s="3" t="str">
        <f>VLOOKUP(E421,Customers!$A$2:$I$1001,2,0)</f>
        <v>Annabella Danzey</v>
      </c>
      <c r="G421" s="3" t="str">
        <f>VLOOKUP(E421,Customers!$A$2:$I$1001,3,0)</f>
        <v>adanzeybn@github.com</v>
      </c>
      <c r="H421" s="3" t="str">
        <f>VLOOKUP(E421,Customers!$A$2:$I$1001,4,0)</f>
        <v>+1 (402) 633-9913</v>
      </c>
      <c r="I421" s="25" t="str">
        <f>VLOOKUP(E421,Customers!$A$2:$I$1001,6,0)</f>
        <v>Lincoln</v>
      </c>
      <c r="J421" s="25" t="str">
        <f>VLOOKUP(E421,Customers!$A$2:$I$1001,7,0)</f>
        <v>United States</v>
      </c>
      <c r="K421" s="23" t="str">
        <f>VLOOKUP(E421,Customers!$A$2:$I$1001,9,0)</f>
        <v>Yes</v>
      </c>
      <c r="L421" s="4" t="s">
        <v>78</v>
      </c>
      <c r="M421" s="4" t="str">
        <f>VLOOKUP(L421,Products!$A$2:$G$49,2,0)</f>
        <v>Liberica</v>
      </c>
      <c r="N421" s="4" t="str">
        <f>VLOOKUP(L421,Products!$A$2:$G$49,3,0)</f>
        <v>Medium</v>
      </c>
      <c r="O421" s="25">
        <v>1</v>
      </c>
      <c r="P421" s="5">
        <f>INDEX([1]products!$A$1:$G$49,MATCH([1]orders!$D421,[1]products!$A$1:$A$49,0),MATCH([1]orders!K$1,[1]products!$A$1:$G$1,0))</f>
        <v>0.5</v>
      </c>
      <c r="Q421" s="6">
        <f>INDEX([1]products!$A$1:$G$49,MATCH([1]orders!$D421,[1]products!$A$1:$A$49,0),MATCH([1]orders!L$1,[1]products!$A$1:$G$1,0))</f>
        <v>8.73</v>
      </c>
      <c r="R421" s="6">
        <f t="shared" si="30"/>
        <v>8.73</v>
      </c>
      <c r="S421">
        <f>VLOOKUP(L421,Products!$A$2:$G$49,7,0)</f>
        <v>1.1349</v>
      </c>
      <c r="T421">
        <f t="shared" si="33"/>
        <v>1.1349</v>
      </c>
      <c r="U421" s="33">
        <f t="shared" si="34"/>
        <v>13</v>
      </c>
    </row>
    <row r="422" spans="1:21" x14ac:dyDescent="0.25">
      <c r="A422" s="1" t="s">
        <v>841</v>
      </c>
      <c r="B422" s="28">
        <v>43866</v>
      </c>
      <c r="C422" s="21" t="str">
        <f t="shared" si="31"/>
        <v>2020</v>
      </c>
      <c r="D422" s="19" t="str">
        <f t="shared" si="32"/>
        <v>February</v>
      </c>
      <c r="E422" s="3" t="s">
        <v>749</v>
      </c>
      <c r="F422" s="3" t="str">
        <f>VLOOKUP(E422,Customers!$A$2:$I$1001,2,0)</f>
        <v>Terri Farra</v>
      </c>
      <c r="G422" s="3" t="str">
        <f>VLOOKUP(E422,Customers!$A$2:$I$1001,3,0)</f>
        <v>tfarraac@behance.net</v>
      </c>
      <c r="H422" s="3" t="str">
        <f>VLOOKUP(E422,Customers!$A$2:$I$1001,4,0)</f>
        <v>+1 (432) 648-9589</v>
      </c>
      <c r="I422" s="25" t="str">
        <f>VLOOKUP(E422,Customers!$A$2:$I$1001,6,0)</f>
        <v>Odessa</v>
      </c>
      <c r="J422" s="25" t="str">
        <f>VLOOKUP(E422,Customers!$A$2:$I$1001,7,0)</f>
        <v>United States</v>
      </c>
      <c r="K422" s="23" t="str">
        <f>VLOOKUP(E422,Customers!$A$2:$I$1001,9,0)</f>
        <v>No</v>
      </c>
      <c r="L422" s="4" t="s">
        <v>123</v>
      </c>
      <c r="M422" s="4" t="str">
        <f>VLOOKUP(L422,Products!$A$2:$G$49,2,0)</f>
        <v>Liberica</v>
      </c>
      <c r="N422" s="4" t="str">
        <f>VLOOKUP(L422,Products!$A$2:$G$49,3,0)</f>
        <v>Dark</v>
      </c>
      <c r="O422" s="25">
        <v>4</v>
      </c>
      <c r="P422" s="5">
        <f>INDEX([1]products!$A$1:$G$49,MATCH([1]orders!$D422,[1]products!$A$1:$A$49,0),MATCH([1]orders!K$1,[1]products!$A$1:$G$1,0))</f>
        <v>0.5</v>
      </c>
      <c r="Q422" s="6">
        <f>INDEX([1]products!$A$1:$G$49,MATCH([1]orders!$D422,[1]products!$A$1:$A$49,0),MATCH([1]orders!L$1,[1]products!$A$1:$G$1,0))</f>
        <v>7.77</v>
      </c>
      <c r="R422" s="6">
        <f t="shared" si="30"/>
        <v>31.08</v>
      </c>
      <c r="S422">
        <f>VLOOKUP(L422,Products!$A$2:$G$49,7,0)</f>
        <v>1.0101</v>
      </c>
      <c r="T422">
        <f t="shared" si="33"/>
        <v>4.0404</v>
      </c>
      <c r="U422" s="33">
        <f t="shared" si="34"/>
        <v>13</v>
      </c>
    </row>
    <row r="423" spans="1:21" x14ac:dyDescent="0.25">
      <c r="A423" s="1" t="s">
        <v>841</v>
      </c>
      <c r="B423" s="28">
        <v>43866</v>
      </c>
      <c r="C423" s="21" t="str">
        <f t="shared" si="31"/>
        <v>2020</v>
      </c>
      <c r="D423" s="19" t="str">
        <f t="shared" si="32"/>
        <v>February</v>
      </c>
      <c r="E423" s="3" t="s">
        <v>749</v>
      </c>
      <c r="F423" s="3" t="str">
        <f>VLOOKUP(E423,Customers!$A$2:$I$1001,2,0)</f>
        <v>Terri Farra</v>
      </c>
      <c r="G423" s="3" t="str">
        <f>VLOOKUP(E423,Customers!$A$2:$I$1001,3,0)</f>
        <v>tfarraac@behance.net</v>
      </c>
      <c r="H423" s="3" t="str">
        <f>VLOOKUP(E423,Customers!$A$2:$I$1001,4,0)</f>
        <v>+1 (432) 648-9589</v>
      </c>
      <c r="I423" s="25" t="str">
        <f>VLOOKUP(E423,Customers!$A$2:$I$1001,6,0)</f>
        <v>Odessa</v>
      </c>
      <c r="J423" s="25" t="str">
        <f>VLOOKUP(E423,Customers!$A$2:$I$1001,7,0)</f>
        <v>United States</v>
      </c>
      <c r="K423" s="23" t="str">
        <f>VLOOKUP(E423,Customers!$A$2:$I$1001,9,0)</f>
        <v>No</v>
      </c>
      <c r="L423" s="4" t="s">
        <v>118</v>
      </c>
      <c r="M423" s="4" t="str">
        <f>VLOOKUP(L423,Products!$A$2:$G$49,2,0)</f>
        <v>Arabica</v>
      </c>
      <c r="N423" s="4" t="str">
        <f>VLOOKUP(L423,Products!$A$2:$G$49,3,0)</f>
        <v>Dark</v>
      </c>
      <c r="O423" s="25">
        <v>6</v>
      </c>
      <c r="P423" s="5">
        <f>INDEX([1]products!$A$1:$G$49,MATCH([1]orders!$D423,[1]products!$A$1:$A$49,0),MATCH([1]orders!K$1,[1]products!$A$1:$G$1,0))</f>
        <v>2.5</v>
      </c>
      <c r="Q423" s="6">
        <f>INDEX([1]products!$A$1:$G$49,MATCH([1]orders!$D423,[1]products!$A$1:$A$49,0),MATCH([1]orders!L$1,[1]products!$A$1:$G$1,0))</f>
        <v>22.884999999999998</v>
      </c>
      <c r="R423" s="6">
        <f t="shared" si="30"/>
        <v>137.31</v>
      </c>
      <c r="S423">
        <f>VLOOKUP(L423,Products!$A$2:$G$49,7,0)</f>
        <v>2.0596499999999995</v>
      </c>
      <c r="T423">
        <f t="shared" si="33"/>
        <v>12.357899999999997</v>
      </c>
      <c r="U423" s="33">
        <f t="shared" si="34"/>
        <v>8.9999999999999982</v>
      </c>
    </row>
    <row r="424" spans="1:21" x14ac:dyDescent="0.25">
      <c r="A424" s="1" t="s">
        <v>842</v>
      </c>
      <c r="B424" s="28">
        <v>43868</v>
      </c>
      <c r="C424" s="21" t="str">
        <f t="shared" si="31"/>
        <v>2020</v>
      </c>
      <c r="D424" s="19" t="str">
        <f t="shared" si="32"/>
        <v>February</v>
      </c>
      <c r="E424" s="3" t="s">
        <v>843</v>
      </c>
      <c r="F424" s="3" t="str">
        <f>VLOOKUP(E424,Customers!$A$2:$I$1001,2,0)</f>
        <v>Nevins Glowacz</v>
      </c>
      <c r="G424" s="3" t="str">
        <f>VLOOKUP(E424,Customers!$A$2:$I$1001,3,0)</f>
        <v>UNKNOWN</v>
      </c>
      <c r="H424" s="3" t="str">
        <f>VLOOKUP(E424,Customers!$A$2:$I$1001,4,0)</f>
        <v>+1 (608) 617-1365</v>
      </c>
      <c r="I424" s="25" t="str">
        <f>VLOOKUP(E424,Customers!$A$2:$I$1001,6,0)</f>
        <v>Madison</v>
      </c>
      <c r="J424" s="25" t="str">
        <f>VLOOKUP(E424,Customers!$A$2:$I$1001,7,0)</f>
        <v>United States</v>
      </c>
      <c r="K424" s="23" t="str">
        <f>VLOOKUP(E424,Customers!$A$2:$I$1001,9,0)</f>
        <v>No</v>
      </c>
      <c r="L424" s="4" t="s">
        <v>72</v>
      </c>
      <c r="M424" s="4" t="str">
        <f>VLOOKUP(L424,Products!$A$2:$G$49,2,0)</f>
        <v>Arabica</v>
      </c>
      <c r="N424" s="4" t="str">
        <f>VLOOKUP(L424,Products!$A$2:$G$49,3,0)</f>
        <v>Dark</v>
      </c>
      <c r="O424" s="25">
        <v>5</v>
      </c>
      <c r="P424" s="5">
        <f>INDEX([1]products!$A$1:$G$49,MATCH([1]orders!$D424,[1]products!$A$1:$A$49,0),MATCH([1]orders!K$1,[1]products!$A$1:$G$1,0))</f>
        <v>0.5</v>
      </c>
      <c r="Q424" s="6">
        <f>INDEX([1]products!$A$1:$G$49,MATCH([1]orders!$D424,[1]products!$A$1:$A$49,0),MATCH([1]orders!L$1,[1]products!$A$1:$G$1,0))</f>
        <v>5.97</v>
      </c>
      <c r="R424" s="6">
        <f t="shared" si="30"/>
        <v>29.849999999999998</v>
      </c>
      <c r="S424">
        <f>VLOOKUP(L424,Products!$A$2:$G$49,7,0)</f>
        <v>0.5373</v>
      </c>
      <c r="T424">
        <f t="shared" si="33"/>
        <v>2.6865000000000001</v>
      </c>
      <c r="U424" s="33">
        <f t="shared" si="34"/>
        <v>9.0000000000000018</v>
      </c>
    </row>
    <row r="425" spans="1:21" x14ac:dyDescent="0.25">
      <c r="A425" s="1" t="s">
        <v>844</v>
      </c>
      <c r="B425" s="28">
        <v>44183</v>
      </c>
      <c r="C425" s="21" t="str">
        <f t="shared" si="31"/>
        <v>2020</v>
      </c>
      <c r="D425" s="19" t="str">
        <f t="shared" si="32"/>
        <v>December</v>
      </c>
      <c r="E425" s="3" t="s">
        <v>845</v>
      </c>
      <c r="F425" s="3" t="str">
        <f>VLOOKUP(E425,Customers!$A$2:$I$1001,2,0)</f>
        <v>Adelice Isabell</v>
      </c>
      <c r="G425" s="3" t="str">
        <f>VLOOKUP(E425,Customers!$A$2:$I$1001,3,0)</f>
        <v>UNKNOWN</v>
      </c>
      <c r="H425" s="3" t="str">
        <f>VLOOKUP(E425,Customers!$A$2:$I$1001,4,0)</f>
        <v>+1 (304) 604-2131</v>
      </c>
      <c r="I425" s="25" t="str">
        <f>VLOOKUP(E425,Customers!$A$2:$I$1001,6,0)</f>
        <v>Charleston</v>
      </c>
      <c r="J425" s="25" t="str">
        <f>VLOOKUP(E425,Customers!$A$2:$I$1001,7,0)</f>
        <v>United States</v>
      </c>
      <c r="K425" s="23" t="str">
        <f>VLOOKUP(E425,Customers!$A$2:$I$1001,9,0)</f>
        <v>No</v>
      </c>
      <c r="L425" s="4" t="s">
        <v>22</v>
      </c>
      <c r="M425" s="4" t="str">
        <f>VLOOKUP(L425,Products!$A$2:$G$49,2,0)</f>
        <v>Robusta</v>
      </c>
      <c r="N425" s="4" t="str">
        <f>VLOOKUP(L425,Products!$A$2:$G$49,3,0)</f>
        <v>Medium</v>
      </c>
      <c r="O425" s="25">
        <v>3</v>
      </c>
      <c r="P425" s="5">
        <f>INDEX([1]products!$A$1:$G$49,MATCH([1]orders!$D425,[1]products!$A$1:$A$49,0),MATCH([1]orders!K$1,[1]products!$A$1:$G$1,0))</f>
        <v>0.5</v>
      </c>
      <c r="Q425" s="6">
        <f>INDEX([1]products!$A$1:$G$49,MATCH([1]orders!$D425,[1]products!$A$1:$A$49,0),MATCH([1]orders!L$1,[1]products!$A$1:$G$1,0))</f>
        <v>5.97</v>
      </c>
      <c r="R425" s="6">
        <f t="shared" si="30"/>
        <v>17.91</v>
      </c>
      <c r="S425">
        <f>VLOOKUP(L425,Products!$A$2:$G$49,7,0)</f>
        <v>0.35819999999999996</v>
      </c>
      <c r="T425">
        <f t="shared" si="33"/>
        <v>1.0745999999999998</v>
      </c>
      <c r="U425" s="33">
        <f t="shared" si="34"/>
        <v>5.9999999999999982</v>
      </c>
    </row>
    <row r="426" spans="1:21" x14ac:dyDescent="0.25">
      <c r="A426" s="1" t="s">
        <v>846</v>
      </c>
      <c r="B426" s="28">
        <v>44431</v>
      </c>
      <c r="C426" s="21" t="str">
        <f t="shared" si="31"/>
        <v>2021</v>
      </c>
      <c r="D426" s="19" t="str">
        <f t="shared" si="32"/>
        <v>August</v>
      </c>
      <c r="E426" s="3" t="s">
        <v>847</v>
      </c>
      <c r="F426" s="3" t="str">
        <f>VLOOKUP(E426,Customers!$A$2:$I$1001,2,0)</f>
        <v>Yulma Dombrell</v>
      </c>
      <c r="G426" s="3" t="str">
        <f>VLOOKUP(E426,Customers!$A$2:$I$1001,3,0)</f>
        <v>ydombrellbs@dedecms.com</v>
      </c>
      <c r="H426" s="3" t="str">
        <f>VLOOKUP(E426,Customers!$A$2:$I$1001,4,0)</f>
        <v>+1 (501) 136-0040</v>
      </c>
      <c r="I426" s="25" t="str">
        <f>VLOOKUP(E426,Customers!$A$2:$I$1001,6,0)</f>
        <v>Little Rock</v>
      </c>
      <c r="J426" s="25" t="str">
        <f>VLOOKUP(E426,Customers!$A$2:$I$1001,7,0)</f>
        <v>United States</v>
      </c>
      <c r="K426" s="23" t="str">
        <f>VLOOKUP(E426,Customers!$A$2:$I$1001,9,0)</f>
        <v>Yes</v>
      </c>
      <c r="L426" s="4" t="s">
        <v>176</v>
      </c>
      <c r="M426" s="4" t="str">
        <f>VLOOKUP(L426,Products!$A$2:$G$49,2,0)</f>
        <v>Excelsa</v>
      </c>
      <c r="N426" s="4" t="str">
        <f>VLOOKUP(L426,Products!$A$2:$G$49,3,0)</f>
        <v>Light</v>
      </c>
      <c r="O426" s="25">
        <v>3</v>
      </c>
      <c r="P426" s="5">
        <f>INDEX([1]products!$A$1:$G$49,MATCH([1]orders!$D426,[1]products!$A$1:$A$49,0),MATCH([1]orders!K$1,[1]products!$A$1:$G$1,0))</f>
        <v>0.5</v>
      </c>
      <c r="Q426" s="6">
        <f>INDEX([1]products!$A$1:$G$49,MATCH([1]orders!$D426,[1]products!$A$1:$A$49,0),MATCH([1]orders!L$1,[1]products!$A$1:$G$1,0))</f>
        <v>8.91</v>
      </c>
      <c r="R426" s="6">
        <f t="shared" si="30"/>
        <v>26.73</v>
      </c>
      <c r="S426">
        <f>VLOOKUP(L426,Products!$A$2:$G$49,7,0)</f>
        <v>0.98009999999999997</v>
      </c>
      <c r="T426">
        <f t="shared" si="33"/>
        <v>2.9402999999999997</v>
      </c>
      <c r="U426" s="33">
        <f t="shared" si="34"/>
        <v>10.999999999999998</v>
      </c>
    </row>
    <row r="427" spans="1:21" x14ac:dyDescent="0.25">
      <c r="A427" s="1" t="s">
        <v>848</v>
      </c>
      <c r="B427" s="28">
        <v>44428</v>
      </c>
      <c r="C427" s="21" t="str">
        <f t="shared" si="31"/>
        <v>2021</v>
      </c>
      <c r="D427" s="19" t="str">
        <f t="shared" si="32"/>
        <v>August</v>
      </c>
      <c r="E427" s="3" t="s">
        <v>849</v>
      </c>
      <c r="F427" s="3" t="str">
        <f>VLOOKUP(E427,Customers!$A$2:$I$1001,2,0)</f>
        <v>Alric Darth</v>
      </c>
      <c r="G427" s="3" t="str">
        <f>VLOOKUP(E427,Customers!$A$2:$I$1001,3,0)</f>
        <v>adarthbt@t.co</v>
      </c>
      <c r="H427" s="3" t="str">
        <f>VLOOKUP(E427,Customers!$A$2:$I$1001,4,0)</f>
        <v>+1 (907) 557-6903</v>
      </c>
      <c r="I427" s="25" t="str">
        <f>VLOOKUP(E427,Customers!$A$2:$I$1001,6,0)</f>
        <v>Anchorage</v>
      </c>
      <c r="J427" s="25" t="str">
        <f>VLOOKUP(E427,Customers!$A$2:$I$1001,7,0)</f>
        <v>United States</v>
      </c>
      <c r="K427" s="23" t="str">
        <f>VLOOKUP(E427,Customers!$A$2:$I$1001,9,0)</f>
        <v>No</v>
      </c>
      <c r="L427" s="4" t="s">
        <v>179</v>
      </c>
      <c r="M427" s="4" t="str">
        <f>VLOOKUP(L427,Products!$A$2:$G$49,2,0)</f>
        <v>Robusta</v>
      </c>
      <c r="N427" s="4" t="str">
        <f>VLOOKUP(L427,Products!$A$2:$G$49,3,0)</f>
        <v>Dark</v>
      </c>
      <c r="O427" s="25">
        <v>2</v>
      </c>
      <c r="P427" s="5">
        <f>INDEX([1]products!$A$1:$G$49,MATCH([1]orders!$D427,[1]products!$A$1:$A$49,0),MATCH([1]orders!K$1,[1]products!$A$1:$G$1,0))</f>
        <v>1</v>
      </c>
      <c r="Q427" s="6">
        <f>INDEX([1]products!$A$1:$G$49,MATCH([1]orders!$D427,[1]products!$A$1:$A$49,0),MATCH([1]orders!L$1,[1]products!$A$1:$G$1,0))</f>
        <v>8.9499999999999993</v>
      </c>
      <c r="R427" s="6">
        <f t="shared" si="30"/>
        <v>17.899999999999999</v>
      </c>
      <c r="S427">
        <f>VLOOKUP(L427,Products!$A$2:$G$49,7,0)</f>
        <v>0.53699999999999992</v>
      </c>
      <c r="T427">
        <f t="shared" si="33"/>
        <v>1.0739999999999998</v>
      </c>
      <c r="U427" s="33">
        <f t="shared" si="34"/>
        <v>6</v>
      </c>
    </row>
    <row r="428" spans="1:21" x14ac:dyDescent="0.25">
      <c r="A428" s="1" t="s">
        <v>850</v>
      </c>
      <c r="B428" s="28">
        <v>43556</v>
      </c>
      <c r="C428" s="21" t="str">
        <f t="shared" si="31"/>
        <v>2019</v>
      </c>
      <c r="D428" s="19" t="str">
        <f t="shared" si="32"/>
        <v>April</v>
      </c>
      <c r="E428" s="3" t="s">
        <v>851</v>
      </c>
      <c r="F428" s="3" t="str">
        <f>VLOOKUP(E428,Customers!$A$2:$I$1001,2,0)</f>
        <v>Manuel Darrigoe</v>
      </c>
      <c r="G428" s="3" t="str">
        <f>VLOOKUP(E428,Customers!$A$2:$I$1001,3,0)</f>
        <v>mdarrigoebu@hud.gov</v>
      </c>
      <c r="H428" s="3" t="str">
        <f>VLOOKUP(E428,Customers!$A$2:$I$1001,4,0)</f>
        <v>+353 (973) 320-9537</v>
      </c>
      <c r="I428" s="25" t="str">
        <f>VLOOKUP(E428,Customers!$A$2:$I$1001,6,0)</f>
        <v>Longwood</v>
      </c>
      <c r="J428" s="25" t="str">
        <f>VLOOKUP(E428,Customers!$A$2:$I$1001,7,0)</f>
        <v>Ireland</v>
      </c>
      <c r="K428" s="23" t="str">
        <f>VLOOKUP(E428,Customers!$A$2:$I$1001,9,0)</f>
        <v>Yes</v>
      </c>
      <c r="L428" s="4" t="s">
        <v>182</v>
      </c>
      <c r="M428" s="4" t="str">
        <f>VLOOKUP(L428,Products!$A$2:$G$49,2,0)</f>
        <v>Robusta</v>
      </c>
      <c r="N428" s="4" t="str">
        <f>VLOOKUP(L428,Products!$A$2:$G$49,3,0)</f>
        <v>Light</v>
      </c>
      <c r="O428" s="25">
        <v>4</v>
      </c>
      <c r="P428" s="5">
        <f>INDEX([1]products!$A$1:$G$49,MATCH([1]orders!$D428,[1]products!$A$1:$A$49,0),MATCH([1]orders!K$1,[1]products!$A$1:$G$1,0))</f>
        <v>0.2</v>
      </c>
      <c r="Q428" s="6">
        <f>INDEX([1]products!$A$1:$G$49,MATCH([1]orders!$D428,[1]products!$A$1:$A$49,0),MATCH([1]orders!L$1,[1]products!$A$1:$G$1,0))</f>
        <v>3.5849999999999995</v>
      </c>
      <c r="R428" s="6">
        <f t="shared" si="30"/>
        <v>14.339999999999998</v>
      </c>
      <c r="S428">
        <f>VLOOKUP(L428,Products!$A$2:$G$49,7,0)</f>
        <v>0.21509999999999996</v>
      </c>
      <c r="T428">
        <f t="shared" si="33"/>
        <v>0.86039999999999983</v>
      </c>
      <c r="U428" s="33">
        <f t="shared" si="34"/>
        <v>6</v>
      </c>
    </row>
    <row r="429" spans="1:21" x14ac:dyDescent="0.25">
      <c r="A429" s="1" t="s">
        <v>852</v>
      </c>
      <c r="B429" s="28">
        <v>44224</v>
      </c>
      <c r="C429" s="21" t="str">
        <f t="shared" si="31"/>
        <v>2021</v>
      </c>
      <c r="D429" s="19" t="str">
        <f t="shared" si="32"/>
        <v>January</v>
      </c>
      <c r="E429" s="3" t="s">
        <v>853</v>
      </c>
      <c r="F429" s="3" t="str">
        <f>VLOOKUP(E429,Customers!$A$2:$I$1001,2,0)</f>
        <v>Kynthia Berick</v>
      </c>
      <c r="G429" s="3" t="str">
        <f>VLOOKUP(E429,Customers!$A$2:$I$1001,3,0)</f>
        <v>UNKNOWN</v>
      </c>
      <c r="H429" s="3" t="str">
        <f>VLOOKUP(E429,Customers!$A$2:$I$1001,4,0)</f>
        <v>+1 (562) 331-4713</v>
      </c>
      <c r="I429" s="25" t="str">
        <f>VLOOKUP(E429,Customers!$A$2:$I$1001,6,0)</f>
        <v>San Francisco</v>
      </c>
      <c r="J429" s="25" t="str">
        <f>VLOOKUP(E429,Customers!$A$2:$I$1001,7,0)</f>
        <v>United States</v>
      </c>
      <c r="K429" s="23" t="str">
        <f>VLOOKUP(E429,Customers!$A$2:$I$1001,9,0)</f>
        <v>Yes</v>
      </c>
      <c r="L429" s="4" t="s">
        <v>171</v>
      </c>
      <c r="M429" s="4" t="str">
        <f>VLOOKUP(L429,Products!$A$2:$G$49,2,0)</f>
        <v>Arabica</v>
      </c>
      <c r="N429" s="4" t="str">
        <f>VLOOKUP(L429,Products!$A$2:$G$49,3,0)</f>
        <v>Medium</v>
      </c>
      <c r="O429" s="25">
        <v>3</v>
      </c>
      <c r="P429" s="5">
        <f>INDEX([1]products!$A$1:$G$49,MATCH([1]orders!$D429,[1]products!$A$1:$A$49,0),MATCH([1]orders!K$1,[1]products!$A$1:$G$1,0))</f>
        <v>2.5</v>
      </c>
      <c r="Q429" s="6">
        <f>INDEX([1]products!$A$1:$G$49,MATCH([1]orders!$D429,[1]products!$A$1:$A$49,0),MATCH([1]orders!L$1,[1]products!$A$1:$G$1,0))</f>
        <v>25.874999999999996</v>
      </c>
      <c r="R429" s="6">
        <f t="shared" si="30"/>
        <v>77.624999999999986</v>
      </c>
      <c r="S429">
        <f>VLOOKUP(L429,Products!$A$2:$G$49,7,0)</f>
        <v>2.3287499999999994</v>
      </c>
      <c r="T429">
        <f t="shared" si="33"/>
        <v>6.9862499999999983</v>
      </c>
      <c r="U429" s="33">
        <f t="shared" si="34"/>
        <v>9</v>
      </c>
    </row>
    <row r="430" spans="1:21" x14ac:dyDescent="0.25">
      <c r="A430" s="1" t="s">
        <v>854</v>
      </c>
      <c r="B430" s="28">
        <v>43759</v>
      </c>
      <c r="C430" s="21" t="str">
        <f t="shared" si="31"/>
        <v>2019</v>
      </c>
      <c r="D430" s="19" t="str">
        <f t="shared" si="32"/>
        <v>October</v>
      </c>
      <c r="E430" s="3" t="s">
        <v>855</v>
      </c>
      <c r="F430" s="3" t="str">
        <f>VLOOKUP(E430,Customers!$A$2:$I$1001,2,0)</f>
        <v>Minetta Ackrill</v>
      </c>
      <c r="G430" s="3" t="str">
        <f>VLOOKUP(E430,Customers!$A$2:$I$1001,3,0)</f>
        <v>mackrillbw@bandcamp.com</v>
      </c>
      <c r="H430" s="3" t="str">
        <f>VLOOKUP(E430,Customers!$A$2:$I$1001,4,0)</f>
        <v>+1 (330) 603-2373</v>
      </c>
      <c r="I430" s="25" t="str">
        <f>VLOOKUP(E430,Customers!$A$2:$I$1001,6,0)</f>
        <v>Warren</v>
      </c>
      <c r="J430" s="25" t="str">
        <f>VLOOKUP(E430,Customers!$A$2:$I$1001,7,0)</f>
        <v>United States</v>
      </c>
      <c r="K430" s="23" t="str">
        <f>VLOOKUP(E430,Customers!$A$2:$I$1001,9,0)</f>
        <v>No</v>
      </c>
      <c r="L430" s="4" t="s">
        <v>189</v>
      </c>
      <c r="M430" s="4" t="str">
        <f>VLOOKUP(L430,Products!$A$2:$G$49,2,0)</f>
        <v>Robusta</v>
      </c>
      <c r="N430" s="4" t="str">
        <f>VLOOKUP(L430,Products!$A$2:$G$49,3,0)</f>
        <v>Light</v>
      </c>
      <c r="O430" s="25">
        <v>5</v>
      </c>
      <c r="P430" s="5">
        <f>INDEX([1]products!$A$1:$G$49,MATCH([1]orders!$D430,[1]products!$A$1:$A$49,0),MATCH([1]orders!K$1,[1]products!$A$1:$G$1,0))</f>
        <v>1</v>
      </c>
      <c r="Q430" s="6">
        <f>INDEX([1]products!$A$1:$G$49,MATCH([1]orders!$D430,[1]products!$A$1:$A$49,0),MATCH([1]orders!L$1,[1]products!$A$1:$G$1,0))</f>
        <v>11.95</v>
      </c>
      <c r="R430" s="6">
        <f t="shared" si="30"/>
        <v>59.75</v>
      </c>
      <c r="S430">
        <f>VLOOKUP(L430,Products!$A$2:$G$49,7,0)</f>
        <v>0.71699999999999997</v>
      </c>
      <c r="T430">
        <f t="shared" si="33"/>
        <v>3.585</v>
      </c>
      <c r="U430" s="33">
        <f t="shared" si="34"/>
        <v>6</v>
      </c>
    </row>
    <row r="431" spans="1:21" x14ac:dyDescent="0.25">
      <c r="A431" s="1" t="s">
        <v>856</v>
      </c>
      <c r="B431" s="28">
        <v>44367</v>
      </c>
      <c r="C431" s="21" t="str">
        <f t="shared" si="31"/>
        <v>2021</v>
      </c>
      <c r="D431" s="19" t="str">
        <f t="shared" si="32"/>
        <v>June</v>
      </c>
      <c r="E431" s="3" t="s">
        <v>749</v>
      </c>
      <c r="F431" s="3" t="str">
        <f>VLOOKUP(E431,Customers!$A$2:$I$1001,2,0)</f>
        <v>Terri Farra</v>
      </c>
      <c r="G431" s="3" t="str">
        <f>VLOOKUP(E431,Customers!$A$2:$I$1001,3,0)</f>
        <v>tfarraac@behance.net</v>
      </c>
      <c r="H431" s="3" t="str">
        <f>VLOOKUP(E431,Customers!$A$2:$I$1001,4,0)</f>
        <v>+1 (432) 648-9589</v>
      </c>
      <c r="I431" s="25" t="str">
        <f>VLOOKUP(E431,Customers!$A$2:$I$1001,6,0)</f>
        <v>Odessa</v>
      </c>
      <c r="J431" s="25" t="str">
        <f>VLOOKUP(E431,Customers!$A$2:$I$1001,7,0)</f>
        <v>United States</v>
      </c>
      <c r="K431" s="23" t="str">
        <f>VLOOKUP(E431,Customers!$A$2:$I$1001,9,0)</f>
        <v>No</v>
      </c>
      <c r="L431" s="4" t="s">
        <v>6</v>
      </c>
      <c r="M431" s="4" t="str">
        <f>VLOOKUP(L431,Products!$A$2:$G$49,2,0)</f>
        <v>Arabica</v>
      </c>
      <c r="N431" s="4" t="str">
        <f>VLOOKUP(L431,Products!$A$2:$G$49,3,0)</f>
        <v>Light</v>
      </c>
      <c r="O431" s="25">
        <v>6</v>
      </c>
      <c r="P431" s="5">
        <f>INDEX([1]products!$A$1:$G$49,MATCH([1]orders!$D431,[1]products!$A$1:$A$49,0),MATCH([1]orders!K$1,[1]products!$A$1:$G$1,0))</f>
        <v>1</v>
      </c>
      <c r="Q431" s="6">
        <f>INDEX([1]products!$A$1:$G$49,MATCH([1]orders!$D431,[1]products!$A$1:$A$49,0),MATCH([1]orders!L$1,[1]products!$A$1:$G$1,0))</f>
        <v>12.95</v>
      </c>
      <c r="R431" s="6">
        <f t="shared" si="30"/>
        <v>77.699999999999989</v>
      </c>
      <c r="S431">
        <f>VLOOKUP(L431,Products!$A$2:$G$49,7,0)</f>
        <v>1.1655</v>
      </c>
      <c r="T431">
        <f t="shared" si="33"/>
        <v>6.9930000000000003</v>
      </c>
      <c r="U431" s="33">
        <f t="shared" si="34"/>
        <v>9.0000000000000018</v>
      </c>
    </row>
    <row r="432" spans="1:21" x14ac:dyDescent="0.25">
      <c r="A432" s="1" t="s">
        <v>857</v>
      </c>
      <c r="B432" s="28">
        <v>44504</v>
      </c>
      <c r="C432" s="21" t="str">
        <f t="shared" si="31"/>
        <v>2021</v>
      </c>
      <c r="D432" s="19" t="str">
        <f t="shared" si="32"/>
        <v>November</v>
      </c>
      <c r="E432" s="3" t="s">
        <v>858</v>
      </c>
      <c r="F432" s="3" t="str">
        <f>VLOOKUP(E432,Customers!$A$2:$I$1001,2,0)</f>
        <v>Melosa Kippen</v>
      </c>
      <c r="G432" s="3" t="str">
        <f>VLOOKUP(E432,Customers!$A$2:$I$1001,3,0)</f>
        <v>mkippenby@dion.ne.jp</v>
      </c>
      <c r="H432" s="3" t="str">
        <f>VLOOKUP(E432,Customers!$A$2:$I$1001,4,0)</f>
        <v>+1 (601) 262-2557</v>
      </c>
      <c r="I432" s="25" t="str">
        <f>VLOOKUP(E432,Customers!$A$2:$I$1001,6,0)</f>
        <v>Jackson</v>
      </c>
      <c r="J432" s="25" t="str">
        <f>VLOOKUP(E432,Customers!$A$2:$I$1001,7,0)</f>
        <v>United States</v>
      </c>
      <c r="K432" s="23" t="str">
        <f>VLOOKUP(E432,Customers!$A$2:$I$1001,9,0)</f>
        <v>Yes</v>
      </c>
      <c r="L432" s="4" t="s">
        <v>101</v>
      </c>
      <c r="M432" s="4" t="str">
        <f>VLOOKUP(L432,Products!$A$2:$G$49,2,0)</f>
        <v>Robusta</v>
      </c>
      <c r="N432" s="4" t="str">
        <f>VLOOKUP(L432,Products!$A$2:$G$49,3,0)</f>
        <v>Dark</v>
      </c>
      <c r="O432" s="25">
        <v>2</v>
      </c>
      <c r="P432" s="5">
        <f>INDEX([1]products!$A$1:$G$49,MATCH([1]orders!$D432,[1]products!$A$1:$A$49,0),MATCH([1]orders!K$1,[1]products!$A$1:$G$1,0))</f>
        <v>0.2</v>
      </c>
      <c r="Q432" s="6">
        <f>INDEX([1]products!$A$1:$G$49,MATCH([1]orders!$D432,[1]products!$A$1:$A$49,0),MATCH([1]orders!L$1,[1]products!$A$1:$G$1,0))</f>
        <v>2.6849999999999996</v>
      </c>
      <c r="R432" s="6">
        <f t="shared" si="30"/>
        <v>5.3699999999999992</v>
      </c>
      <c r="S432">
        <f>VLOOKUP(L432,Products!$A$2:$G$49,7,0)</f>
        <v>0.16109999999999997</v>
      </c>
      <c r="T432">
        <f t="shared" si="33"/>
        <v>0.32219999999999993</v>
      </c>
      <c r="U432" s="33">
        <f t="shared" si="34"/>
        <v>6</v>
      </c>
    </row>
    <row r="433" spans="1:21" x14ac:dyDescent="0.25">
      <c r="A433" s="1" t="s">
        <v>859</v>
      </c>
      <c r="B433" s="28">
        <v>44291</v>
      </c>
      <c r="C433" s="21" t="str">
        <f t="shared" si="31"/>
        <v>2021</v>
      </c>
      <c r="D433" s="19" t="str">
        <f t="shared" si="32"/>
        <v>April</v>
      </c>
      <c r="E433" s="3" t="s">
        <v>860</v>
      </c>
      <c r="F433" s="3" t="str">
        <f>VLOOKUP(E433,Customers!$A$2:$I$1001,2,0)</f>
        <v>Witty Ranson</v>
      </c>
      <c r="G433" s="3" t="str">
        <f>VLOOKUP(E433,Customers!$A$2:$I$1001,3,0)</f>
        <v>wransonbz@ted.com</v>
      </c>
      <c r="H433" s="3" t="str">
        <f>VLOOKUP(E433,Customers!$A$2:$I$1001,4,0)</f>
        <v>+353 (376) 165-2897</v>
      </c>
      <c r="I433" s="25" t="str">
        <f>VLOOKUP(E433,Customers!$A$2:$I$1001,6,0)</f>
        <v>Kildare</v>
      </c>
      <c r="J433" s="25" t="str">
        <f>VLOOKUP(E433,Customers!$A$2:$I$1001,7,0)</f>
        <v>Ireland</v>
      </c>
      <c r="K433" s="23" t="str">
        <f>VLOOKUP(E433,Customers!$A$2:$I$1001,9,0)</f>
        <v>Yes</v>
      </c>
      <c r="L433" s="4" t="s">
        <v>530</v>
      </c>
      <c r="M433" s="4" t="str">
        <f>VLOOKUP(L433,Products!$A$2:$G$49,2,0)</f>
        <v>Excelsa</v>
      </c>
      <c r="N433" s="4" t="str">
        <f>VLOOKUP(L433,Products!$A$2:$G$49,3,0)</f>
        <v>Dark</v>
      </c>
      <c r="O433" s="25">
        <v>3</v>
      </c>
      <c r="P433" s="5">
        <f>INDEX([1]products!$A$1:$G$49,MATCH([1]orders!$D433,[1]products!$A$1:$A$49,0),MATCH([1]orders!K$1,[1]products!$A$1:$G$1,0))</f>
        <v>2.5</v>
      </c>
      <c r="Q433" s="6">
        <f>INDEX([1]products!$A$1:$G$49,MATCH([1]orders!$D433,[1]products!$A$1:$A$49,0),MATCH([1]orders!L$1,[1]products!$A$1:$G$1,0))</f>
        <v>27.945</v>
      </c>
      <c r="R433" s="6">
        <f t="shared" si="30"/>
        <v>83.835000000000008</v>
      </c>
      <c r="S433">
        <f>VLOOKUP(L433,Products!$A$2:$G$49,7,0)</f>
        <v>3.07395</v>
      </c>
      <c r="T433">
        <f t="shared" si="33"/>
        <v>9.2218499999999999</v>
      </c>
      <c r="U433" s="33">
        <f t="shared" si="34"/>
        <v>10.999999999999998</v>
      </c>
    </row>
    <row r="434" spans="1:21" x14ac:dyDescent="0.25">
      <c r="A434" s="1" t="s">
        <v>861</v>
      </c>
      <c r="B434" s="28">
        <v>43808</v>
      </c>
      <c r="C434" s="21" t="str">
        <f t="shared" si="31"/>
        <v>2019</v>
      </c>
      <c r="D434" s="19" t="str">
        <f t="shared" si="32"/>
        <v>December</v>
      </c>
      <c r="E434" s="3" t="s">
        <v>862</v>
      </c>
      <c r="F434" s="3" t="str">
        <f>VLOOKUP(E434,Customers!$A$2:$I$1001,2,0)</f>
        <v>Rod Gowdie</v>
      </c>
      <c r="G434" s="3" t="str">
        <f>VLOOKUP(E434,Customers!$A$2:$I$1001,3,0)</f>
        <v>UNKNOWN</v>
      </c>
      <c r="H434" s="3" t="str">
        <f>VLOOKUP(E434,Customers!$A$2:$I$1001,4,0)</f>
        <v>+1 (360) 347-6756</v>
      </c>
      <c r="I434" s="25" t="str">
        <f>VLOOKUP(E434,Customers!$A$2:$I$1001,6,0)</f>
        <v>Milwaukee</v>
      </c>
      <c r="J434" s="25" t="str">
        <f>VLOOKUP(E434,Customers!$A$2:$I$1001,7,0)</f>
        <v>United States</v>
      </c>
      <c r="K434" s="23" t="str">
        <f>VLOOKUP(E434,Customers!$A$2:$I$1001,9,0)</f>
        <v>No</v>
      </c>
      <c r="L434" s="4" t="s">
        <v>61</v>
      </c>
      <c r="M434" s="4" t="str">
        <f>VLOOKUP(L434,Products!$A$2:$G$49,2,0)</f>
        <v>Arabica</v>
      </c>
      <c r="N434" s="4" t="str">
        <f>VLOOKUP(L434,Products!$A$2:$G$49,3,0)</f>
        <v>Medium</v>
      </c>
      <c r="O434" s="25">
        <v>2</v>
      </c>
      <c r="P434" s="5">
        <f>INDEX([1]products!$A$1:$G$49,MATCH([1]orders!$D434,[1]products!$A$1:$A$49,0),MATCH([1]orders!K$1,[1]products!$A$1:$G$1,0))</f>
        <v>1</v>
      </c>
      <c r="Q434" s="6">
        <f>INDEX([1]products!$A$1:$G$49,MATCH([1]orders!$D434,[1]products!$A$1:$A$49,0),MATCH([1]orders!L$1,[1]products!$A$1:$G$1,0))</f>
        <v>11.25</v>
      </c>
      <c r="R434" s="6">
        <f t="shared" si="30"/>
        <v>22.5</v>
      </c>
      <c r="S434">
        <f>VLOOKUP(L434,Products!$A$2:$G$49,7,0)</f>
        <v>1.0125</v>
      </c>
      <c r="T434">
        <f t="shared" si="33"/>
        <v>2.0249999999999999</v>
      </c>
      <c r="U434" s="33">
        <f t="shared" si="34"/>
        <v>9</v>
      </c>
    </row>
    <row r="435" spans="1:21" x14ac:dyDescent="0.25">
      <c r="A435" s="1" t="s">
        <v>863</v>
      </c>
      <c r="B435" s="28">
        <v>44563</v>
      </c>
      <c r="C435" s="21" t="str">
        <f t="shared" si="31"/>
        <v>2022</v>
      </c>
      <c r="D435" s="19" t="str">
        <f t="shared" si="32"/>
        <v>January</v>
      </c>
      <c r="E435" s="3" t="s">
        <v>864</v>
      </c>
      <c r="F435" s="3" t="str">
        <f>VLOOKUP(E435,Customers!$A$2:$I$1001,2,0)</f>
        <v>Lemuel Rignold</v>
      </c>
      <c r="G435" s="3" t="str">
        <f>VLOOKUP(E435,Customers!$A$2:$I$1001,3,0)</f>
        <v>lrignoldc1@miibeian.gov.cn</v>
      </c>
      <c r="H435" s="3" t="str">
        <f>VLOOKUP(E435,Customers!$A$2:$I$1001,4,0)</f>
        <v>+1 (916) 472-7804</v>
      </c>
      <c r="I435" s="25" t="str">
        <f>VLOOKUP(E435,Customers!$A$2:$I$1001,6,0)</f>
        <v>Sacramento</v>
      </c>
      <c r="J435" s="25" t="str">
        <f>VLOOKUP(E435,Customers!$A$2:$I$1001,7,0)</f>
        <v>United States</v>
      </c>
      <c r="K435" s="23" t="str">
        <f>VLOOKUP(E435,Customers!$A$2:$I$1001,9,0)</f>
        <v>Yes</v>
      </c>
      <c r="L435" s="4" t="s">
        <v>197</v>
      </c>
      <c r="M435" s="4" t="str">
        <f>VLOOKUP(L435,Products!$A$2:$G$49,2,0)</f>
        <v>Liberica</v>
      </c>
      <c r="N435" s="4" t="str">
        <f>VLOOKUP(L435,Products!$A$2:$G$49,3,0)</f>
        <v>Medium</v>
      </c>
      <c r="O435" s="25">
        <v>6</v>
      </c>
      <c r="P435" s="5">
        <f>INDEX([1]products!$A$1:$G$49,MATCH([1]orders!$D435,[1]products!$A$1:$A$49,0),MATCH([1]orders!K$1,[1]products!$A$1:$G$1,0))</f>
        <v>2.5</v>
      </c>
      <c r="Q435" s="6">
        <f>INDEX([1]products!$A$1:$G$49,MATCH([1]orders!$D435,[1]products!$A$1:$A$49,0),MATCH([1]orders!L$1,[1]products!$A$1:$G$1,0))</f>
        <v>33.464999999999996</v>
      </c>
      <c r="R435" s="6">
        <f t="shared" si="30"/>
        <v>200.78999999999996</v>
      </c>
      <c r="S435">
        <f>VLOOKUP(L435,Products!$A$2:$G$49,7,0)</f>
        <v>4.3504499999999995</v>
      </c>
      <c r="T435">
        <f t="shared" si="33"/>
        <v>26.102699999999999</v>
      </c>
      <c r="U435" s="33">
        <f t="shared" si="34"/>
        <v>13</v>
      </c>
    </row>
    <row r="436" spans="1:21" x14ac:dyDescent="0.25">
      <c r="A436" s="1" t="s">
        <v>865</v>
      </c>
      <c r="B436" s="28">
        <v>43807</v>
      </c>
      <c r="C436" s="21" t="str">
        <f t="shared" si="31"/>
        <v>2019</v>
      </c>
      <c r="D436" s="19" t="str">
        <f t="shared" si="32"/>
        <v>December</v>
      </c>
      <c r="E436" s="3" t="s">
        <v>866</v>
      </c>
      <c r="F436" s="3" t="str">
        <f>VLOOKUP(E436,Customers!$A$2:$I$1001,2,0)</f>
        <v>Nevsa Fields</v>
      </c>
      <c r="G436" s="3" t="str">
        <f>VLOOKUP(E436,Customers!$A$2:$I$1001,3,0)</f>
        <v>UNKNOWN</v>
      </c>
      <c r="H436" s="3" t="str">
        <f>VLOOKUP(E436,Customers!$A$2:$I$1001,4,0)</f>
        <v>+1 (617) 535-7583</v>
      </c>
      <c r="I436" s="25" t="str">
        <f>VLOOKUP(E436,Customers!$A$2:$I$1001,6,0)</f>
        <v>Boston</v>
      </c>
      <c r="J436" s="25" t="str">
        <f>VLOOKUP(E436,Customers!$A$2:$I$1001,7,0)</f>
        <v>United States</v>
      </c>
      <c r="K436" s="23" t="str">
        <f>VLOOKUP(E436,Customers!$A$2:$I$1001,9,0)</f>
        <v>No</v>
      </c>
      <c r="L436" s="4" t="s">
        <v>61</v>
      </c>
      <c r="M436" s="4" t="str">
        <f>VLOOKUP(L436,Products!$A$2:$G$49,2,0)</f>
        <v>Arabica</v>
      </c>
      <c r="N436" s="4" t="str">
        <f>VLOOKUP(L436,Products!$A$2:$G$49,3,0)</f>
        <v>Medium</v>
      </c>
      <c r="O436" s="25">
        <v>6</v>
      </c>
      <c r="P436" s="5">
        <f>INDEX([1]products!$A$1:$G$49,MATCH([1]orders!$D436,[1]products!$A$1:$A$49,0),MATCH([1]orders!K$1,[1]products!$A$1:$G$1,0))</f>
        <v>1</v>
      </c>
      <c r="Q436" s="6">
        <f>INDEX([1]products!$A$1:$G$49,MATCH([1]orders!$D436,[1]products!$A$1:$A$49,0),MATCH([1]orders!L$1,[1]products!$A$1:$G$1,0))</f>
        <v>11.25</v>
      </c>
      <c r="R436" s="6">
        <f t="shared" si="30"/>
        <v>67.5</v>
      </c>
      <c r="S436">
        <f>VLOOKUP(L436,Products!$A$2:$G$49,7,0)</f>
        <v>1.0125</v>
      </c>
      <c r="T436">
        <f t="shared" si="33"/>
        <v>6.0749999999999993</v>
      </c>
      <c r="U436" s="33">
        <f t="shared" si="34"/>
        <v>8.9999999999999982</v>
      </c>
    </row>
    <row r="437" spans="1:21" x14ac:dyDescent="0.25">
      <c r="A437" s="1" t="s">
        <v>867</v>
      </c>
      <c r="B437" s="28">
        <v>44528</v>
      </c>
      <c r="C437" s="21" t="str">
        <f t="shared" si="31"/>
        <v>2021</v>
      </c>
      <c r="D437" s="19" t="str">
        <f t="shared" si="32"/>
        <v>November</v>
      </c>
      <c r="E437" s="3" t="s">
        <v>868</v>
      </c>
      <c r="F437" s="3" t="str">
        <f>VLOOKUP(E437,Customers!$A$2:$I$1001,2,0)</f>
        <v>Chance Rowthorn</v>
      </c>
      <c r="G437" s="3" t="str">
        <f>VLOOKUP(E437,Customers!$A$2:$I$1001,3,0)</f>
        <v>crowthornc3@msn.com</v>
      </c>
      <c r="H437" s="3" t="str">
        <f>VLOOKUP(E437,Customers!$A$2:$I$1001,4,0)</f>
        <v>+1 (785) 380-3311</v>
      </c>
      <c r="I437" s="25" t="str">
        <f>VLOOKUP(E437,Customers!$A$2:$I$1001,6,0)</f>
        <v>Topeka</v>
      </c>
      <c r="J437" s="25" t="str">
        <f>VLOOKUP(E437,Customers!$A$2:$I$1001,7,0)</f>
        <v>United States</v>
      </c>
      <c r="K437" s="23" t="str">
        <f>VLOOKUP(E437,Customers!$A$2:$I$1001,9,0)</f>
        <v>No</v>
      </c>
      <c r="L437" s="4" t="s">
        <v>3</v>
      </c>
      <c r="M437" s="4" t="str">
        <f>VLOOKUP(L437,Products!$A$2:$G$49,2,0)</f>
        <v>Excelsa</v>
      </c>
      <c r="N437" s="4" t="str">
        <f>VLOOKUP(L437,Products!$A$2:$G$49,3,0)</f>
        <v>Medium</v>
      </c>
      <c r="O437" s="25">
        <v>1</v>
      </c>
      <c r="P437" s="5">
        <f>INDEX([1]products!$A$1:$G$49,MATCH([1]orders!$D437,[1]products!$A$1:$A$49,0),MATCH([1]orders!K$1,[1]products!$A$1:$G$1,0))</f>
        <v>0.5</v>
      </c>
      <c r="Q437" s="6">
        <f>INDEX([1]products!$A$1:$G$49,MATCH([1]orders!$D437,[1]products!$A$1:$A$49,0),MATCH([1]orders!L$1,[1]products!$A$1:$G$1,0))</f>
        <v>8.25</v>
      </c>
      <c r="R437" s="6">
        <f t="shared" si="30"/>
        <v>8.25</v>
      </c>
      <c r="S437">
        <f>VLOOKUP(L437,Products!$A$2:$G$49,7,0)</f>
        <v>0.90749999999999997</v>
      </c>
      <c r="T437">
        <f t="shared" si="33"/>
        <v>0.90749999999999997</v>
      </c>
      <c r="U437" s="33">
        <f t="shared" si="34"/>
        <v>11</v>
      </c>
    </row>
    <row r="438" spans="1:21" x14ac:dyDescent="0.25">
      <c r="A438" s="1" t="s">
        <v>869</v>
      </c>
      <c r="B438" s="28">
        <v>44631</v>
      </c>
      <c r="C438" s="21" t="str">
        <f t="shared" si="31"/>
        <v>2022</v>
      </c>
      <c r="D438" s="19" t="str">
        <f t="shared" si="32"/>
        <v>March</v>
      </c>
      <c r="E438" s="3" t="s">
        <v>870</v>
      </c>
      <c r="F438" s="3" t="str">
        <f>VLOOKUP(E438,Customers!$A$2:$I$1001,2,0)</f>
        <v>Orly Ryland</v>
      </c>
      <c r="G438" s="3" t="str">
        <f>VLOOKUP(E438,Customers!$A$2:$I$1001,3,0)</f>
        <v>orylandc4@deviantart.com</v>
      </c>
      <c r="H438" s="3" t="str">
        <f>VLOOKUP(E438,Customers!$A$2:$I$1001,4,0)</f>
        <v>+1 (701) 417-3513</v>
      </c>
      <c r="I438" s="25" t="str">
        <f>VLOOKUP(E438,Customers!$A$2:$I$1001,6,0)</f>
        <v>Fargo</v>
      </c>
      <c r="J438" s="25" t="str">
        <f>VLOOKUP(E438,Customers!$A$2:$I$1001,7,0)</f>
        <v>United States</v>
      </c>
      <c r="K438" s="23" t="str">
        <f>VLOOKUP(E438,Customers!$A$2:$I$1001,9,0)</f>
        <v>Yes</v>
      </c>
      <c r="L438" s="4" t="s">
        <v>19</v>
      </c>
      <c r="M438" s="4" t="str">
        <f>VLOOKUP(L438,Products!$A$2:$G$49,2,0)</f>
        <v>Liberica</v>
      </c>
      <c r="N438" s="4" t="str">
        <f>VLOOKUP(L438,Products!$A$2:$G$49,3,0)</f>
        <v>Light</v>
      </c>
      <c r="O438" s="25">
        <v>2</v>
      </c>
      <c r="P438" s="5">
        <f>INDEX([1]products!$A$1:$G$49,MATCH([1]orders!$D438,[1]products!$A$1:$A$49,0),MATCH([1]orders!K$1,[1]products!$A$1:$G$1,0))</f>
        <v>0.2</v>
      </c>
      <c r="Q438" s="6">
        <f>INDEX([1]products!$A$1:$G$49,MATCH([1]orders!$D438,[1]products!$A$1:$A$49,0),MATCH([1]orders!L$1,[1]products!$A$1:$G$1,0))</f>
        <v>4.7549999999999999</v>
      </c>
      <c r="R438" s="6">
        <f t="shared" si="30"/>
        <v>9.51</v>
      </c>
      <c r="S438">
        <f>VLOOKUP(L438,Products!$A$2:$G$49,7,0)</f>
        <v>0.61814999999999998</v>
      </c>
      <c r="T438">
        <f t="shared" si="33"/>
        <v>1.2363</v>
      </c>
      <c r="U438" s="33">
        <f t="shared" si="34"/>
        <v>13</v>
      </c>
    </row>
    <row r="439" spans="1:21" x14ac:dyDescent="0.25">
      <c r="A439" s="1" t="s">
        <v>871</v>
      </c>
      <c r="B439" s="28">
        <v>44213</v>
      </c>
      <c r="C439" s="21" t="str">
        <f t="shared" si="31"/>
        <v>2021</v>
      </c>
      <c r="D439" s="19" t="str">
        <f t="shared" si="32"/>
        <v>January</v>
      </c>
      <c r="E439" s="3" t="s">
        <v>872</v>
      </c>
      <c r="F439" s="3" t="str">
        <f>VLOOKUP(E439,Customers!$A$2:$I$1001,2,0)</f>
        <v>Willabella Abramski</v>
      </c>
      <c r="G439" s="3" t="str">
        <f>VLOOKUP(E439,Customers!$A$2:$I$1001,3,0)</f>
        <v>UNKNOWN</v>
      </c>
      <c r="H439" s="3" t="str">
        <f>VLOOKUP(E439,Customers!$A$2:$I$1001,4,0)</f>
        <v>+1 (832) 263-0050</v>
      </c>
      <c r="I439" s="25" t="str">
        <f>VLOOKUP(E439,Customers!$A$2:$I$1001,6,0)</f>
        <v>Houston</v>
      </c>
      <c r="J439" s="25" t="str">
        <f>VLOOKUP(E439,Customers!$A$2:$I$1001,7,0)</f>
        <v>United States</v>
      </c>
      <c r="K439" s="23" t="str">
        <f>VLOOKUP(E439,Customers!$A$2:$I$1001,9,0)</f>
        <v>No</v>
      </c>
      <c r="L439" s="4" t="s">
        <v>109</v>
      </c>
      <c r="M439" s="4" t="str">
        <f>VLOOKUP(L439,Products!$A$2:$G$49,2,0)</f>
        <v>Liberica</v>
      </c>
      <c r="N439" s="4" t="str">
        <f>VLOOKUP(L439,Products!$A$2:$G$49,3,0)</f>
        <v>Dark</v>
      </c>
      <c r="O439" s="25">
        <v>1</v>
      </c>
      <c r="P439" s="5">
        <f>INDEX([1]products!$A$1:$G$49,MATCH([1]orders!$D439,[1]products!$A$1:$A$49,0),MATCH([1]orders!K$1,[1]products!$A$1:$G$1,0))</f>
        <v>2.5</v>
      </c>
      <c r="Q439" s="6">
        <f>INDEX([1]products!$A$1:$G$49,MATCH([1]orders!$D439,[1]products!$A$1:$A$49,0),MATCH([1]orders!L$1,[1]products!$A$1:$G$1,0))</f>
        <v>29.784999999999997</v>
      </c>
      <c r="R439" s="6">
        <f t="shared" si="30"/>
        <v>29.784999999999997</v>
      </c>
      <c r="S439">
        <f>VLOOKUP(L439,Products!$A$2:$G$49,7,0)</f>
        <v>3.8720499999999998</v>
      </c>
      <c r="T439">
        <f t="shared" si="33"/>
        <v>3.8720499999999998</v>
      </c>
      <c r="U439" s="33">
        <f t="shared" si="34"/>
        <v>13</v>
      </c>
    </row>
    <row r="440" spans="1:21" x14ac:dyDescent="0.25">
      <c r="A440" s="1" t="s">
        <v>873</v>
      </c>
      <c r="B440" s="28">
        <v>43483</v>
      </c>
      <c r="C440" s="21" t="str">
        <f t="shared" si="31"/>
        <v>2019</v>
      </c>
      <c r="D440" s="19" t="str">
        <f t="shared" si="32"/>
        <v>January</v>
      </c>
      <c r="E440" s="3" t="s">
        <v>874</v>
      </c>
      <c r="F440" s="3" t="str">
        <f>VLOOKUP(E440,Customers!$A$2:$I$1001,2,0)</f>
        <v>Morgen Seson</v>
      </c>
      <c r="G440" s="3" t="str">
        <f>VLOOKUP(E440,Customers!$A$2:$I$1001,3,0)</f>
        <v>msesonck@census.gov</v>
      </c>
      <c r="H440" s="3" t="str">
        <f>VLOOKUP(E440,Customers!$A$2:$I$1001,4,0)</f>
        <v>+1 (206) 642-0902</v>
      </c>
      <c r="I440" s="25" t="str">
        <f>VLOOKUP(E440,Customers!$A$2:$I$1001,6,0)</f>
        <v>Seattle</v>
      </c>
      <c r="J440" s="25" t="str">
        <f>VLOOKUP(E440,Customers!$A$2:$I$1001,7,0)</f>
        <v>United States</v>
      </c>
      <c r="K440" s="23" t="str">
        <f>VLOOKUP(E440,Customers!$A$2:$I$1001,9,0)</f>
        <v>No</v>
      </c>
      <c r="L440" s="4" t="s">
        <v>123</v>
      </c>
      <c r="M440" s="4" t="str">
        <f>VLOOKUP(L440,Products!$A$2:$G$49,2,0)</f>
        <v>Liberica</v>
      </c>
      <c r="N440" s="4" t="str">
        <f>VLOOKUP(L440,Products!$A$2:$G$49,3,0)</f>
        <v>Dark</v>
      </c>
      <c r="O440" s="25">
        <v>2</v>
      </c>
      <c r="P440" s="5">
        <f>INDEX([1]products!$A$1:$G$49,MATCH([1]orders!$D440,[1]products!$A$1:$A$49,0),MATCH([1]orders!K$1,[1]products!$A$1:$G$1,0))</f>
        <v>0.5</v>
      </c>
      <c r="Q440" s="6">
        <f>INDEX([1]products!$A$1:$G$49,MATCH([1]orders!$D440,[1]products!$A$1:$A$49,0),MATCH([1]orders!L$1,[1]products!$A$1:$G$1,0))</f>
        <v>7.77</v>
      </c>
      <c r="R440" s="6">
        <f t="shared" si="30"/>
        <v>15.54</v>
      </c>
      <c r="S440">
        <f>VLOOKUP(L440,Products!$A$2:$G$49,7,0)</f>
        <v>1.0101</v>
      </c>
      <c r="T440">
        <f t="shared" si="33"/>
        <v>2.0202</v>
      </c>
      <c r="U440" s="33">
        <f t="shared" si="34"/>
        <v>13</v>
      </c>
    </row>
    <row r="441" spans="1:21" x14ac:dyDescent="0.25">
      <c r="A441" s="1" t="s">
        <v>875</v>
      </c>
      <c r="B441" s="28">
        <v>43562</v>
      </c>
      <c r="C441" s="21" t="str">
        <f t="shared" si="31"/>
        <v>2019</v>
      </c>
      <c r="D441" s="19" t="str">
        <f t="shared" si="32"/>
        <v>April</v>
      </c>
      <c r="E441" s="3" t="s">
        <v>876</v>
      </c>
      <c r="F441" s="3" t="str">
        <f>VLOOKUP(E441,Customers!$A$2:$I$1001,2,0)</f>
        <v>Chickie Ragless</v>
      </c>
      <c r="G441" s="3" t="str">
        <f>VLOOKUP(E441,Customers!$A$2:$I$1001,3,0)</f>
        <v>craglessc7@webmd.com</v>
      </c>
      <c r="H441" s="3" t="str">
        <f>VLOOKUP(E441,Customers!$A$2:$I$1001,4,0)</f>
        <v>+353 (736) 602-8469</v>
      </c>
      <c r="I441" s="25" t="str">
        <f>VLOOKUP(E441,Customers!$A$2:$I$1001,6,0)</f>
        <v>Caherconlish</v>
      </c>
      <c r="J441" s="25" t="str">
        <f>VLOOKUP(E441,Customers!$A$2:$I$1001,7,0)</f>
        <v>Ireland</v>
      </c>
      <c r="K441" s="23" t="str">
        <f>VLOOKUP(E441,Customers!$A$2:$I$1001,9,0)</f>
        <v>No</v>
      </c>
      <c r="L441" s="4" t="s">
        <v>176</v>
      </c>
      <c r="M441" s="4" t="str">
        <f>VLOOKUP(L441,Products!$A$2:$G$49,2,0)</f>
        <v>Excelsa</v>
      </c>
      <c r="N441" s="4" t="str">
        <f>VLOOKUP(L441,Products!$A$2:$G$49,3,0)</f>
        <v>Light</v>
      </c>
      <c r="O441" s="25">
        <v>4</v>
      </c>
      <c r="P441" s="5">
        <f>INDEX([1]products!$A$1:$G$49,MATCH([1]orders!$D441,[1]products!$A$1:$A$49,0),MATCH([1]orders!K$1,[1]products!$A$1:$G$1,0))</f>
        <v>0.5</v>
      </c>
      <c r="Q441" s="6">
        <f>INDEX([1]products!$A$1:$G$49,MATCH([1]orders!$D441,[1]products!$A$1:$A$49,0),MATCH([1]orders!L$1,[1]products!$A$1:$G$1,0))</f>
        <v>8.91</v>
      </c>
      <c r="R441" s="6">
        <f t="shared" si="30"/>
        <v>35.64</v>
      </c>
      <c r="S441">
        <f>VLOOKUP(L441,Products!$A$2:$G$49,7,0)</f>
        <v>0.98009999999999997</v>
      </c>
      <c r="T441">
        <f t="shared" si="33"/>
        <v>3.9203999999999999</v>
      </c>
      <c r="U441" s="33">
        <f t="shared" si="34"/>
        <v>11</v>
      </c>
    </row>
    <row r="442" spans="1:21" x14ac:dyDescent="0.25">
      <c r="A442" s="1" t="s">
        <v>877</v>
      </c>
      <c r="B442" s="28">
        <v>44230</v>
      </c>
      <c r="C442" s="21" t="str">
        <f t="shared" si="31"/>
        <v>2021</v>
      </c>
      <c r="D442" s="19" t="str">
        <f t="shared" si="32"/>
        <v>February</v>
      </c>
      <c r="E442" s="3" t="s">
        <v>878</v>
      </c>
      <c r="F442" s="3" t="str">
        <f>VLOOKUP(E442,Customers!$A$2:$I$1001,2,0)</f>
        <v>Freda Hollows</v>
      </c>
      <c r="G442" s="3" t="str">
        <f>VLOOKUP(E442,Customers!$A$2:$I$1001,3,0)</f>
        <v>fhollowsc8@blogtalkradio.com</v>
      </c>
      <c r="H442" s="3" t="str">
        <f>VLOOKUP(E442,Customers!$A$2:$I$1001,4,0)</f>
        <v>+1 (716) 632-6865</v>
      </c>
      <c r="I442" s="25" t="str">
        <f>VLOOKUP(E442,Customers!$A$2:$I$1001,6,0)</f>
        <v>Buffalo</v>
      </c>
      <c r="J442" s="25" t="str">
        <f>VLOOKUP(E442,Customers!$A$2:$I$1001,7,0)</f>
        <v>United States</v>
      </c>
      <c r="K442" s="23" t="str">
        <f>VLOOKUP(E442,Customers!$A$2:$I$1001,9,0)</f>
        <v>Yes</v>
      </c>
      <c r="L442" s="4" t="s">
        <v>171</v>
      </c>
      <c r="M442" s="4" t="str">
        <f>VLOOKUP(L442,Products!$A$2:$G$49,2,0)</f>
        <v>Arabica</v>
      </c>
      <c r="N442" s="4" t="str">
        <f>VLOOKUP(L442,Products!$A$2:$G$49,3,0)</f>
        <v>Medium</v>
      </c>
      <c r="O442" s="25">
        <v>4</v>
      </c>
      <c r="P442" s="5">
        <f>INDEX([1]products!$A$1:$G$49,MATCH([1]orders!$D442,[1]products!$A$1:$A$49,0),MATCH([1]orders!K$1,[1]products!$A$1:$G$1,0))</f>
        <v>2.5</v>
      </c>
      <c r="Q442" s="6">
        <f>INDEX([1]products!$A$1:$G$49,MATCH([1]orders!$D442,[1]products!$A$1:$A$49,0),MATCH([1]orders!L$1,[1]products!$A$1:$G$1,0))</f>
        <v>25.874999999999996</v>
      </c>
      <c r="R442" s="6">
        <f t="shared" si="30"/>
        <v>103.49999999999999</v>
      </c>
      <c r="S442">
        <f>VLOOKUP(L442,Products!$A$2:$G$49,7,0)</f>
        <v>2.3287499999999994</v>
      </c>
      <c r="T442">
        <f t="shared" si="33"/>
        <v>9.3149999999999977</v>
      </c>
      <c r="U442" s="33">
        <f t="shared" si="34"/>
        <v>9</v>
      </c>
    </row>
    <row r="443" spans="1:21" x14ac:dyDescent="0.25">
      <c r="A443" s="1" t="s">
        <v>879</v>
      </c>
      <c r="B443" s="28">
        <v>43573</v>
      </c>
      <c r="C443" s="21" t="str">
        <f t="shared" si="31"/>
        <v>2019</v>
      </c>
      <c r="D443" s="19" t="str">
        <f t="shared" si="32"/>
        <v>April</v>
      </c>
      <c r="E443" s="3" t="s">
        <v>880</v>
      </c>
      <c r="F443" s="3" t="str">
        <f>VLOOKUP(E443,Customers!$A$2:$I$1001,2,0)</f>
        <v>Livy Lathleiff</v>
      </c>
      <c r="G443" s="3" t="str">
        <f>VLOOKUP(E443,Customers!$A$2:$I$1001,3,0)</f>
        <v>llathleiffc9@nationalgeographic.com</v>
      </c>
      <c r="H443" s="3" t="str">
        <f>VLOOKUP(E443,Customers!$A$2:$I$1001,4,0)</f>
        <v>+353 (895) 566-0110</v>
      </c>
      <c r="I443" s="25" t="str">
        <f>VLOOKUP(E443,Customers!$A$2:$I$1001,6,0)</f>
        <v>Shankill</v>
      </c>
      <c r="J443" s="25" t="str">
        <f>VLOOKUP(E443,Customers!$A$2:$I$1001,7,0)</f>
        <v>Ireland</v>
      </c>
      <c r="K443" s="23" t="str">
        <f>VLOOKUP(E443,Customers!$A$2:$I$1001,9,0)</f>
        <v>Yes</v>
      </c>
      <c r="L443" s="4" t="s">
        <v>245</v>
      </c>
      <c r="M443" s="4" t="str">
        <f>VLOOKUP(L443,Products!$A$2:$G$49,2,0)</f>
        <v>Excelsa</v>
      </c>
      <c r="N443" s="4" t="str">
        <f>VLOOKUP(L443,Products!$A$2:$G$49,3,0)</f>
        <v>Dark</v>
      </c>
      <c r="O443" s="25">
        <v>3</v>
      </c>
      <c r="P443" s="5">
        <f>INDEX([1]products!$A$1:$G$49,MATCH([1]orders!$D443,[1]products!$A$1:$A$49,0),MATCH([1]orders!K$1,[1]products!$A$1:$G$1,0))</f>
        <v>1</v>
      </c>
      <c r="Q443" s="6">
        <f>INDEX([1]products!$A$1:$G$49,MATCH([1]orders!$D443,[1]products!$A$1:$A$49,0),MATCH([1]orders!L$1,[1]products!$A$1:$G$1,0))</f>
        <v>12.15</v>
      </c>
      <c r="R443" s="6">
        <f t="shared" si="30"/>
        <v>36.450000000000003</v>
      </c>
      <c r="S443">
        <f>VLOOKUP(L443,Products!$A$2:$G$49,7,0)</f>
        <v>1.3365</v>
      </c>
      <c r="T443">
        <f t="shared" si="33"/>
        <v>4.0095000000000001</v>
      </c>
      <c r="U443" s="33">
        <f t="shared" si="34"/>
        <v>10.999999999999998</v>
      </c>
    </row>
    <row r="444" spans="1:21" x14ac:dyDescent="0.25">
      <c r="A444" s="1" t="s">
        <v>881</v>
      </c>
      <c r="B444" s="28">
        <v>44384</v>
      </c>
      <c r="C444" s="21" t="str">
        <f t="shared" si="31"/>
        <v>2021</v>
      </c>
      <c r="D444" s="19" t="str">
        <f t="shared" si="32"/>
        <v>July</v>
      </c>
      <c r="E444" s="3" t="s">
        <v>882</v>
      </c>
      <c r="F444" s="3" t="str">
        <f>VLOOKUP(E444,Customers!$A$2:$I$1001,2,0)</f>
        <v>Koralle Heads</v>
      </c>
      <c r="G444" s="3" t="str">
        <f>VLOOKUP(E444,Customers!$A$2:$I$1001,3,0)</f>
        <v>kheadsca@jalbum.net</v>
      </c>
      <c r="H444" s="3" t="str">
        <f>VLOOKUP(E444,Customers!$A$2:$I$1001,4,0)</f>
        <v>+1 (484) 131-2636</v>
      </c>
      <c r="I444" s="25" t="str">
        <f>VLOOKUP(E444,Customers!$A$2:$I$1001,6,0)</f>
        <v>Bethlehem</v>
      </c>
      <c r="J444" s="25" t="str">
        <f>VLOOKUP(E444,Customers!$A$2:$I$1001,7,0)</f>
        <v>United States</v>
      </c>
      <c r="K444" s="23" t="str">
        <f>VLOOKUP(E444,Customers!$A$2:$I$1001,9,0)</f>
        <v>No</v>
      </c>
      <c r="L444" s="4" t="s">
        <v>157</v>
      </c>
      <c r="M444" s="4" t="str">
        <f>VLOOKUP(L444,Products!$A$2:$G$49,2,0)</f>
        <v>Robusta</v>
      </c>
      <c r="N444" s="4" t="str">
        <f>VLOOKUP(L444,Products!$A$2:$G$49,3,0)</f>
        <v>Light</v>
      </c>
      <c r="O444" s="25">
        <v>5</v>
      </c>
      <c r="P444" s="5">
        <f>INDEX([1]products!$A$1:$G$49,MATCH([1]orders!$D444,[1]products!$A$1:$A$49,0),MATCH([1]orders!K$1,[1]products!$A$1:$G$1,0))</f>
        <v>0.5</v>
      </c>
      <c r="Q444" s="6">
        <f>INDEX([1]products!$A$1:$G$49,MATCH([1]orders!$D444,[1]products!$A$1:$A$49,0),MATCH([1]orders!L$1,[1]products!$A$1:$G$1,0))</f>
        <v>7.169999999999999</v>
      </c>
      <c r="R444" s="6">
        <f t="shared" si="30"/>
        <v>35.849999999999994</v>
      </c>
      <c r="S444">
        <f>VLOOKUP(L444,Products!$A$2:$G$49,7,0)</f>
        <v>0.43019999999999992</v>
      </c>
      <c r="T444">
        <f t="shared" si="33"/>
        <v>2.1509999999999998</v>
      </c>
      <c r="U444" s="33">
        <f t="shared" si="34"/>
        <v>6.0000000000000009</v>
      </c>
    </row>
    <row r="445" spans="1:21" x14ac:dyDescent="0.25">
      <c r="A445" s="1" t="s">
        <v>883</v>
      </c>
      <c r="B445" s="28">
        <v>44250</v>
      </c>
      <c r="C445" s="21" t="str">
        <f t="shared" si="31"/>
        <v>2021</v>
      </c>
      <c r="D445" s="19" t="str">
        <f t="shared" si="32"/>
        <v>February</v>
      </c>
      <c r="E445" s="3" t="s">
        <v>884</v>
      </c>
      <c r="F445" s="3" t="str">
        <f>VLOOKUP(E445,Customers!$A$2:$I$1001,2,0)</f>
        <v>Theo Bowne</v>
      </c>
      <c r="G445" s="3" t="str">
        <f>VLOOKUP(E445,Customers!$A$2:$I$1001,3,0)</f>
        <v>tbownecb@unicef.org</v>
      </c>
      <c r="H445" s="3" t="str">
        <f>VLOOKUP(E445,Customers!$A$2:$I$1001,4,0)</f>
        <v>+353 (540) 432-8009</v>
      </c>
      <c r="I445" s="25" t="str">
        <f>VLOOKUP(E445,Customers!$A$2:$I$1001,6,0)</f>
        <v>Watergrasshill</v>
      </c>
      <c r="J445" s="25" t="str">
        <f>VLOOKUP(E445,Customers!$A$2:$I$1001,7,0)</f>
        <v>Ireland</v>
      </c>
      <c r="K445" s="23" t="str">
        <f>VLOOKUP(E445,Customers!$A$2:$I$1001,9,0)</f>
        <v>Yes</v>
      </c>
      <c r="L445" s="4" t="s">
        <v>254</v>
      </c>
      <c r="M445" s="4" t="str">
        <f>VLOOKUP(L445,Products!$A$2:$G$49,2,0)</f>
        <v>Excelsa</v>
      </c>
      <c r="N445" s="4" t="str">
        <f>VLOOKUP(L445,Products!$A$2:$G$49,3,0)</f>
        <v>Light</v>
      </c>
      <c r="O445" s="25">
        <v>5</v>
      </c>
      <c r="P445" s="5">
        <f>INDEX([1]products!$A$1:$G$49,MATCH([1]orders!$D445,[1]products!$A$1:$A$49,0),MATCH([1]orders!K$1,[1]products!$A$1:$G$1,0))</f>
        <v>0.2</v>
      </c>
      <c r="Q445" s="6">
        <f>INDEX([1]products!$A$1:$G$49,MATCH([1]orders!$D445,[1]products!$A$1:$A$49,0),MATCH([1]orders!L$1,[1]products!$A$1:$G$1,0))</f>
        <v>4.4550000000000001</v>
      </c>
      <c r="R445" s="6">
        <f t="shared" si="30"/>
        <v>22.274999999999999</v>
      </c>
      <c r="S445">
        <f>VLOOKUP(L445,Products!$A$2:$G$49,7,0)</f>
        <v>0.49004999999999999</v>
      </c>
      <c r="T445">
        <f t="shared" si="33"/>
        <v>2.45025</v>
      </c>
      <c r="U445" s="33">
        <f t="shared" si="34"/>
        <v>11.000000000000002</v>
      </c>
    </row>
    <row r="446" spans="1:21" x14ac:dyDescent="0.25">
      <c r="A446" s="1" t="s">
        <v>885</v>
      </c>
      <c r="B446" s="28">
        <v>44418</v>
      </c>
      <c r="C446" s="21" t="str">
        <f t="shared" si="31"/>
        <v>2021</v>
      </c>
      <c r="D446" s="19" t="str">
        <f t="shared" si="32"/>
        <v>August</v>
      </c>
      <c r="E446" s="3" t="s">
        <v>886</v>
      </c>
      <c r="F446" s="3" t="str">
        <f>VLOOKUP(E446,Customers!$A$2:$I$1001,2,0)</f>
        <v>Rasia Jacquemard</v>
      </c>
      <c r="G446" s="3" t="str">
        <f>VLOOKUP(E446,Customers!$A$2:$I$1001,3,0)</f>
        <v>rjacquemardcc@acquirethisname.com</v>
      </c>
      <c r="H446" s="3" t="str">
        <f>VLOOKUP(E446,Customers!$A$2:$I$1001,4,0)</f>
        <v>+353 (959) 389-1521</v>
      </c>
      <c r="I446" s="25" t="str">
        <f>VLOOKUP(E446,Customers!$A$2:$I$1001,6,0)</f>
        <v>Monasterevin</v>
      </c>
      <c r="J446" s="25" t="str">
        <f>VLOOKUP(E446,Customers!$A$2:$I$1001,7,0)</f>
        <v>Ireland</v>
      </c>
      <c r="K446" s="23" t="str">
        <f>VLOOKUP(E446,Customers!$A$2:$I$1001,9,0)</f>
        <v>No</v>
      </c>
      <c r="L446" s="4" t="s">
        <v>64</v>
      </c>
      <c r="M446" s="4" t="str">
        <f>VLOOKUP(L446,Products!$A$2:$G$49,2,0)</f>
        <v>Excelsa</v>
      </c>
      <c r="N446" s="4" t="str">
        <f>VLOOKUP(L446,Products!$A$2:$G$49,3,0)</f>
        <v>Medium</v>
      </c>
      <c r="O446" s="25">
        <v>6</v>
      </c>
      <c r="P446" s="5">
        <f>INDEX([1]products!$A$1:$G$49,MATCH([1]orders!$D446,[1]products!$A$1:$A$49,0),MATCH([1]orders!K$1,[1]products!$A$1:$G$1,0))</f>
        <v>0.2</v>
      </c>
      <c r="Q446" s="6">
        <f>INDEX([1]products!$A$1:$G$49,MATCH([1]orders!$D446,[1]products!$A$1:$A$49,0),MATCH([1]orders!L$1,[1]products!$A$1:$G$1,0))</f>
        <v>4.125</v>
      </c>
      <c r="R446" s="6">
        <f t="shared" si="30"/>
        <v>24.75</v>
      </c>
      <c r="S446">
        <f>VLOOKUP(L446,Products!$A$2:$G$49,7,0)</f>
        <v>0.45374999999999999</v>
      </c>
      <c r="T446">
        <f t="shared" si="33"/>
        <v>2.7225000000000001</v>
      </c>
      <c r="U446" s="33">
        <f t="shared" si="34"/>
        <v>11</v>
      </c>
    </row>
    <row r="447" spans="1:21" x14ac:dyDescent="0.25">
      <c r="A447" s="1" t="s">
        <v>887</v>
      </c>
      <c r="B447" s="28">
        <v>43784</v>
      </c>
      <c r="C447" s="21" t="str">
        <f t="shared" si="31"/>
        <v>2019</v>
      </c>
      <c r="D447" s="19" t="str">
        <f t="shared" si="32"/>
        <v>November</v>
      </c>
      <c r="E447" s="3" t="s">
        <v>888</v>
      </c>
      <c r="F447" s="3" t="str">
        <f>VLOOKUP(E447,Customers!$A$2:$I$1001,2,0)</f>
        <v>Kizzie Warman</v>
      </c>
      <c r="G447" s="3" t="str">
        <f>VLOOKUP(E447,Customers!$A$2:$I$1001,3,0)</f>
        <v>kwarmancd@printfriendly.com</v>
      </c>
      <c r="H447" s="3" t="str">
        <f>VLOOKUP(E447,Customers!$A$2:$I$1001,4,0)</f>
        <v>UNKNOWN</v>
      </c>
      <c r="I447" s="25" t="str">
        <f>VLOOKUP(E447,Customers!$A$2:$I$1001,6,0)</f>
        <v>Sandyford</v>
      </c>
      <c r="J447" s="25" t="str">
        <f>VLOOKUP(E447,Customers!$A$2:$I$1001,7,0)</f>
        <v>Ireland</v>
      </c>
      <c r="K447" s="23" t="str">
        <f>VLOOKUP(E447,Customers!$A$2:$I$1001,9,0)</f>
        <v>Yes</v>
      </c>
      <c r="L447" s="4" t="s">
        <v>197</v>
      </c>
      <c r="M447" s="4" t="str">
        <f>VLOOKUP(L447,Products!$A$2:$G$49,2,0)</f>
        <v>Liberica</v>
      </c>
      <c r="N447" s="4" t="str">
        <f>VLOOKUP(L447,Products!$A$2:$G$49,3,0)</f>
        <v>Medium</v>
      </c>
      <c r="O447" s="25">
        <v>2</v>
      </c>
      <c r="P447" s="5">
        <f>INDEX([1]products!$A$1:$G$49,MATCH([1]orders!$D447,[1]products!$A$1:$A$49,0),MATCH([1]orders!K$1,[1]products!$A$1:$G$1,0))</f>
        <v>2.5</v>
      </c>
      <c r="Q447" s="6">
        <f>INDEX([1]products!$A$1:$G$49,MATCH([1]orders!$D447,[1]products!$A$1:$A$49,0),MATCH([1]orders!L$1,[1]products!$A$1:$G$1,0))</f>
        <v>33.464999999999996</v>
      </c>
      <c r="R447" s="6">
        <f t="shared" si="30"/>
        <v>66.929999999999993</v>
      </c>
      <c r="S447">
        <f>VLOOKUP(L447,Products!$A$2:$G$49,7,0)</f>
        <v>4.3504499999999995</v>
      </c>
      <c r="T447">
        <f t="shared" si="33"/>
        <v>8.700899999999999</v>
      </c>
      <c r="U447" s="33">
        <f t="shared" si="34"/>
        <v>13</v>
      </c>
    </row>
    <row r="448" spans="1:21" x14ac:dyDescent="0.25">
      <c r="A448" s="1" t="s">
        <v>889</v>
      </c>
      <c r="B448" s="28">
        <v>43816</v>
      </c>
      <c r="C448" s="21" t="str">
        <f t="shared" si="31"/>
        <v>2019</v>
      </c>
      <c r="D448" s="19" t="str">
        <f t="shared" si="32"/>
        <v>December</v>
      </c>
      <c r="E448" s="3" t="s">
        <v>890</v>
      </c>
      <c r="F448" s="3" t="str">
        <f>VLOOKUP(E448,Customers!$A$2:$I$1001,2,0)</f>
        <v>Wain Cholomin</v>
      </c>
      <c r="G448" s="3" t="str">
        <f>VLOOKUP(E448,Customers!$A$2:$I$1001,3,0)</f>
        <v>wcholomince@about.com</v>
      </c>
      <c r="H448" s="3" t="str">
        <f>VLOOKUP(E448,Customers!$A$2:$I$1001,4,0)</f>
        <v>+44 (512) 340-9049</v>
      </c>
      <c r="I448" s="25" t="str">
        <f>VLOOKUP(E448,Customers!$A$2:$I$1001,6,0)</f>
        <v>Birmingham</v>
      </c>
      <c r="J448" s="25" t="str">
        <f>VLOOKUP(E448,Customers!$A$2:$I$1001,7,0)</f>
        <v>United Kingdom</v>
      </c>
      <c r="K448" s="23" t="str">
        <f>VLOOKUP(E448,Customers!$A$2:$I$1001,9,0)</f>
        <v>Yes</v>
      </c>
      <c r="L448" s="4" t="s">
        <v>78</v>
      </c>
      <c r="M448" s="4" t="str">
        <f>VLOOKUP(L448,Products!$A$2:$G$49,2,0)</f>
        <v>Liberica</v>
      </c>
      <c r="N448" s="4" t="str">
        <f>VLOOKUP(L448,Products!$A$2:$G$49,3,0)</f>
        <v>Medium</v>
      </c>
      <c r="O448" s="25">
        <v>1</v>
      </c>
      <c r="P448" s="5">
        <f>INDEX([1]products!$A$1:$G$49,MATCH([1]orders!$D448,[1]products!$A$1:$A$49,0),MATCH([1]orders!K$1,[1]products!$A$1:$G$1,0))</f>
        <v>0.5</v>
      </c>
      <c r="Q448" s="6">
        <f>INDEX([1]products!$A$1:$G$49,MATCH([1]orders!$D448,[1]products!$A$1:$A$49,0),MATCH([1]orders!L$1,[1]products!$A$1:$G$1,0))</f>
        <v>8.73</v>
      </c>
      <c r="R448" s="6">
        <f t="shared" si="30"/>
        <v>8.73</v>
      </c>
      <c r="S448">
        <f>VLOOKUP(L448,Products!$A$2:$G$49,7,0)</f>
        <v>1.1349</v>
      </c>
      <c r="T448">
        <f t="shared" si="33"/>
        <v>1.1349</v>
      </c>
      <c r="U448" s="33">
        <f t="shared" si="34"/>
        <v>13</v>
      </c>
    </row>
    <row r="449" spans="1:21" x14ac:dyDescent="0.25">
      <c r="A449" s="1" t="s">
        <v>891</v>
      </c>
      <c r="B449" s="28">
        <v>43908</v>
      </c>
      <c r="C449" s="21" t="str">
        <f t="shared" si="31"/>
        <v>2020</v>
      </c>
      <c r="D449" s="19" t="str">
        <f t="shared" si="32"/>
        <v>March</v>
      </c>
      <c r="E449" s="3" t="s">
        <v>892</v>
      </c>
      <c r="F449" s="3" t="str">
        <f>VLOOKUP(E449,Customers!$A$2:$I$1001,2,0)</f>
        <v>Arleen Braidman</v>
      </c>
      <c r="G449" s="3" t="str">
        <f>VLOOKUP(E449,Customers!$A$2:$I$1001,3,0)</f>
        <v>abraidmancf@census.gov</v>
      </c>
      <c r="H449" s="3" t="str">
        <f>VLOOKUP(E449,Customers!$A$2:$I$1001,4,0)</f>
        <v>UNKNOWN</v>
      </c>
      <c r="I449" s="25" t="str">
        <f>VLOOKUP(E449,Customers!$A$2:$I$1001,6,0)</f>
        <v>Phoenix</v>
      </c>
      <c r="J449" s="25" t="str">
        <f>VLOOKUP(E449,Customers!$A$2:$I$1001,7,0)</f>
        <v>United States</v>
      </c>
      <c r="K449" s="23" t="str">
        <f>VLOOKUP(E449,Customers!$A$2:$I$1001,9,0)</f>
        <v>No</v>
      </c>
      <c r="L449" s="4" t="s">
        <v>22</v>
      </c>
      <c r="M449" s="4" t="str">
        <f>VLOOKUP(L449,Products!$A$2:$G$49,2,0)</f>
        <v>Robusta</v>
      </c>
      <c r="N449" s="4" t="str">
        <f>VLOOKUP(L449,Products!$A$2:$G$49,3,0)</f>
        <v>Medium</v>
      </c>
      <c r="O449" s="25">
        <v>3</v>
      </c>
      <c r="P449" s="5">
        <f>INDEX([1]products!$A$1:$G$49,MATCH([1]orders!$D449,[1]products!$A$1:$A$49,0),MATCH([1]orders!K$1,[1]products!$A$1:$G$1,0))</f>
        <v>0.5</v>
      </c>
      <c r="Q449" s="6">
        <f>INDEX([1]products!$A$1:$G$49,MATCH([1]orders!$D449,[1]products!$A$1:$A$49,0),MATCH([1]orders!L$1,[1]products!$A$1:$G$1,0))</f>
        <v>5.97</v>
      </c>
      <c r="R449" s="6">
        <f t="shared" si="30"/>
        <v>17.91</v>
      </c>
      <c r="S449">
        <f>VLOOKUP(L449,Products!$A$2:$G$49,7,0)</f>
        <v>0.35819999999999996</v>
      </c>
      <c r="T449">
        <f t="shared" si="33"/>
        <v>1.0745999999999998</v>
      </c>
      <c r="U449" s="33">
        <f t="shared" si="34"/>
        <v>5.9999999999999982</v>
      </c>
    </row>
    <row r="450" spans="1:21" x14ac:dyDescent="0.25">
      <c r="A450" s="1" t="s">
        <v>893</v>
      </c>
      <c r="B450" s="28">
        <v>44718</v>
      </c>
      <c r="C450" s="21" t="str">
        <f t="shared" si="31"/>
        <v>2022</v>
      </c>
      <c r="D450" s="19" t="str">
        <f t="shared" si="32"/>
        <v>June</v>
      </c>
      <c r="E450" s="3" t="s">
        <v>894</v>
      </c>
      <c r="F450" s="3" t="str">
        <f>VLOOKUP(E450,Customers!$A$2:$I$1001,2,0)</f>
        <v>Pru Durban</v>
      </c>
      <c r="G450" s="3" t="str">
        <f>VLOOKUP(E450,Customers!$A$2:$I$1001,3,0)</f>
        <v>pdurbancg@symantec.com</v>
      </c>
      <c r="H450" s="3" t="str">
        <f>VLOOKUP(E450,Customers!$A$2:$I$1001,4,0)</f>
        <v>+353 (709) 884-1892</v>
      </c>
      <c r="I450" s="25" t="str">
        <f>VLOOKUP(E450,Customers!$A$2:$I$1001,6,0)</f>
        <v>Longford</v>
      </c>
      <c r="J450" s="25" t="str">
        <f>VLOOKUP(E450,Customers!$A$2:$I$1001,7,0)</f>
        <v>Ireland</v>
      </c>
      <c r="K450" s="23" t="str">
        <f>VLOOKUP(E450,Customers!$A$2:$I$1001,9,0)</f>
        <v>No</v>
      </c>
      <c r="L450" s="4" t="s">
        <v>157</v>
      </c>
      <c r="M450" s="4" t="str">
        <f>VLOOKUP(L450,Products!$A$2:$G$49,2,0)</f>
        <v>Robusta</v>
      </c>
      <c r="N450" s="4" t="str">
        <f>VLOOKUP(L450,Products!$A$2:$G$49,3,0)</f>
        <v>Light</v>
      </c>
      <c r="O450" s="25">
        <v>1</v>
      </c>
      <c r="P450" s="5">
        <f>INDEX([1]products!$A$1:$G$49,MATCH([1]orders!$D450,[1]products!$A$1:$A$49,0),MATCH([1]orders!K$1,[1]products!$A$1:$G$1,0))</f>
        <v>0.5</v>
      </c>
      <c r="Q450" s="6">
        <f>INDEX([1]products!$A$1:$G$49,MATCH([1]orders!$D450,[1]products!$A$1:$A$49,0),MATCH([1]orders!L$1,[1]products!$A$1:$G$1,0))</f>
        <v>7.169999999999999</v>
      </c>
      <c r="R450" s="6">
        <f t="shared" ref="R450:R513" si="35">O450*Q450</f>
        <v>7.169999999999999</v>
      </c>
      <c r="S450">
        <f>VLOOKUP(L450,Products!$A$2:$G$49,7,0)</f>
        <v>0.43019999999999992</v>
      </c>
      <c r="T450">
        <f t="shared" si="33"/>
        <v>0.43019999999999992</v>
      </c>
      <c r="U450" s="33">
        <f t="shared" si="34"/>
        <v>6</v>
      </c>
    </row>
    <row r="451" spans="1:21" x14ac:dyDescent="0.25">
      <c r="A451" s="1" t="s">
        <v>895</v>
      </c>
      <c r="B451" s="28">
        <v>44336</v>
      </c>
      <c r="C451" s="21" t="str">
        <f t="shared" ref="C451:C514" si="36">TEXT(B451,"yyyy")</f>
        <v>2021</v>
      </c>
      <c r="D451" s="19" t="str">
        <f t="shared" ref="D451:D514" si="37">TEXT(B451,"mmmm")</f>
        <v>May</v>
      </c>
      <c r="E451" s="3" t="s">
        <v>896</v>
      </c>
      <c r="F451" s="3" t="str">
        <f>VLOOKUP(E451,Customers!$A$2:$I$1001,2,0)</f>
        <v>Antone Harrold</v>
      </c>
      <c r="G451" s="3" t="str">
        <f>VLOOKUP(E451,Customers!$A$2:$I$1001,3,0)</f>
        <v>aharroldch@miibeian.gov.cn</v>
      </c>
      <c r="H451" s="3" t="str">
        <f>VLOOKUP(E451,Customers!$A$2:$I$1001,4,0)</f>
        <v>+1 (419) 153-2104</v>
      </c>
      <c r="I451" s="25" t="str">
        <f>VLOOKUP(E451,Customers!$A$2:$I$1001,6,0)</f>
        <v>Toledo</v>
      </c>
      <c r="J451" s="25" t="str">
        <f>VLOOKUP(E451,Customers!$A$2:$I$1001,7,0)</f>
        <v>United States</v>
      </c>
      <c r="K451" s="23" t="str">
        <f>VLOOKUP(E451,Customers!$A$2:$I$1001,9,0)</f>
        <v>No</v>
      </c>
      <c r="L451" s="4" t="s">
        <v>101</v>
      </c>
      <c r="M451" s="4" t="str">
        <f>VLOOKUP(L451,Products!$A$2:$G$49,2,0)</f>
        <v>Robusta</v>
      </c>
      <c r="N451" s="4" t="str">
        <f>VLOOKUP(L451,Products!$A$2:$G$49,3,0)</f>
        <v>Dark</v>
      </c>
      <c r="O451" s="25">
        <v>2</v>
      </c>
      <c r="P451" s="5">
        <f>INDEX([1]products!$A$1:$G$49,MATCH([1]orders!$D451,[1]products!$A$1:$A$49,0),MATCH([1]orders!K$1,[1]products!$A$1:$G$1,0))</f>
        <v>0.2</v>
      </c>
      <c r="Q451" s="6">
        <f>INDEX([1]products!$A$1:$G$49,MATCH([1]orders!$D451,[1]products!$A$1:$A$49,0),MATCH([1]orders!L$1,[1]products!$A$1:$G$1,0))</f>
        <v>2.6849999999999996</v>
      </c>
      <c r="R451" s="6">
        <f t="shared" si="35"/>
        <v>5.3699999999999992</v>
      </c>
      <c r="S451">
        <f>VLOOKUP(L451,Products!$A$2:$G$49,7,0)</f>
        <v>0.16109999999999997</v>
      </c>
      <c r="T451">
        <f t="shared" ref="T451:T514" si="38">O451*S451</f>
        <v>0.32219999999999993</v>
      </c>
      <c r="U451" s="33">
        <f t="shared" ref="U451:U514" si="39">T451/R451*100</f>
        <v>6</v>
      </c>
    </row>
    <row r="452" spans="1:21" x14ac:dyDescent="0.25">
      <c r="A452" s="1" t="s">
        <v>897</v>
      </c>
      <c r="B452" s="28">
        <v>44207</v>
      </c>
      <c r="C452" s="21" t="str">
        <f t="shared" si="36"/>
        <v>2021</v>
      </c>
      <c r="D452" s="19" t="str">
        <f t="shared" si="37"/>
        <v>January</v>
      </c>
      <c r="E452" s="3" t="s">
        <v>898</v>
      </c>
      <c r="F452" s="3" t="str">
        <f>VLOOKUP(E452,Customers!$A$2:$I$1001,2,0)</f>
        <v>Sim Pamphilon</v>
      </c>
      <c r="G452" s="3" t="str">
        <f>VLOOKUP(E452,Customers!$A$2:$I$1001,3,0)</f>
        <v>spamphilonci@mlb.com</v>
      </c>
      <c r="H452" s="3" t="str">
        <f>VLOOKUP(E452,Customers!$A$2:$I$1001,4,0)</f>
        <v>+353 (456) 630-8490</v>
      </c>
      <c r="I452" s="25" t="str">
        <f>VLOOKUP(E452,Customers!$A$2:$I$1001,6,0)</f>
        <v>Ballylinan</v>
      </c>
      <c r="J452" s="25" t="str">
        <f>VLOOKUP(E452,Customers!$A$2:$I$1001,7,0)</f>
        <v>Ireland</v>
      </c>
      <c r="K452" s="23" t="str">
        <f>VLOOKUP(E452,Customers!$A$2:$I$1001,9,0)</f>
        <v>No</v>
      </c>
      <c r="L452" s="4" t="s">
        <v>19</v>
      </c>
      <c r="M452" s="4" t="str">
        <f>VLOOKUP(L452,Products!$A$2:$G$49,2,0)</f>
        <v>Liberica</v>
      </c>
      <c r="N452" s="4" t="str">
        <f>VLOOKUP(L452,Products!$A$2:$G$49,3,0)</f>
        <v>Light</v>
      </c>
      <c r="O452" s="25">
        <v>5</v>
      </c>
      <c r="P452" s="5">
        <f>INDEX([1]products!$A$1:$G$49,MATCH([1]orders!$D452,[1]products!$A$1:$A$49,0),MATCH([1]orders!K$1,[1]products!$A$1:$G$1,0))</f>
        <v>0.2</v>
      </c>
      <c r="Q452" s="6">
        <f>INDEX([1]products!$A$1:$G$49,MATCH([1]orders!$D452,[1]products!$A$1:$A$49,0),MATCH([1]orders!L$1,[1]products!$A$1:$G$1,0))</f>
        <v>4.7549999999999999</v>
      </c>
      <c r="R452" s="6">
        <f t="shared" si="35"/>
        <v>23.774999999999999</v>
      </c>
      <c r="S452">
        <f>VLOOKUP(L452,Products!$A$2:$G$49,7,0)</f>
        <v>0.61814999999999998</v>
      </c>
      <c r="T452">
        <f t="shared" si="38"/>
        <v>3.0907499999999999</v>
      </c>
      <c r="U452" s="33">
        <f t="shared" si="39"/>
        <v>13</v>
      </c>
    </row>
    <row r="453" spans="1:21" x14ac:dyDescent="0.25">
      <c r="A453" s="1" t="s">
        <v>899</v>
      </c>
      <c r="B453" s="28">
        <v>43518</v>
      </c>
      <c r="C453" s="21" t="str">
        <f t="shared" si="36"/>
        <v>2019</v>
      </c>
      <c r="D453" s="19" t="str">
        <f t="shared" si="37"/>
        <v>February</v>
      </c>
      <c r="E453" s="3" t="s">
        <v>900</v>
      </c>
      <c r="F453" s="3" t="str">
        <f>VLOOKUP(E453,Customers!$A$2:$I$1001,2,0)</f>
        <v>Mohandis Spurden</v>
      </c>
      <c r="G453" s="3" t="str">
        <f>VLOOKUP(E453,Customers!$A$2:$I$1001,3,0)</f>
        <v>mspurdencj@exblog.jp</v>
      </c>
      <c r="H453" s="3" t="str">
        <f>VLOOKUP(E453,Customers!$A$2:$I$1001,4,0)</f>
        <v>+1 (704) 256-1371</v>
      </c>
      <c r="I453" s="25" t="str">
        <f>VLOOKUP(E453,Customers!$A$2:$I$1001,6,0)</f>
        <v>Charlotte</v>
      </c>
      <c r="J453" s="25" t="str">
        <f>VLOOKUP(E453,Customers!$A$2:$I$1001,7,0)</f>
        <v>United States</v>
      </c>
      <c r="K453" s="23" t="str">
        <f>VLOOKUP(E453,Customers!$A$2:$I$1001,9,0)</f>
        <v>Yes</v>
      </c>
      <c r="L453" s="4" t="s">
        <v>35</v>
      </c>
      <c r="M453" s="4" t="str">
        <f>VLOOKUP(L453,Products!$A$2:$G$49,2,0)</f>
        <v>Robusta</v>
      </c>
      <c r="N453" s="4" t="str">
        <f>VLOOKUP(L453,Products!$A$2:$G$49,3,0)</f>
        <v>Dark</v>
      </c>
      <c r="O453" s="25">
        <v>2</v>
      </c>
      <c r="P453" s="5">
        <f>INDEX([1]products!$A$1:$G$49,MATCH([1]orders!$D453,[1]products!$A$1:$A$49,0),MATCH([1]orders!K$1,[1]products!$A$1:$G$1,0))</f>
        <v>2.5</v>
      </c>
      <c r="Q453" s="6">
        <f>INDEX([1]products!$A$1:$G$49,MATCH([1]orders!$D453,[1]products!$A$1:$A$49,0),MATCH([1]orders!L$1,[1]products!$A$1:$G$1,0))</f>
        <v>20.584999999999997</v>
      </c>
      <c r="R453" s="6">
        <f t="shared" si="35"/>
        <v>41.169999999999995</v>
      </c>
      <c r="S453">
        <f>VLOOKUP(L453,Products!$A$2:$G$49,7,0)</f>
        <v>1.2350999999999999</v>
      </c>
      <c r="T453">
        <f t="shared" si="38"/>
        <v>2.4701999999999997</v>
      </c>
      <c r="U453" s="33">
        <f t="shared" si="39"/>
        <v>6.0000000000000009</v>
      </c>
    </row>
    <row r="454" spans="1:21" x14ac:dyDescent="0.25">
      <c r="A454" s="1" t="s">
        <v>901</v>
      </c>
      <c r="B454" s="28">
        <v>44524</v>
      </c>
      <c r="C454" s="21" t="str">
        <f t="shared" si="36"/>
        <v>2021</v>
      </c>
      <c r="D454" s="19" t="str">
        <f t="shared" si="37"/>
        <v>November</v>
      </c>
      <c r="E454" s="3" t="s">
        <v>874</v>
      </c>
      <c r="F454" s="3" t="str">
        <f>VLOOKUP(E454,Customers!$A$2:$I$1001,2,0)</f>
        <v>Morgen Seson</v>
      </c>
      <c r="G454" s="3" t="str">
        <f>VLOOKUP(E454,Customers!$A$2:$I$1001,3,0)</f>
        <v>msesonck@census.gov</v>
      </c>
      <c r="H454" s="3" t="str">
        <f>VLOOKUP(E454,Customers!$A$2:$I$1001,4,0)</f>
        <v>+1 (206) 642-0902</v>
      </c>
      <c r="I454" s="25" t="str">
        <f>VLOOKUP(E454,Customers!$A$2:$I$1001,6,0)</f>
        <v>Seattle</v>
      </c>
      <c r="J454" s="25" t="str">
        <f>VLOOKUP(E454,Customers!$A$2:$I$1001,7,0)</f>
        <v>United States</v>
      </c>
      <c r="K454" s="23" t="str">
        <f>VLOOKUP(E454,Customers!$A$2:$I$1001,9,0)</f>
        <v>No</v>
      </c>
      <c r="L454" s="4" t="s">
        <v>115</v>
      </c>
      <c r="M454" s="4" t="str">
        <f>VLOOKUP(L454,Products!$A$2:$G$49,2,0)</f>
        <v>Arabica</v>
      </c>
      <c r="N454" s="4" t="str">
        <f>VLOOKUP(L454,Products!$A$2:$G$49,3,0)</f>
        <v>Light</v>
      </c>
      <c r="O454" s="25">
        <v>3</v>
      </c>
      <c r="P454" s="5">
        <f>INDEX([1]products!$A$1:$G$49,MATCH([1]orders!$D454,[1]products!$A$1:$A$49,0),MATCH([1]orders!K$1,[1]products!$A$1:$G$1,0))</f>
        <v>0.2</v>
      </c>
      <c r="Q454" s="6">
        <f>INDEX([1]products!$A$1:$G$49,MATCH([1]orders!$D454,[1]products!$A$1:$A$49,0),MATCH([1]orders!L$1,[1]products!$A$1:$G$1,0))</f>
        <v>3.8849999999999998</v>
      </c>
      <c r="R454" s="6">
        <f t="shared" si="35"/>
        <v>11.654999999999999</v>
      </c>
      <c r="S454">
        <f>VLOOKUP(L454,Products!$A$2:$G$49,7,0)</f>
        <v>0.34964999999999996</v>
      </c>
      <c r="T454">
        <f t="shared" si="38"/>
        <v>1.0489499999999998</v>
      </c>
      <c r="U454" s="33">
        <f t="shared" si="39"/>
        <v>9</v>
      </c>
    </row>
    <row r="455" spans="1:21" x14ac:dyDescent="0.25">
      <c r="A455" s="1" t="s">
        <v>902</v>
      </c>
      <c r="B455" s="28">
        <v>44579</v>
      </c>
      <c r="C455" s="21" t="str">
        <f t="shared" si="36"/>
        <v>2022</v>
      </c>
      <c r="D455" s="19" t="str">
        <f t="shared" si="37"/>
        <v>January</v>
      </c>
      <c r="E455" s="3" t="s">
        <v>903</v>
      </c>
      <c r="F455" s="3" t="str">
        <f>VLOOKUP(E455,Customers!$A$2:$I$1001,2,0)</f>
        <v>Nalani Pirrone</v>
      </c>
      <c r="G455" s="3" t="str">
        <f>VLOOKUP(E455,Customers!$A$2:$I$1001,3,0)</f>
        <v>npirronecl@weibo.com</v>
      </c>
      <c r="H455" s="3" t="str">
        <f>VLOOKUP(E455,Customers!$A$2:$I$1001,4,0)</f>
        <v>+1 (570) 223-3194</v>
      </c>
      <c r="I455" s="25" t="str">
        <f>VLOOKUP(E455,Customers!$A$2:$I$1001,6,0)</f>
        <v>Wilkes Barre</v>
      </c>
      <c r="J455" s="25" t="str">
        <f>VLOOKUP(E455,Customers!$A$2:$I$1001,7,0)</f>
        <v>United States</v>
      </c>
      <c r="K455" s="23" t="str">
        <f>VLOOKUP(E455,Customers!$A$2:$I$1001,9,0)</f>
        <v>No</v>
      </c>
      <c r="L455" s="4" t="s">
        <v>83</v>
      </c>
      <c r="M455" s="4" t="str">
        <f>VLOOKUP(L455,Products!$A$2:$G$49,2,0)</f>
        <v>Liberica</v>
      </c>
      <c r="N455" s="4" t="str">
        <f>VLOOKUP(L455,Products!$A$2:$G$49,3,0)</f>
        <v>Light</v>
      </c>
      <c r="O455" s="25">
        <v>4</v>
      </c>
      <c r="P455" s="5">
        <f>INDEX([1]products!$A$1:$G$49,MATCH([1]orders!$D455,[1]products!$A$1:$A$49,0),MATCH([1]orders!K$1,[1]products!$A$1:$G$1,0))</f>
        <v>0.5</v>
      </c>
      <c r="Q455" s="6">
        <f>INDEX([1]products!$A$1:$G$49,MATCH([1]orders!$D455,[1]products!$A$1:$A$49,0),MATCH([1]orders!L$1,[1]products!$A$1:$G$1,0))</f>
        <v>9.51</v>
      </c>
      <c r="R455" s="6">
        <f t="shared" si="35"/>
        <v>38.04</v>
      </c>
      <c r="S455">
        <f>VLOOKUP(L455,Products!$A$2:$G$49,7,0)</f>
        <v>1.2363</v>
      </c>
      <c r="T455">
        <f t="shared" si="38"/>
        <v>4.9451999999999998</v>
      </c>
      <c r="U455" s="33">
        <f t="shared" si="39"/>
        <v>13</v>
      </c>
    </row>
    <row r="456" spans="1:21" x14ac:dyDescent="0.25">
      <c r="A456" s="1" t="s">
        <v>904</v>
      </c>
      <c r="B456" s="28">
        <v>44421</v>
      </c>
      <c r="C456" s="21" t="str">
        <f t="shared" si="36"/>
        <v>2021</v>
      </c>
      <c r="D456" s="19" t="str">
        <f t="shared" si="37"/>
        <v>August</v>
      </c>
      <c r="E456" s="3" t="s">
        <v>905</v>
      </c>
      <c r="F456" s="3" t="str">
        <f>VLOOKUP(E456,Customers!$A$2:$I$1001,2,0)</f>
        <v>Reube Cawley</v>
      </c>
      <c r="G456" s="3" t="str">
        <f>VLOOKUP(E456,Customers!$A$2:$I$1001,3,0)</f>
        <v>rcawleycm@yellowbook.com</v>
      </c>
      <c r="H456" s="3" t="str">
        <f>VLOOKUP(E456,Customers!$A$2:$I$1001,4,0)</f>
        <v>UNKNOWN</v>
      </c>
      <c r="I456" s="25" t="str">
        <f>VLOOKUP(E456,Customers!$A$2:$I$1001,6,0)</f>
        <v>Ballyboden</v>
      </c>
      <c r="J456" s="25" t="str">
        <f>VLOOKUP(E456,Customers!$A$2:$I$1001,7,0)</f>
        <v>Ireland</v>
      </c>
      <c r="K456" s="23" t="str">
        <f>VLOOKUP(E456,Customers!$A$2:$I$1001,9,0)</f>
        <v>Yes</v>
      </c>
      <c r="L456" s="4" t="s">
        <v>35</v>
      </c>
      <c r="M456" s="4" t="str">
        <f>VLOOKUP(L456,Products!$A$2:$G$49,2,0)</f>
        <v>Robusta</v>
      </c>
      <c r="N456" s="4" t="str">
        <f>VLOOKUP(L456,Products!$A$2:$G$49,3,0)</f>
        <v>Dark</v>
      </c>
      <c r="O456" s="25">
        <v>4</v>
      </c>
      <c r="P456" s="5">
        <f>INDEX([1]products!$A$1:$G$49,MATCH([1]orders!$D456,[1]products!$A$1:$A$49,0),MATCH([1]orders!K$1,[1]products!$A$1:$G$1,0))</f>
        <v>2.5</v>
      </c>
      <c r="Q456" s="6">
        <f>INDEX([1]products!$A$1:$G$49,MATCH([1]orders!$D456,[1]products!$A$1:$A$49,0),MATCH([1]orders!L$1,[1]products!$A$1:$G$1,0))</f>
        <v>20.584999999999997</v>
      </c>
      <c r="R456" s="6">
        <f t="shared" si="35"/>
        <v>82.339999999999989</v>
      </c>
      <c r="S456">
        <f>VLOOKUP(L456,Products!$A$2:$G$49,7,0)</f>
        <v>1.2350999999999999</v>
      </c>
      <c r="T456">
        <f t="shared" si="38"/>
        <v>4.9403999999999995</v>
      </c>
      <c r="U456" s="33">
        <f t="shared" si="39"/>
        <v>6.0000000000000009</v>
      </c>
    </row>
    <row r="457" spans="1:21" x14ac:dyDescent="0.25">
      <c r="A457" s="1" t="s">
        <v>906</v>
      </c>
      <c r="B457" s="28">
        <v>43841</v>
      </c>
      <c r="C457" s="21" t="str">
        <f t="shared" si="36"/>
        <v>2020</v>
      </c>
      <c r="D457" s="19" t="str">
        <f t="shared" si="37"/>
        <v>January</v>
      </c>
      <c r="E457" s="3" t="s">
        <v>907</v>
      </c>
      <c r="F457" s="3" t="str">
        <f>VLOOKUP(E457,Customers!$A$2:$I$1001,2,0)</f>
        <v>Stan Barribal</v>
      </c>
      <c r="G457" s="3" t="str">
        <f>VLOOKUP(E457,Customers!$A$2:$I$1001,3,0)</f>
        <v>sbarribalcn@microsoft.com</v>
      </c>
      <c r="H457" s="3" t="str">
        <f>VLOOKUP(E457,Customers!$A$2:$I$1001,4,0)</f>
        <v>+353 (310) 256-3698</v>
      </c>
      <c r="I457" s="25" t="str">
        <f>VLOOKUP(E457,Customers!$A$2:$I$1001,6,0)</f>
        <v>Bagenalstown</v>
      </c>
      <c r="J457" s="25" t="str">
        <f>VLOOKUP(E457,Customers!$A$2:$I$1001,7,0)</f>
        <v>Ireland</v>
      </c>
      <c r="K457" s="23" t="str">
        <f>VLOOKUP(E457,Customers!$A$2:$I$1001,9,0)</f>
        <v>Yes</v>
      </c>
      <c r="L457" s="4" t="s">
        <v>19</v>
      </c>
      <c r="M457" s="4" t="str">
        <f>VLOOKUP(L457,Products!$A$2:$G$49,2,0)</f>
        <v>Liberica</v>
      </c>
      <c r="N457" s="4" t="str">
        <f>VLOOKUP(L457,Products!$A$2:$G$49,3,0)</f>
        <v>Light</v>
      </c>
      <c r="O457" s="25">
        <v>2</v>
      </c>
      <c r="P457" s="5">
        <f>INDEX([1]products!$A$1:$G$49,MATCH([1]orders!$D457,[1]products!$A$1:$A$49,0),MATCH([1]orders!K$1,[1]products!$A$1:$G$1,0))</f>
        <v>0.2</v>
      </c>
      <c r="Q457" s="6">
        <f>INDEX([1]products!$A$1:$G$49,MATCH([1]orders!$D457,[1]products!$A$1:$A$49,0),MATCH([1]orders!L$1,[1]products!$A$1:$G$1,0))</f>
        <v>4.7549999999999999</v>
      </c>
      <c r="R457" s="6">
        <f t="shared" si="35"/>
        <v>9.51</v>
      </c>
      <c r="S457">
        <f>VLOOKUP(L457,Products!$A$2:$G$49,7,0)</f>
        <v>0.61814999999999998</v>
      </c>
      <c r="T457">
        <f t="shared" si="38"/>
        <v>1.2363</v>
      </c>
      <c r="U457" s="33">
        <f t="shared" si="39"/>
        <v>13</v>
      </c>
    </row>
    <row r="458" spans="1:21" x14ac:dyDescent="0.25">
      <c r="A458" s="1" t="s">
        <v>908</v>
      </c>
      <c r="B458" s="28">
        <v>44017</v>
      </c>
      <c r="C458" s="21" t="str">
        <f t="shared" si="36"/>
        <v>2020</v>
      </c>
      <c r="D458" s="19" t="str">
        <f t="shared" si="37"/>
        <v>July</v>
      </c>
      <c r="E458" s="3" t="s">
        <v>909</v>
      </c>
      <c r="F458" s="3" t="str">
        <f>VLOOKUP(E458,Customers!$A$2:$I$1001,2,0)</f>
        <v>Agnes Adamides</v>
      </c>
      <c r="G458" s="3" t="str">
        <f>VLOOKUP(E458,Customers!$A$2:$I$1001,3,0)</f>
        <v>aadamidesco@bizjournals.com</v>
      </c>
      <c r="H458" s="3" t="str">
        <f>VLOOKUP(E458,Customers!$A$2:$I$1001,4,0)</f>
        <v>+44 (131) 485-2183</v>
      </c>
      <c r="I458" s="25" t="str">
        <f>VLOOKUP(E458,Customers!$A$2:$I$1001,6,0)</f>
        <v>Liverpool</v>
      </c>
      <c r="J458" s="25" t="str">
        <f>VLOOKUP(E458,Customers!$A$2:$I$1001,7,0)</f>
        <v>United Kingdom</v>
      </c>
      <c r="K458" s="23" t="str">
        <f>VLOOKUP(E458,Customers!$A$2:$I$1001,9,0)</f>
        <v>No</v>
      </c>
      <c r="L458" s="4" t="s">
        <v>35</v>
      </c>
      <c r="M458" s="4" t="str">
        <f>VLOOKUP(L458,Products!$A$2:$G$49,2,0)</f>
        <v>Robusta</v>
      </c>
      <c r="N458" s="4" t="str">
        <f>VLOOKUP(L458,Products!$A$2:$G$49,3,0)</f>
        <v>Dark</v>
      </c>
      <c r="O458" s="25">
        <v>2</v>
      </c>
      <c r="P458" s="5">
        <f>INDEX([1]products!$A$1:$G$49,MATCH([1]orders!$D458,[1]products!$A$1:$A$49,0),MATCH([1]orders!K$1,[1]products!$A$1:$G$1,0))</f>
        <v>2.5</v>
      </c>
      <c r="Q458" s="6">
        <f>INDEX([1]products!$A$1:$G$49,MATCH([1]orders!$D458,[1]products!$A$1:$A$49,0),MATCH([1]orders!L$1,[1]products!$A$1:$G$1,0))</f>
        <v>20.584999999999997</v>
      </c>
      <c r="R458" s="6">
        <f t="shared" si="35"/>
        <v>41.169999999999995</v>
      </c>
      <c r="S458">
        <f>VLOOKUP(L458,Products!$A$2:$G$49,7,0)</f>
        <v>1.2350999999999999</v>
      </c>
      <c r="T458">
        <f t="shared" si="38"/>
        <v>2.4701999999999997</v>
      </c>
      <c r="U458" s="33">
        <f t="shared" si="39"/>
        <v>6.0000000000000009</v>
      </c>
    </row>
    <row r="459" spans="1:21" x14ac:dyDescent="0.25">
      <c r="A459" s="1" t="s">
        <v>910</v>
      </c>
      <c r="B459" s="28">
        <v>43671</v>
      </c>
      <c r="C459" s="21" t="str">
        <f t="shared" si="36"/>
        <v>2019</v>
      </c>
      <c r="D459" s="19" t="str">
        <f t="shared" si="37"/>
        <v>July</v>
      </c>
      <c r="E459" s="3" t="s">
        <v>911</v>
      </c>
      <c r="F459" s="3" t="str">
        <f>VLOOKUP(E459,Customers!$A$2:$I$1001,2,0)</f>
        <v>Carmelita Thowes</v>
      </c>
      <c r="G459" s="3" t="str">
        <f>VLOOKUP(E459,Customers!$A$2:$I$1001,3,0)</f>
        <v>cthowescp@craigslist.org</v>
      </c>
      <c r="H459" s="3" t="str">
        <f>VLOOKUP(E459,Customers!$A$2:$I$1001,4,0)</f>
        <v>+1 (585) 785-2424</v>
      </c>
      <c r="I459" s="25" t="str">
        <f>VLOOKUP(E459,Customers!$A$2:$I$1001,6,0)</f>
        <v>Rochester</v>
      </c>
      <c r="J459" s="25" t="str">
        <f>VLOOKUP(E459,Customers!$A$2:$I$1001,7,0)</f>
        <v>United States</v>
      </c>
      <c r="K459" s="23" t="str">
        <f>VLOOKUP(E459,Customers!$A$2:$I$1001,9,0)</f>
        <v>No</v>
      </c>
      <c r="L459" s="4" t="s">
        <v>83</v>
      </c>
      <c r="M459" s="4" t="str">
        <f>VLOOKUP(L459,Products!$A$2:$G$49,2,0)</f>
        <v>Liberica</v>
      </c>
      <c r="N459" s="4" t="str">
        <f>VLOOKUP(L459,Products!$A$2:$G$49,3,0)</f>
        <v>Light</v>
      </c>
      <c r="O459" s="25">
        <v>5</v>
      </c>
      <c r="P459" s="5">
        <f>INDEX([1]products!$A$1:$G$49,MATCH([1]orders!$D459,[1]products!$A$1:$A$49,0),MATCH([1]orders!K$1,[1]products!$A$1:$G$1,0))</f>
        <v>0.5</v>
      </c>
      <c r="Q459" s="6">
        <f>INDEX([1]products!$A$1:$G$49,MATCH([1]orders!$D459,[1]products!$A$1:$A$49,0),MATCH([1]orders!L$1,[1]products!$A$1:$G$1,0))</f>
        <v>9.51</v>
      </c>
      <c r="R459" s="6">
        <f t="shared" si="35"/>
        <v>47.55</v>
      </c>
      <c r="S459">
        <f>VLOOKUP(L459,Products!$A$2:$G$49,7,0)</f>
        <v>1.2363</v>
      </c>
      <c r="T459">
        <f t="shared" si="38"/>
        <v>6.1814999999999998</v>
      </c>
      <c r="U459" s="33">
        <f t="shared" si="39"/>
        <v>13</v>
      </c>
    </row>
    <row r="460" spans="1:21" x14ac:dyDescent="0.25">
      <c r="A460" s="1" t="s">
        <v>912</v>
      </c>
      <c r="B460" s="28">
        <v>44707</v>
      </c>
      <c r="C460" s="21" t="str">
        <f t="shared" si="36"/>
        <v>2022</v>
      </c>
      <c r="D460" s="19" t="str">
        <f t="shared" si="37"/>
        <v>May</v>
      </c>
      <c r="E460" s="3" t="s">
        <v>913</v>
      </c>
      <c r="F460" s="3" t="str">
        <f>VLOOKUP(E460,Customers!$A$2:$I$1001,2,0)</f>
        <v>Rodolfo Willoway</v>
      </c>
      <c r="G460" s="3" t="str">
        <f>VLOOKUP(E460,Customers!$A$2:$I$1001,3,0)</f>
        <v>rwillowaycq@admin.ch</v>
      </c>
      <c r="H460" s="3" t="str">
        <f>VLOOKUP(E460,Customers!$A$2:$I$1001,4,0)</f>
        <v>+1 (520) 126-8439</v>
      </c>
      <c r="I460" s="25" t="str">
        <f>VLOOKUP(E460,Customers!$A$2:$I$1001,6,0)</f>
        <v>Tucson</v>
      </c>
      <c r="J460" s="25" t="str">
        <f>VLOOKUP(E460,Customers!$A$2:$I$1001,7,0)</f>
        <v>United States</v>
      </c>
      <c r="K460" s="23" t="str">
        <f>VLOOKUP(E460,Customers!$A$2:$I$1001,9,0)</f>
        <v>No</v>
      </c>
      <c r="L460" s="4" t="s">
        <v>61</v>
      </c>
      <c r="M460" s="4" t="str">
        <f>VLOOKUP(L460,Products!$A$2:$G$49,2,0)</f>
        <v>Arabica</v>
      </c>
      <c r="N460" s="4" t="str">
        <f>VLOOKUP(L460,Products!$A$2:$G$49,3,0)</f>
        <v>Medium</v>
      </c>
      <c r="O460" s="25">
        <v>4</v>
      </c>
      <c r="P460" s="5">
        <f>INDEX([1]products!$A$1:$G$49,MATCH([1]orders!$D460,[1]products!$A$1:$A$49,0),MATCH([1]orders!K$1,[1]products!$A$1:$G$1,0))</f>
        <v>1</v>
      </c>
      <c r="Q460" s="6">
        <f>INDEX([1]products!$A$1:$G$49,MATCH([1]orders!$D460,[1]products!$A$1:$A$49,0),MATCH([1]orders!L$1,[1]products!$A$1:$G$1,0))</f>
        <v>11.25</v>
      </c>
      <c r="R460" s="6">
        <f t="shared" si="35"/>
        <v>45</v>
      </c>
      <c r="S460">
        <f>VLOOKUP(L460,Products!$A$2:$G$49,7,0)</f>
        <v>1.0125</v>
      </c>
      <c r="T460">
        <f t="shared" si="38"/>
        <v>4.05</v>
      </c>
      <c r="U460" s="33">
        <f t="shared" si="39"/>
        <v>9</v>
      </c>
    </row>
    <row r="461" spans="1:21" x14ac:dyDescent="0.25">
      <c r="A461" s="1" t="s">
        <v>914</v>
      </c>
      <c r="B461" s="28">
        <v>43840</v>
      </c>
      <c r="C461" s="21" t="str">
        <f t="shared" si="36"/>
        <v>2020</v>
      </c>
      <c r="D461" s="19" t="str">
        <f t="shared" si="37"/>
        <v>January</v>
      </c>
      <c r="E461" s="3" t="s">
        <v>915</v>
      </c>
      <c r="F461" s="3" t="str">
        <f>VLOOKUP(E461,Customers!$A$2:$I$1001,2,0)</f>
        <v>Alvis Elwin</v>
      </c>
      <c r="G461" s="3" t="str">
        <f>VLOOKUP(E461,Customers!$A$2:$I$1001,3,0)</f>
        <v>aelwincr@privacy.gov.au</v>
      </c>
      <c r="H461" s="3" t="str">
        <f>VLOOKUP(E461,Customers!$A$2:$I$1001,4,0)</f>
        <v>+1 (612) 244-0885</v>
      </c>
      <c r="I461" s="25" t="str">
        <f>VLOOKUP(E461,Customers!$A$2:$I$1001,6,0)</f>
        <v>Minneapolis</v>
      </c>
      <c r="J461" s="25" t="str">
        <f>VLOOKUP(E461,Customers!$A$2:$I$1001,7,0)</f>
        <v>United States</v>
      </c>
      <c r="K461" s="23" t="str">
        <f>VLOOKUP(E461,Customers!$A$2:$I$1001,9,0)</f>
        <v>No</v>
      </c>
      <c r="L461" s="4" t="s">
        <v>19</v>
      </c>
      <c r="M461" s="4" t="str">
        <f>VLOOKUP(L461,Products!$A$2:$G$49,2,0)</f>
        <v>Liberica</v>
      </c>
      <c r="N461" s="4" t="str">
        <f>VLOOKUP(L461,Products!$A$2:$G$49,3,0)</f>
        <v>Light</v>
      </c>
      <c r="O461" s="25">
        <v>5</v>
      </c>
      <c r="P461" s="5">
        <f>INDEX([1]products!$A$1:$G$49,MATCH([1]orders!$D461,[1]products!$A$1:$A$49,0),MATCH([1]orders!K$1,[1]products!$A$1:$G$1,0))</f>
        <v>0.2</v>
      </c>
      <c r="Q461" s="6">
        <f>INDEX([1]products!$A$1:$G$49,MATCH([1]orders!$D461,[1]products!$A$1:$A$49,0),MATCH([1]orders!L$1,[1]products!$A$1:$G$1,0))</f>
        <v>4.7549999999999999</v>
      </c>
      <c r="R461" s="6">
        <f t="shared" si="35"/>
        <v>23.774999999999999</v>
      </c>
      <c r="S461">
        <f>VLOOKUP(L461,Products!$A$2:$G$49,7,0)</f>
        <v>0.61814999999999998</v>
      </c>
      <c r="T461">
        <f t="shared" si="38"/>
        <v>3.0907499999999999</v>
      </c>
      <c r="U461" s="33">
        <f t="shared" si="39"/>
        <v>13</v>
      </c>
    </row>
    <row r="462" spans="1:21" x14ac:dyDescent="0.25">
      <c r="A462" s="1" t="s">
        <v>916</v>
      </c>
      <c r="B462" s="28">
        <v>43602</v>
      </c>
      <c r="C462" s="21" t="str">
        <f t="shared" si="36"/>
        <v>2019</v>
      </c>
      <c r="D462" s="19" t="str">
        <f t="shared" si="37"/>
        <v>May</v>
      </c>
      <c r="E462" s="3" t="s">
        <v>917</v>
      </c>
      <c r="F462" s="3" t="str">
        <f>VLOOKUP(E462,Customers!$A$2:$I$1001,2,0)</f>
        <v>Araldo Bilbrook</v>
      </c>
      <c r="G462" s="3" t="str">
        <f>VLOOKUP(E462,Customers!$A$2:$I$1001,3,0)</f>
        <v>abilbrookcs@booking.com</v>
      </c>
      <c r="H462" s="3" t="str">
        <f>VLOOKUP(E462,Customers!$A$2:$I$1001,4,0)</f>
        <v>+353 (138) 323-3320</v>
      </c>
      <c r="I462" s="25" t="str">
        <f>VLOOKUP(E462,Customers!$A$2:$I$1001,6,0)</f>
        <v>Ashbourne</v>
      </c>
      <c r="J462" s="25" t="str">
        <f>VLOOKUP(E462,Customers!$A$2:$I$1001,7,0)</f>
        <v>Ireland</v>
      </c>
      <c r="K462" s="23" t="str">
        <f>VLOOKUP(E462,Customers!$A$2:$I$1001,9,0)</f>
        <v>Yes</v>
      </c>
      <c r="L462" s="4" t="s">
        <v>146</v>
      </c>
      <c r="M462" s="4" t="str">
        <f>VLOOKUP(L462,Products!$A$2:$G$49,2,0)</f>
        <v>Robusta</v>
      </c>
      <c r="N462" s="4" t="str">
        <f>VLOOKUP(L462,Products!$A$2:$G$49,3,0)</f>
        <v>Dark</v>
      </c>
      <c r="O462" s="25">
        <v>3</v>
      </c>
      <c r="P462" s="5">
        <f>INDEX([1]products!$A$1:$G$49,MATCH([1]orders!$D462,[1]products!$A$1:$A$49,0),MATCH([1]orders!K$1,[1]products!$A$1:$G$1,0))</f>
        <v>0.5</v>
      </c>
      <c r="Q462" s="6">
        <f>INDEX([1]products!$A$1:$G$49,MATCH([1]orders!$D462,[1]products!$A$1:$A$49,0),MATCH([1]orders!L$1,[1]products!$A$1:$G$1,0))</f>
        <v>5.3699999999999992</v>
      </c>
      <c r="R462" s="6">
        <f t="shared" si="35"/>
        <v>16.11</v>
      </c>
      <c r="S462">
        <f>VLOOKUP(L462,Products!$A$2:$G$49,7,0)</f>
        <v>0.32219999999999993</v>
      </c>
      <c r="T462">
        <f t="shared" si="38"/>
        <v>0.96659999999999979</v>
      </c>
      <c r="U462" s="33">
        <f t="shared" si="39"/>
        <v>5.9999999999999991</v>
      </c>
    </row>
    <row r="463" spans="1:21" x14ac:dyDescent="0.25">
      <c r="A463" s="1" t="s">
        <v>918</v>
      </c>
      <c r="B463" s="28">
        <v>44036</v>
      </c>
      <c r="C463" s="21" t="str">
        <f t="shared" si="36"/>
        <v>2020</v>
      </c>
      <c r="D463" s="19" t="str">
        <f t="shared" si="37"/>
        <v>July</v>
      </c>
      <c r="E463" s="3" t="s">
        <v>919</v>
      </c>
      <c r="F463" s="3" t="str">
        <f>VLOOKUP(E463,Customers!$A$2:$I$1001,2,0)</f>
        <v>Ransell McKall</v>
      </c>
      <c r="G463" s="3" t="str">
        <f>VLOOKUP(E463,Customers!$A$2:$I$1001,3,0)</f>
        <v>rmckallct@sakura.ne.jp</v>
      </c>
      <c r="H463" s="3" t="str">
        <f>VLOOKUP(E463,Customers!$A$2:$I$1001,4,0)</f>
        <v>+44 (841) 988-2775</v>
      </c>
      <c r="I463" s="25" t="str">
        <f>VLOOKUP(E463,Customers!$A$2:$I$1001,6,0)</f>
        <v>Bristol</v>
      </c>
      <c r="J463" s="25" t="str">
        <f>VLOOKUP(E463,Customers!$A$2:$I$1001,7,0)</f>
        <v>United Kingdom</v>
      </c>
      <c r="K463" s="23" t="str">
        <f>VLOOKUP(E463,Customers!$A$2:$I$1001,9,0)</f>
        <v>Yes</v>
      </c>
      <c r="L463" s="4" t="s">
        <v>101</v>
      </c>
      <c r="M463" s="4" t="str">
        <f>VLOOKUP(L463,Products!$A$2:$G$49,2,0)</f>
        <v>Robusta</v>
      </c>
      <c r="N463" s="4" t="str">
        <f>VLOOKUP(L463,Products!$A$2:$G$49,3,0)</f>
        <v>Dark</v>
      </c>
      <c r="O463" s="25">
        <v>4</v>
      </c>
      <c r="P463" s="5">
        <f>INDEX([1]products!$A$1:$G$49,MATCH([1]orders!$D463,[1]products!$A$1:$A$49,0),MATCH([1]orders!K$1,[1]products!$A$1:$G$1,0))</f>
        <v>0.2</v>
      </c>
      <c r="Q463" s="6">
        <f>INDEX([1]products!$A$1:$G$49,MATCH([1]orders!$D463,[1]products!$A$1:$A$49,0),MATCH([1]orders!L$1,[1]products!$A$1:$G$1,0))</f>
        <v>2.6849999999999996</v>
      </c>
      <c r="R463" s="6">
        <f t="shared" si="35"/>
        <v>10.739999999999998</v>
      </c>
      <c r="S463">
        <f>VLOOKUP(L463,Products!$A$2:$G$49,7,0)</f>
        <v>0.16109999999999997</v>
      </c>
      <c r="T463">
        <f t="shared" si="38"/>
        <v>0.64439999999999986</v>
      </c>
      <c r="U463" s="33">
        <f t="shared" si="39"/>
        <v>6</v>
      </c>
    </row>
    <row r="464" spans="1:21" x14ac:dyDescent="0.25">
      <c r="A464" s="1" t="s">
        <v>920</v>
      </c>
      <c r="B464" s="28">
        <v>44124</v>
      </c>
      <c r="C464" s="21" t="str">
        <f t="shared" si="36"/>
        <v>2020</v>
      </c>
      <c r="D464" s="19" t="str">
        <f t="shared" si="37"/>
        <v>October</v>
      </c>
      <c r="E464" s="3" t="s">
        <v>921</v>
      </c>
      <c r="F464" s="3" t="str">
        <f>VLOOKUP(E464,Customers!$A$2:$I$1001,2,0)</f>
        <v>Borg Daile</v>
      </c>
      <c r="G464" s="3" t="str">
        <f>VLOOKUP(E464,Customers!$A$2:$I$1001,3,0)</f>
        <v>bdailecu@vistaprint.com</v>
      </c>
      <c r="H464" s="3" t="str">
        <f>VLOOKUP(E464,Customers!$A$2:$I$1001,4,0)</f>
        <v>+1 (770) 330-7785</v>
      </c>
      <c r="I464" s="25" t="str">
        <f>VLOOKUP(E464,Customers!$A$2:$I$1001,6,0)</f>
        <v>Atlanta</v>
      </c>
      <c r="J464" s="25" t="str">
        <f>VLOOKUP(E464,Customers!$A$2:$I$1001,7,0)</f>
        <v>United States</v>
      </c>
      <c r="K464" s="23" t="str">
        <f>VLOOKUP(E464,Customers!$A$2:$I$1001,9,0)</f>
        <v>Yes</v>
      </c>
      <c r="L464" s="4" t="s">
        <v>27</v>
      </c>
      <c r="M464" s="4" t="str">
        <f>VLOOKUP(L464,Products!$A$2:$G$49,2,0)</f>
        <v>Arabica</v>
      </c>
      <c r="N464" s="4" t="str">
        <f>VLOOKUP(L464,Products!$A$2:$G$49,3,0)</f>
        <v>Dark</v>
      </c>
      <c r="O464" s="25">
        <v>5</v>
      </c>
      <c r="P464" s="5">
        <f>INDEX([1]products!$A$1:$G$49,MATCH([1]orders!$D464,[1]products!$A$1:$A$49,0),MATCH([1]orders!K$1,[1]products!$A$1:$G$1,0))</f>
        <v>1</v>
      </c>
      <c r="Q464" s="6">
        <f>INDEX([1]products!$A$1:$G$49,MATCH([1]orders!$D464,[1]products!$A$1:$A$49,0),MATCH([1]orders!L$1,[1]products!$A$1:$G$1,0))</f>
        <v>9.9499999999999993</v>
      </c>
      <c r="R464" s="6">
        <f t="shared" si="35"/>
        <v>49.75</v>
      </c>
      <c r="S464">
        <f>VLOOKUP(L464,Products!$A$2:$G$49,7,0)</f>
        <v>0.89549999999999985</v>
      </c>
      <c r="T464">
        <f t="shared" si="38"/>
        <v>4.4774999999999991</v>
      </c>
      <c r="U464" s="33">
        <f t="shared" si="39"/>
        <v>8.9999999999999982</v>
      </c>
    </row>
    <row r="465" spans="1:21" x14ac:dyDescent="0.25">
      <c r="A465" s="1" t="s">
        <v>922</v>
      </c>
      <c r="B465" s="28">
        <v>43730</v>
      </c>
      <c r="C465" s="21" t="str">
        <f t="shared" si="36"/>
        <v>2019</v>
      </c>
      <c r="D465" s="19" t="str">
        <f t="shared" si="37"/>
        <v>September</v>
      </c>
      <c r="E465" s="3" t="s">
        <v>923</v>
      </c>
      <c r="F465" s="3" t="str">
        <f>VLOOKUP(E465,Customers!$A$2:$I$1001,2,0)</f>
        <v>Adolphe Treherne</v>
      </c>
      <c r="G465" s="3" t="str">
        <f>VLOOKUP(E465,Customers!$A$2:$I$1001,3,0)</f>
        <v>atrehernecv@state.tx.us</v>
      </c>
      <c r="H465" s="3" t="str">
        <f>VLOOKUP(E465,Customers!$A$2:$I$1001,4,0)</f>
        <v>+353 (860) 359-7907</v>
      </c>
      <c r="I465" s="25" t="str">
        <f>VLOOKUP(E465,Customers!$A$2:$I$1001,6,0)</f>
        <v>Farranacoush</v>
      </c>
      <c r="J465" s="25" t="str">
        <f>VLOOKUP(E465,Customers!$A$2:$I$1001,7,0)</f>
        <v>Ireland</v>
      </c>
      <c r="K465" s="23" t="str">
        <f>VLOOKUP(E465,Customers!$A$2:$I$1001,9,0)</f>
        <v>No</v>
      </c>
      <c r="L465" s="4" t="s">
        <v>9</v>
      </c>
      <c r="M465" s="4" t="str">
        <f>VLOOKUP(L465,Products!$A$2:$G$49,2,0)</f>
        <v>Excelsa</v>
      </c>
      <c r="N465" s="4" t="str">
        <f>VLOOKUP(L465,Products!$A$2:$G$49,3,0)</f>
        <v>Medium</v>
      </c>
      <c r="O465" s="25">
        <v>2</v>
      </c>
      <c r="P465" s="5">
        <f>INDEX([1]products!$A$1:$G$49,MATCH([1]orders!$D465,[1]products!$A$1:$A$49,0),MATCH([1]orders!K$1,[1]products!$A$1:$G$1,0))</f>
        <v>1</v>
      </c>
      <c r="Q465" s="6">
        <f>INDEX([1]products!$A$1:$G$49,MATCH([1]orders!$D465,[1]products!$A$1:$A$49,0),MATCH([1]orders!L$1,[1]products!$A$1:$G$1,0))</f>
        <v>13.75</v>
      </c>
      <c r="R465" s="6">
        <f t="shared" si="35"/>
        <v>27.5</v>
      </c>
      <c r="S465">
        <f>VLOOKUP(L465,Products!$A$2:$G$49,7,0)</f>
        <v>1.5125</v>
      </c>
      <c r="T465">
        <f t="shared" si="38"/>
        <v>3.0249999999999999</v>
      </c>
      <c r="U465" s="33">
        <f t="shared" si="39"/>
        <v>11</v>
      </c>
    </row>
    <row r="466" spans="1:21" x14ac:dyDescent="0.25">
      <c r="A466" s="1" t="s">
        <v>924</v>
      </c>
      <c r="B466" s="28">
        <v>43989</v>
      </c>
      <c r="C466" s="21" t="str">
        <f t="shared" si="36"/>
        <v>2020</v>
      </c>
      <c r="D466" s="19" t="str">
        <f t="shared" si="37"/>
        <v>June</v>
      </c>
      <c r="E466" s="3" t="s">
        <v>925</v>
      </c>
      <c r="F466" s="3" t="str">
        <f>VLOOKUP(E466,Customers!$A$2:$I$1001,2,0)</f>
        <v>Annetta Brentnall</v>
      </c>
      <c r="G466" s="3" t="str">
        <f>VLOOKUP(E466,Customers!$A$2:$I$1001,3,0)</f>
        <v>abrentnallcw@biglobe.ne.jp</v>
      </c>
      <c r="H466" s="3" t="str">
        <f>VLOOKUP(E466,Customers!$A$2:$I$1001,4,0)</f>
        <v>+44 (373) 897-1797</v>
      </c>
      <c r="I466" s="25" t="str">
        <f>VLOOKUP(E466,Customers!$A$2:$I$1001,6,0)</f>
        <v>East End</v>
      </c>
      <c r="J466" s="25" t="str">
        <f>VLOOKUP(E466,Customers!$A$2:$I$1001,7,0)</f>
        <v>United Kingdom</v>
      </c>
      <c r="K466" s="23" t="str">
        <f>VLOOKUP(E466,Customers!$A$2:$I$1001,9,0)</f>
        <v>No</v>
      </c>
      <c r="L466" s="4" t="s">
        <v>109</v>
      </c>
      <c r="M466" s="4" t="str">
        <f>VLOOKUP(L466,Products!$A$2:$G$49,2,0)</f>
        <v>Liberica</v>
      </c>
      <c r="N466" s="4" t="str">
        <f>VLOOKUP(L466,Products!$A$2:$G$49,3,0)</f>
        <v>Dark</v>
      </c>
      <c r="O466" s="25">
        <v>4</v>
      </c>
      <c r="P466" s="5">
        <f>INDEX([1]products!$A$1:$G$49,MATCH([1]orders!$D466,[1]products!$A$1:$A$49,0),MATCH([1]orders!K$1,[1]products!$A$1:$G$1,0))</f>
        <v>2.5</v>
      </c>
      <c r="Q466" s="6">
        <f>INDEX([1]products!$A$1:$G$49,MATCH([1]orders!$D466,[1]products!$A$1:$A$49,0),MATCH([1]orders!L$1,[1]products!$A$1:$G$1,0))</f>
        <v>29.784999999999997</v>
      </c>
      <c r="R466" s="6">
        <f t="shared" si="35"/>
        <v>119.13999999999999</v>
      </c>
      <c r="S466">
        <f>VLOOKUP(L466,Products!$A$2:$G$49,7,0)</f>
        <v>3.8720499999999998</v>
      </c>
      <c r="T466">
        <f t="shared" si="38"/>
        <v>15.488199999999999</v>
      </c>
      <c r="U466" s="33">
        <f t="shared" si="39"/>
        <v>13</v>
      </c>
    </row>
    <row r="467" spans="1:21" x14ac:dyDescent="0.25">
      <c r="A467" s="1" t="s">
        <v>926</v>
      </c>
      <c r="B467" s="28">
        <v>43814</v>
      </c>
      <c r="C467" s="21" t="str">
        <f t="shared" si="36"/>
        <v>2019</v>
      </c>
      <c r="D467" s="19" t="str">
        <f t="shared" si="37"/>
        <v>December</v>
      </c>
      <c r="E467" s="3" t="s">
        <v>927</v>
      </c>
      <c r="F467" s="3" t="str">
        <f>VLOOKUP(E467,Customers!$A$2:$I$1001,2,0)</f>
        <v>Dick Drinkall</v>
      </c>
      <c r="G467" s="3" t="str">
        <f>VLOOKUP(E467,Customers!$A$2:$I$1001,3,0)</f>
        <v>ddrinkallcx@psu.edu</v>
      </c>
      <c r="H467" s="3" t="str">
        <f>VLOOKUP(E467,Customers!$A$2:$I$1001,4,0)</f>
        <v>+1 (865) 407-3871</v>
      </c>
      <c r="I467" s="25" t="str">
        <f>VLOOKUP(E467,Customers!$A$2:$I$1001,6,0)</f>
        <v>Knoxville</v>
      </c>
      <c r="J467" s="25" t="str">
        <f>VLOOKUP(E467,Customers!$A$2:$I$1001,7,0)</f>
        <v>United States</v>
      </c>
      <c r="K467" s="23" t="str">
        <f>VLOOKUP(E467,Customers!$A$2:$I$1001,9,0)</f>
        <v>Yes</v>
      </c>
      <c r="L467" s="4" t="s">
        <v>35</v>
      </c>
      <c r="M467" s="4" t="str">
        <f>VLOOKUP(L467,Products!$A$2:$G$49,2,0)</f>
        <v>Robusta</v>
      </c>
      <c r="N467" s="4" t="str">
        <f>VLOOKUP(L467,Products!$A$2:$G$49,3,0)</f>
        <v>Dark</v>
      </c>
      <c r="O467" s="25">
        <v>1</v>
      </c>
      <c r="P467" s="5">
        <f>INDEX([1]products!$A$1:$G$49,MATCH([1]orders!$D467,[1]products!$A$1:$A$49,0),MATCH([1]orders!K$1,[1]products!$A$1:$G$1,0))</f>
        <v>2.5</v>
      </c>
      <c r="Q467" s="6">
        <f>INDEX([1]products!$A$1:$G$49,MATCH([1]orders!$D467,[1]products!$A$1:$A$49,0),MATCH([1]orders!L$1,[1]products!$A$1:$G$1,0))</f>
        <v>20.584999999999997</v>
      </c>
      <c r="R467" s="6">
        <f t="shared" si="35"/>
        <v>20.584999999999997</v>
      </c>
      <c r="S467">
        <f>VLOOKUP(L467,Products!$A$2:$G$49,7,0)</f>
        <v>1.2350999999999999</v>
      </c>
      <c r="T467">
        <f t="shared" si="38"/>
        <v>1.2350999999999999</v>
      </c>
      <c r="U467" s="33">
        <f t="shared" si="39"/>
        <v>6.0000000000000009</v>
      </c>
    </row>
    <row r="468" spans="1:21" x14ac:dyDescent="0.25">
      <c r="A468" s="1" t="s">
        <v>928</v>
      </c>
      <c r="B468" s="28">
        <v>44171</v>
      </c>
      <c r="C468" s="21" t="str">
        <f t="shared" si="36"/>
        <v>2020</v>
      </c>
      <c r="D468" s="19" t="str">
        <f t="shared" si="37"/>
        <v>December</v>
      </c>
      <c r="E468" s="3" t="s">
        <v>929</v>
      </c>
      <c r="F468" s="3" t="str">
        <f>VLOOKUP(E468,Customers!$A$2:$I$1001,2,0)</f>
        <v>Dagny Kornel</v>
      </c>
      <c r="G468" s="3" t="str">
        <f>VLOOKUP(E468,Customers!$A$2:$I$1001,3,0)</f>
        <v>dkornelcy@cyberchimps.com</v>
      </c>
      <c r="H468" s="3" t="str">
        <f>VLOOKUP(E468,Customers!$A$2:$I$1001,4,0)</f>
        <v>+1 (989) 565-9120</v>
      </c>
      <c r="I468" s="25" t="str">
        <f>VLOOKUP(E468,Customers!$A$2:$I$1001,6,0)</f>
        <v>Saginaw</v>
      </c>
      <c r="J468" s="25" t="str">
        <f>VLOOKUP(E468,Customers!$A$2:$I$1001,7,0)</f>
        <v>United States</v>
      </c>
      <c r="K468" s="23" t="str">
        <f>VLOOKUP(E468,Customers!$A$2:$I$1001,9,0)</f>
        <v>Yes</v>
      </c>
      <c r="L468" s="4" t="s">
        <v>54</v>
      </c>
      <c r="M468" s="4" t="str">
        <f>VLOOKUP(L468,Products!$A$2:$G$49,2,0)</f>
        <v>Arabica</v>
      </c>
      <c r="N468" s="4" t="str">
        <f>VLOOKUP(L468,Products!$A$2:$G$49,3,0)</f>
        <v>Dark</v>
      </c>
      <c r="O468" s="25">
        <v>3</v>
      </c>
      <c r="P468" s="5">
        <f>INDEX([1]products!$A$1:$G$49,MATCH([1]orders!$D468,[1]products!$A$1:$A$49,0),MATCH([1]orders!K$1,[1]products!$A$1:$G$1,0))</f>
        <v>0.2</v>
      </c>
      <c r="Q468" s="6">
        <f>INDEX([1]products!$A$1:$G$49,MATCH([1]orders!$D468,[1]products!$A$1:$A$49,0),MATCH([1]orders!L$1,[1]products!$A$1:$G$1,0))</f>
        <v>2.9849999999999999</v>
      </c>
      <c r="R468" s="6">
        <f t="shared" si="35"/>
        <v>8.9550000000000001</v>
      </c>
      <c r="S468">
        <f>VLOOKUP(L468,Products!$A$2:$G$49,7,0)</f>
        <v>0.26865</v>
      </c>
      <c r="T468">
        <f t="shared" si="38"/>
        <v>0.80594999999999994</v>
      </c>
      <c r="U468" s="33">
        <f t="shared" si="39"/>
        <v>9</v>
      </c>
    </row>
    <row r="469" spans="1:21" x14ac:dyDescent="0.25">
      <c r="A469" s="1" t="s">
        <v>930</v>
      </c>
      <c r="B469" s="28">
        <v>44536</v>
      </c>
      <c r="C469" s="21" t="str">
        <f t="shared" si="36"/>
        <v>2021</v>
      </c>
      <c r="D469" s="19" t="str">
        <f t="shared" si="37"/>
        <v>December</v>
      </c>
      <c r="E469" s="3" t="s">
        <v>931</v>
      </c>
      <c r="F469" s="3" t="str">
        <f>VLOOKUP(E469,Customers!$A$2:$I$1001,2,0)</f>
        <v>Rhona Lequeux</v>
      </c>
      <c r="G469" s="3" t="str">
        <f>VLOOKUP(E469,Customers!$A$2:$I$1001,3,0)</f>
        <v>rlequeuxcz@newyorker.com</v>
      </c>
      <c r="H469" s="3" t="str">
        <f>VLOOKUP(E469,Customers!$A$2:$I$1001,4,0)</f>
        <v>+1 (904) 161-6088</v>
      </c>
      <c r="I469" s="25" t="str">
        <f>VLOOKUP(E469,Customers!$A$2:$I$1001,6,0)</f>
        <v>Saint Augustine</v>
      </c>
      <c r="J469" s="25" t="str">
        <f>VLOOKUP(E469,Customers!$A$2:$I$1001,7,0)</f>
        <v>United States</v>
      </c>
      <c r="K469" s="23" t="str">
        <f>VLOOKUP(E469,Customers!$A$2:$I$1001,9,0)</f>
        <v>No</v>
      </c>
      <c r="L469" s="4" t="s">
        <v>72</v>
      </c>
      <c r="M469" s="4" t="str">
        <f>VLOOKUP(L469,Products!$A$2:$G$49,2,0)</f>
        <v>Arabica</v>
      </c>
      <c r="N469" s="4" t="str">
        <f>VLOOKUP(L469,Products!$A$2:$G$49,3,0)</f>
        <v>Dark</v>
      </c>
      <c r="O469" s="25">
        <v>1</v>
      </c>
      <c r="P469" s="5">
        <f>INDEX([1]products!$A$1:$G$49,MATCH([1]orders!$D469,[1]products!$A$1:$A$49,0),MATCH([1]orders!K$1,[1]products!$A$1:$G$1,0))</f>
        <v>0.5</v>
      </c>
      <c r="Q469" s="6">
        <f>INDEX([1]products!$A$1:$G$49,MATCH([1]orders!$D469,[1]products!$A$1:$A$49,0),MATCH([1]orders!L$1,[1]products!$A$1:$G$1,0))</f>
        <v>5.97</v>
      </c>
      <c r="R469" s="6">
        <f t="shared" si="35"/>
        <v>5.97</v>
      </c>
      <c r="S469">
        <f>VLOOKUP(L469,Products!$A$2:$G$49,7,0)</f>
        <v>0.5373</v>
      </c>
      <c r="T469">
        <f t="shared" si="38"/>
        <v>0.5373</v>
      </c>
      <c r="U469" s="33">
        <f t="shared" si="39"/>
        <v>9.0000000000000018</v>
      </c>
    </row>
    <row r="470" spans="1:21" x14ac:dyDescent="0.25">
      <c r="A470" s="1" t="s">
        <v>932</v>
      </c>
      <c r="B470" s="28">
        <v>44023</v>
      </c>
      <c r="C470" s="21" t="str">
        <f t="shared" si="36"/>
        <v>2020</v>
      </c>
      <c r="D470" s="19" t="str">
        <f t="shared" si="37"/>
        <v>July</v>
      </c>
      <c r="E470" s="3" t="s">
        <v>933</v>
      </c>
      <c r="F470" s="3" t="str">
        <f>VLOOKUP(E470,Customers!$A$2:$I$1001,2,0)</f>
        <v>Julius Mccaull</v>
      </c>
      <c r="G470" s="3" t="str">
        <f>VLOOKUP(E470,Customers!$A$2:$I$1001,3,0)</f>
        <v>jmccaulld0@parallels.com</v>
      </c>
      <c r="H470" s="3" t="str">
        <f>VLOOKUP(E470,Customers!$A$2:$I$1001,4,0)</f>
        <v>UNKNOWN</v>
      </c>
      <c r="I470" s="25" t="str">
        <f>VLOOKUP(E470,Customers!$A$2:$I$1001,6,0)</f>
        <v>San Rafael</v>
      </c>
      <c r="J470" s="25" t="str">
        <f>VLOOKUP(E470,Customers!$A$2:$I$1001,7,0)</f>
        <v>United States</v>
      </c>
      <c r="K470" s="23" t="str">
        <f>VLOOKUP(E470,Customers!$A$2:$I$1001,9,0)</f>
        <v>Yes</v>
      </c>
      <c r="L470" s="4" t="s">
        <v>9</v>
      </c>
      <c r="M470" s="4" t="str">
        <f>VLOOKUP(L470,Products!$A$2:$G$49,2,0)</f>
        <v>Excelsa</v>
      </c>
      <c r="N470" s="4" t="str">
        <f>VLOOKUP(L470,Products!$A$2:$G$49,3,0)</f>
        <v>Medium</v>
      </c>
      <c r="O470" s="25">
        <v>3</v>
      </c>
      <c r="P470" s="5">
        <f>INDEX([1]products!$A$1:$G$49,MATCH([1]orders!$D470,[1]products!$A$1:$A$49,0),MATCH([1]orders!K$1,[1]products!$A$1:$G$1,0))</f>
        <v>1</v>
      </c>
      <c r="Q470" s="6">
        <f>INDEX([1]products!$A$1:$G$49,MATCH([1]orders!$D470,[1]products!$A$1:$A$49,0),MATCH([1]orders!L$1,[1]products!$A$1:$G$1,0))</f>
        <v>13.75</v>
      </c>
      <c r="R470" s="6">
        <f t="shared" si="35"/>
        <v>41.25</v>
      </c>
      <c r="S470">
        <f>VLOOKUP(L470,Products!$A$2:$G$49,7,0)</f>
        <v>1.5125</v>
      </c>
      <c r="T470">
        <f t="shared" si="38"/>
        <v>4.5374999999999996</v>
      </c>
      <c r="U470" s="33">
        <f t="shared" si="39"/>
        <v>10.999999999999998</v>
      </c>
    </row>
    <row r="471" spans="1:21" x14ac:dyDescent="0.25">
      <c r="A471" s="1" t="s">
        <v>934</v>
      </c>
      <c r="B471" s="28">
        <v>44375</v>
      </c>
      <c r="C471" s="21" t="str">
        <f t="shared" si="36"/>
        <v>2021</v>
      </c>
      <c r="D471" s="19" t="str">
        <f t="shared" si="37"/>
        <v>June</v>
      </c>
      <c r="E471" s="3" t="s">
        <v>935</v>
      </c>
      <c r="F471" s="3" t="str">
        <f>VLOOKUP(E471,Customers!$A$2:$I$1001,2,0)</f>
        <v>Ailey Brash</v>
      </c>
      <c r="G471" s="3" t="str">
        <f>VLOOKUP(E471,Customers!$A$2:$I$1001,3,0)</f>
        <v>abrashda@plala.or.jp</v>
      </c>
      <c r="H471" s="3" t="str">
        <f>VLOOKUP(E471,Customers!$A$2:$I$1001,4,0)</f>
        <v>+1 (917) 544-7136</v>
      </c>
      <c r="I471" s="25" t="str">
        <f>VLOOKUP(E471,Customers!$A$2:$I$1001,6,0)</f>
        <v>Flushing</v>
      </c>
      <c r="J471" s="25" t="str">
        <f>VLOOKUP(E471,Customers!$A$2:$I$1001,7,0)</f>
        <v>United States</v>
      </c>
      <c r="K471" s="23" t="str">
        <f>VLOOKUP(E471,Customers!$A$2:$I$1001,9,0)</f>
        <v>Yes</v>
      </c>
      <c r="L471" s="4" t="s">
        <v>254</v>
      </c>
      <c r="M471" s="4" t="str">
        <f>VLOOKUP(L471,Products!$A$2:$G$49,2,0)</f>
        <v>Excelsa</v>
      </c>
      <c r="N471" s="4" t="str">
        <f>VLOOKUP(L471,Products!$A$2:$G$49,3,0)</f>
        <v>Light</v>
      </c>
      <c r="O471" s="25">
        <v>5</v>
      </c>
      <c r="P471" s="5">
        <f>INDEX([1]products!$A$1:$G$49,MATCH([1]orders!$D471,[1]products!$A$1:$A$49,0),MATCH([1]orders!K$1,[1]products!$A$1:$G$1,0))</f>
        <v>0.2</v>
      </c>
      <c r="Q471" s="6">
        <f>INDEX([1]products!$A$1:$G$49,MATCH([1]orders!$D471,[1]products!$A$1:$A$49,0),MATCH([1]orders!L$1,[1]products!$A$1:$G$1,0))</f>
        <v>4.4550000000000001</v>
      </c>
      <c r="R471" s="6">
        <f t="shared" si="35"/>
        <v>22.274999999999999</v>
      </c>
      <c r="S471">
        <f>VLOOKUP(L471,Products!$A$2:$G$49,7,0)</f>
        <v>0.49004999999999999</v>
      </c>
      <c r="T471">
        <f t="shared" si="38"/>
        <v>2.45025</v>
      </c>
      <c r="U471" s="33">
        <f t="shared" si="39"/>
        <v>11.000000000000002</v>
      </c>
    </row>
    <row r="472" spans="1:21" x14ac:dyDescent="0.25">
      <c r="A472" s="1" t="s">
        <v>936</v>
      </c>
      <c r="B472" s="28">
        <v>44656</v>
      </c>
      <c r="C472" s="21" t="str">
        <f t="shared" si="36"/>
        <v>2022</v>
      </c>
      <c r="D472" s="19" t="str">
        <f t="shared" si="37"/>
        <v>April</v>
      </c>
      <c r="E472" s="3" t="s">
        <v>937</v>
      </c>
      <c r="F472" s="3" t="str">
        <f>VLOOKUP(E472,Customers!$A$2:$I$1001,2,0)</f>
        <v>Alberto Hutchinson</v>
      </c>
      <c r="G472" s="3" t="str">
        <f>VLOOKUP(E472,Customers!$A$2:$I$1001,3,0)</f>
        <v>ahutchinsond2@imgur.com</v>
      </c>
      <c r="H472" s="3" t="str">
        <f>VLOOKUP(E472,Customers!$A$2:$I$1001,4,0)</f>
        <v>+1 (404) 775-3251</v>
      </c>
      <c r="I472" s="25" t="str">
        <f>VLOOKUP(E472,Customers!$A$2:$I$1001,6,0)</f>
        <v>Lawrenceville</v>
      </c>
      <c r="J472" s="25" t="str">
        <f>VLOOKUP(E472,Customers!$A$2:$I$1001,7,0)</f>
        <v>United States</v>
      </c>
      <c r="K472" s="23" t="str">
        <f>VLOOKUP(E472,Customers!$A$2:$I$1001,9,0)</f>
        <v>Yes</v>
      </c>
      <c r="L472" s="4" t="s">
        <v>67</v>
      </c>
      <c r="M472" s="4" t="str">
        <f>VLOOKUP(L472,Products!$A$2:$G$49,2,0)</f>
        <v>Arabica</v>
      </c>
      <c r="N472" s="4" t="str">
        <f>VLOOKUP(L472,Products!$A$2:$G$49,3,0)</f>
        <v>Medium</v>
      </c>
      <c r="O472" s="25">
        <v>1</v>
      </c>
      <c r="P472" s="5">
        <f>INDEX([1]products!$A$1:$G$49,MATCH([1]orders!$D472,[1]products!$A$1:$A$49,0),MATCH([1]orders!K$1,[1]products!$A$1:$G$1,0))</f>
        <v>0.5</v>
      </c>
      <c r="Q472" s="6">
        <f>INDEX([1]products!$A$1:$G$49,MATCH([1]orders!$D472,[1]products!$A$1:$A$49,0),MATCH([1]orders!L$1,[1]products!$A$1:$G$1,0))</f>
        <v>6.75</v>
      </c>
      <c r="R472" s="6">
        <f t="shared" si="35"/>
        <v>6.75</v>
      </c>
      <c r="S472">
        <f>VLOOKUP(L472,Products!$A$2:$G$49,7,0)</f>
        <v>0.60749999999999993</v>
      </c>
      <c r="T472">
        <f t="shared" si="38"/>
        <v>0.60749999999999993</v>
      </c>
      <c r="U472" s="33">
        <f t="shared" si="39"/>
        <v>8.9999999999999982</v>
      </c>
    </row>
    <row r="473" spans="1:21" x14ac:dyDescent="0.25">
      <c r="A473" s="1" t="s">
        <v>938</v>
      </c>
      <c r="B473" s="28">
        <v>44644</v>
      </c>
      <c r="C473" s="21" t="str">
        <f t="shared" si="36"/>
        <v>2022</v>
      </c>
      <c r="D473" s="19" t="str">
        <f t="shared" si="37"/>
        <v>March</v>
      </c>
      <c r="E473" s="3" t="s">
        <v>939</v>
      </c>
      <c r="F473" s="3" t="str">
        <f>VLOOKUP(E473,Customers!$A$2:$I$1001,2,0)</f>
        <v>Lamond Gheeraert</v>
      </c>
      <c r="G473" s="3" t="str">
        <f>VLOOKUP(E473,Customers!$A$2:$I$1001,3,0)</f>
        <v>UNKNOWN</v>
      </c>
      <c r="H473" s="3" t="str">
        <f>VLOOKUP(E473,Customers!$A$2:$I$1001,4,0)</f>
        <v>+1 (785) 654-9564</v>
      </c>
      <c r="I473" s="25" t="str">
        <f>VLOOKUP(E473,Customers!$A$2:$I$1001,6,0)</f>
        <v>Topeka</v>
      </c>
      <c r="J473" s="25" t="str">
        <f>VLOOKUP(E473,Customers!$A$2:$I$1001,7,0)</f>
        <v>United States</v>
      </c>
      <c r="K473" s="23" t="str">
        <f>VLOOKUP(E473,Customers!$A$2:$I$1001,9,0)</f>
        <v>Yes</v>
      </c>
      <c r="L473" s="4" t="s">
        <v>197</v>
      </c>
      <c r="M473" s="4" t="str">
        <f>VLOOKUP(L473,Products!$A$2:$G$49,2,0)</f>
        <v>Liberica</v>
      </c>
      <c r="N473" s="4" t="str">
        <f>VLOOKUP(L473,Products!$A$2:$G$49,3,0)</f>
        <v>Medium</v>
      </c>
      <c r="O473" s="25">
        <v>4</v>
      </c>
      <c r="P473" s="5">
        <f>INDEX([1]products!$A$1:$G$49,MATCH([1]orders!$D473,[1]products!$A$1:$A$49,0),MATCH([1]orders!K$1,[1]products!$A$1:$G$1,0))</f>
        <v>2.5</v>
      </c>
      <c r="Q473" s="6">
        <f>INDEX([1]products!$A$1:$G$49,MATCH([1]orders!$D473,[1]products!$A$1:$A$49,0),MATCH([1]orders!L$1,[1]products!$A$1:$G$1,0))</f>
        <v>33.464999999999996</v>
      </c>
      <c r="R473" s="6">
        <f t="shared" si="35"/>
        <v>133.85999999999999</v>
      </c>
      <c r="S473">
        <f>VLOOKUP(L473,Products!$A$2:$G$49,7,0)</f>
        <v>4.3504499999999995</v>
      </c>
      <c r="T473">
        <f t="shared" si="38"/>
        <v>17.401799999999998</v>
      </c>
      <c r="U473" s="33">
        <f t="shared" si="39"/>
        <v>13</v>
      </c>
    </row>
    <row r="474" spans="1:21" x14ac:dyDescent="0.25">
      <c r="A474" s="1" t="s">
        <v>940</v>
      </c>
      <c r="B474" s="28">
        <v>43869</v>
      </c>
      <c r="C474" s="21" t="str">
        <f t="shared" si="36"/>
        <v>2020</v>
      </c>
      <c r="D474" s="19" t="str">
        <f t="shared" si="37"/>
        <v>February</v>
      </c>
      <c r="E474" s="3" t="s">
        <v>941</v>
      </c>
      <c r="F474" s="3" t="str">
        <f>VLOOKUP(E474,Customers!$A$2:$I$1001,2,0)</f>
        <v>Roxine Drivers</v>
      </c>
      <c r="G474" s="3" t="str">
        <f>VLOOKUP(E474,Customers!$A$2:$I$1001,3,0)</f>
        <v>rdriversd4@hexun.com</v>
      </c>
      <c r="H474" s="3" t="str">
        <f>VLOOKUP(E474,Customers!$A$2:$I$1001,4,0)</f>
        <v>+1 (913) 127-4257</v>
      </c>
      <c r="I474" s="25" t="str">
        <f>VLOOKUP(E474,Customers!$A$2:$I$1001,6,0)</f>
        <v>Shawnee Mission</v>
      </c>
      <c r="J474" s="25" t="str">
        <f>VLOOKUP(E474,Customers!$A$2:$I$1001,7,0)</f>
        <v>United States</v>
      </c>
      <c r="K474" s="23" t="str">
        <f>VLOOKUP(E474,Customers!$A$2:$I$1001,9,0)</f>
        <v>No</v>
      </c>
      <c r="L474" s="4" t="s">
        <v>54</v>
      </c>
      <c r="M474" s="4" t="str">
        <f>VLOOKUP(L474,Products!$A$2:$G$49,2,0)</f>
        <v>Arabica</v>
      </c>
      <c r="N474" s="4" t="str">
        <f>VLOOKUP(L474,Products!$A$2:$G$49,3,0)</f>
        <v>Dark</v>
      </c>
      <c r="O474" s="25">
        <v>2</v>
      </c>
      <c r="P474" s="5">
        <f>INDEX([1]products!$A$1:$G$49,MATCH([1]orders!$D474,[1]products!$A$1:$A$49,0),MATCH([1]orders!K$1,[1]products!$A$1:$G$1,0))</f>
        <v>0.2</v>
      </c>
      <c r="Q474" s="6">
        <f>INDEX([1]products!$A$1:$G$49,MATCH([1]orders!$D474,[1]products!$A$1:$A$49,0),MATCH([1]orders!L$1,[1]products!$A$1:$G$1,0))</f>
        <v>2.9849999999999999</v>
      </c>
      <c r="R474" s="6">
        <f t="shared" si="35"/>
        <v>5.97</v>
      </c>
      <c r="S474">
        <f>VLOOKUP(L474,Products!$A$2:$G$49,7,0)</f>
        <v>0.26865</v>
      </c>
      <c r="T474">
        <f t="shared" si="38"/>
        <v>0.5373</v>
      </c>
      <c r="U474" s="33">
        <f t="shared" si="39"/>
        <v>9.0000000000000018</v>
      </c>
    </row>
    <row r="475" spans="1:21" x14ac:dyDescent="0.25">
      <c r="A475" s="1" t="s">
        <v>942</v>
      </c>
      <c r="B475" s="28">
        <v>44603</v>
      </c>
      <c r="C475" s="21" t="str">
        <f t="shared" si="36"/>
        <v>2022</v>
      </c>
      <c r="D475" s="19" t="str">
        <f t="shared" si="37"/>
        <v>February</v>
      </c>
      <c r="E475" s="3" t="s">
        <v>943</v>
      </c>
      <c r="F475" s="3" t="str">
        <f>VLOOKUP(E475,Customers!$A$2:$I$1001,2,0)</f>
        <v>Heloise Zeal</v>
      </c>
      <c r="G475" s="3" t="str">
        <f>VLOOKUP(E475,Customers!$A$2:$I$1001,3,0)</f>
        <v>hzeald5@google.de</v>
      </c>
      <c r="H475" s="3" t="str">
        <f>VLOOKUP(E475,Customers!$A$2:$I$1001,4,0)</f>
        <v>+1 (206) 775-4468</v>
      </c>
      <c r="I475" s="25" t="str">
        <f>VLOOKUP(E475,Customers!$A$2:$I$1001,6,0)</f>
        <v>Seattle</v>
      </c>
      <c r="J475" s="25" t="str">
        <f>VLOOKUP(E475,Customers!$A$2:$I$1001,7,0)</f>
        <v>United States</v>
      </c>
      <c r="K475" s="23" t="str">
        <f>VLOOKUP(E475,Customers!$A$2:$I$1001,9,0)</f>
        <v>No</v>
      </c>
      <c r="L475" s="4" t="s">
        <v>6</v>
      </c>
      <c r="M475" s="4" t="str">
        <f>VLOOKUP(L475,Products!$A$2:$G$49,2,0)</f>
        <v>Arabica</v>
      </c>
      <c r="N475" s="4" t="str">
        <f>VLOOKUP(L475,Products!$A$2:$G$49,3,0)</f>
        <v>Light</v>
      </c>
      <c r="O475" s="25">
        <v>2</v>
      </c>
      <c r="P475" s="5">
        <f>INDEX([1]products!$A$1:$G$49,MATCH([1]orders!$D475,[1]products!$A$1:$A$49,0),MATCH([1]orders!K$1,[1]products!$A$1:$G$1,0))</f>
        <v>1</v>
      </c>
      <c r="Q475" s="6">
        <f>INDEX([1]products!$A$1:$G$49,MATCH([1]orders!$D475,[1]products!$A$1:$A$49,0),MATCH([1]orders!L$1,[1]products!$A$1:$G$1,0))</f>
        <v>12.95</v>
      </c>
      <c r="R475" s="6">
        <f t="shared" si="35"/>
        <v>25.9</v>
      </c>
      <c r="S475">
        <f>VLOOKUP(L475,Products!$A$2:$G$49,7,0)</f>
        <v>1.1655</v>
      </c>
      <c r="T475">
        <f t="shared" si="38"/>
        <v>2.331</v>
      </c>
      <c r="U475" s="33">
        <f t="shared" si="39"/>
        <v>9</v>
      </c>
    </row>
    <row r="476" spans="1:21" x14ac:dyDescent="0.25">
      <c r="A476" s="1" t="s">
        <v>944</v>
      </c>
      <c r="B476" s="28">
        <v>44014</v>
      </c>
      <c r="C476" s="21" t="str">
        <f t="shared" si="36"/>
        <v>2020</v>
      </c>
      <c r="D476" s="19" t="str">
        <f t="shared" si="37"/>
        <v>July</v>
      </c>
      <c r="E476" s="3" t="s">
        <v>945</v>
      </c>
      <c r="F476" s="3" t="str">
        <f>VLOOKUP(E476,Customers!$A$2:$I$1001,2,0)</f>
        <v>Granger Smallcombe</v>
      </c>
      <c r="G476" s="3" t="str">
        <f>VLOOKUP(E476,Customers!$A$2:$I$1001,3,0)</f>
        <v>gsmallcombed6@ucla.edu</v>
      </c>
      <c r="H476" s="3" t="str">
        <f>VLOOKUP(E476,Customers!$A$2:$I$1001,4,0)</f>
        <v>+353 (374) 810-4528</v>
      </c>
      <c r="I476" s="25" t="str">
        <f>VLOOKUP(E476,Customers!$A$2:$I$1001,6,0)</f>
        <v>Kilkenny</v>
      </c>
      <c r="J476" s="25" t="str">
        <f>VLOOKUP(E476,Customers!$A$2:$I$1001,7,0)</f>
        <v>Ireland</v>
      </c>
      <c r="K476" s="23" t="str">
        <f>VLOOKUP(E476,Customers!$A$2:$I$1001,9,0)</f>
        <v>Yes</v>
      </c>
      <c r="L476" s="4" t="s">
        <v>112</v>
      </c>
      <c r="M476" s="4" t="str">
        <f>VLOOKUP(L476,Products!$A$2:$G$49,2,0)</f>
        <v>Excelsa</v>
      </c>
      <c r="N476" s="4" t="str">
        <f>VLOOKUP(L476,Products!$A$2:$G$49,3,0)</f>
        <v>Medium</v>
      </c>
      <c r="O476" s="25">
        <v>1</v>
      </c>
      <c r="P476" s="5">
        <f>INDEX([1]products!$A$1:$G$49,MATCH([1]orders!$D476,[1]products!$A$1:$A$49,0),MATCH([1]orders!K$1,[1]products!$A$1:$G$1,0))</f>
        <v>2.5</v>
      </c>
      <c r="Q476" s="6">
        <f>INDEX([1]products!$A$1:$G$49,MATCH([1]orders!$D476,[1]products!$A$1:$A$49,0),MATCH([1]orders!L$1,[1]products!$A$1:$G$1,0))</f>
        <v>31.624999999999996</v>
      </c>
      <c r="R476" s="6">
        <f t="shared" si="35"/>
        <v>31.624999999999996</v>
      </c>
      <c r="S476">
        <f>VLOOKUP(L476,Products!$A$2:$G$49,7,0)</f>
        <v>3.4787499999999998</v>
      </c>
      <c r="T476">
        <f t="shared" si="38"/>
        <v>3.4787499999999998</v>
      </c>
      <c r="U476" s="33">
        <f t="shared" si="39"/>
        <v>11</v>
      </c>
    </row>
    <row r="477" spans="1:21" x14ac:dyDescent="0.25">
      <c r="A477" s="1" t="s">
        <v>946</v>
      </c>
      <c r="B477" s="28">
        <v>44767</v>
      </c>
      <c r="C477" s="21" t="str">
        <f t="shared" si="36"/>
        <v>2022</v>
      </c>
      <c r="D477" s="19" t="str">
        <f t="shared" si="37"/>
        <v>July</v>
      </c>
      <c r="E477" s="3" t="s">
        <v>947</v>
      </c>
      <c r="F477" s="3" t="str">
        <f>VLOOKUP(E477,Customers!$A$2:$I$1001,2,0)</f>
        <v>Daryn Dibley</v>
      </c>
      <c r="G477" s="3" t="str">
        <f>VLOOKUP(E477,Customers!$A$2:$I$1001,3,0)</f>
        <v>ddibleyd7@feedburner.com</v>
      </c>
      <c r="H477" s="3" t="str">
        <f>VLOOKUP(E477,Customers!$A$2:$I$1001,4,0)</f>
        <v>UNKNOWN</v>
      </c>
      <c r="I477" s="25" t="str">
        <f>VLOOKUP(E477,Customers!$A$2:$I$1001,6,0)</f>
        <v>Kissimmee</v>
      </c>
      <c r="J477" s="25" t="str">
        <f>VLOOKUP(E477,Customers!$A$2:$I$1001,7,0)</f>
        <v>United States</v>
      </c>
      <c r="K477" s="23" t="str">
        <f>VLOOKUP(E477,Customers!$A$2:$I$1001,9,0)</f>
        <v>No</v>
      </c>
      <c r="L477" s="4" t="s">
        <v>77</v>
      </c>
      <c r="M477" s="4" t="str">
        <f>VLOOKUP(L477,Products!$A$2:$G$49,2,0)</f>
        <v>Liberica</v>
      </c>
      <c r="N477" s="4" t="str">
        <f>VLOOKUP(L477,Products!$A$2:$G$49,3,0)</f>
        <v>Medium</v>
      </c>
      <c r="O477" s="25">
        <v>2</v>
      </c>
      <c r="P477" s="5">
        <f>INDEX([1]products!$A$1:$G$49,MATCH([1]orders!$D477,[1]products!$A$1:$A$49,0),MATCH([1]orders!K$1,[1]products!$A$1:$G$1,0))</f>
        <v>0.2</v>
      </c>
      <c r="Q477" s="6">
        <f>INDEX([1]products!$A$1:$G$49,MATCH([1]orders!$D477,[1]products!$A$1:$A$49,0),MATCH([1]orders!L$1,[1]products!$A$1:$G$1,0))</f>
        <v>4.3650000000000002</v>
      </c>
      <c r="R477" s="6">
        <f t="shared" si="35"/>
        <v>8.73</v>
      </c>
      <c r="S477">
        <f>VLOOKUP(L477,Products!$A$2:$G$49,7,0)</f>
        <v>0.56745000000000001</v>
      </c>
      <c r="T477">
        <f t="shared" si="38"/>
        <v>1.1349</v>
      </c>
      <c r="U477" s="33">
        <f t="shared" si="39"/>
        <v>13</v>
      </c>
    </row>
    <row r="478" spans="1:21" x14ac:dyDescent="0.25">
      <c r="A478" s="1" t="s">
        <v>948</v>
      </c>
      <c r="B478" s="28">
        <v>44274</v>
      </c>
      <c r="C478" s="21" t="str">
        <f t="shared" si="36"/>
        <v>2021</v>
      </c>
      <c r="D478" s="19" t="str">
        <f t="shared" si="37"/>
        <v>March</v>
      </c>
      <c r="E478" s="3" t="s">
        <v>949</v>
      </c>
      <c r="F478" s="3" t="str">
        <f>VLOOKUP(E478,Customers!$A$2:$I$1001,2,0)</f>
        <v>Gardy Dimitriou</v>
      </c>
      <c r="G478" s="3" t="str">
        <f>VLOOKUP(E478,Customers!$A$2:$I$1001,3,0)</f>
        <v>gdimitrioud8@chronoengine.com</v>
      </c>
      <c r="H478" s="3" t="str">
        <f>VLOOKUP(E478,Customers!$A$2:$I$1001,4,0)</f>
        <v>+1 (585) 303-7337</v>
      </c>
      <c r="I478" s="25" t="str">
        <f>VLOOKUP(E478,Customers!$A$2:$I$1001,6,0)</f>
        <v>Rochester</v>
      </c>
      <c r="J478" s="25" t="str">
        <f>VLOOKUP(E478,Customers!$A$2:$I$1001,7,0)</f>
        <v>United States</v>
      </c>
      <c r="K478" s="23" t="str">
        <f>VLOOKUP(E478,Customers!$A$2:$I$1001,9,0)</f>
        <v>Yes</v>
      </c>
      <c r="L478" s="4" t="s">
        <v>254</v>
      </c>
      <c r="M478" s="4" t="str">
        <f>VLOOKUP(L478,Products!$A$2:$G$49,2,0)</f>
        <v>Excelsa</v>
      </c>
      <c r="N478" s="4" t="str">
        <f>VLOOKUP(L478,Products!$A$2:$G$49,3,0)</f>
        <v>Light</v>
      </c>
      <c r="O478" s="25">
        <v>6</v>
      </c>
      <c r="P478" s="5">
        <f>INDEX([1]products!$A$1:$G$49,MATCH([1]orders!$D478,[1]products!$A$1:$A$49,0),MATCH([1]orders!K$1,[1]products!$A$1:$G$1,0))</f>
        <v>0.2</v>
      </c>
      <c r="Q478" s="6">
        <f>INDEX([1]products!$A$1:$G$49,MATCH([1]orders!$D478,[1]products!$A$1:$A$49,0),MATCH([1]orders!L$1,[1]products!$A$1:$G$1,0))</f>
        <v>4.4550000000000001</v>
      </c>
      <c r="R478" s="6">
        <f t="shared" si="35"/>
        <v>26.73</v>
      </c>
      <c r="S478">
        <f>VLOOKUP(L478,Products!$A$2:$G$49,7,0)</f>
        <v>0.49004999999999999</v>
      </c>
      <c r="T478">
        <f t="shared" si="38"/>
        <v>2.9402999999999997</v>
      </c>
      <c r="U478" s="33">
        <f t="shared" si="39"/>
        <v>10.999999999999998</v>
      </c>
    </row>
    <row r="479" spans="1:21" x14ac:dyDescent="0.25">
      <c r="A479" s="1" t="s">
        <v>950</v>
      </c>
      <c r="B479" s="28">
        <v>43962</v>
      </c>
      <c r="C479" s="21" t="str">
        <f t="shared" si="36"/>
        <v>2020</v>
      </c>
      <c r="D479" s="19" t="str">
        <f t="shared" si="37"/>
        <v>May</v>
      </c>
      <c r="E479" s="3" t="s">
        <v>951</v>
      </c>
      <c r="F479" s="3" t="str">
        <f>VLOOKUP(E479,Customers!$A$2:$I$1001,2,0)</f>
        <v>Fanny Flanagan</v>
      </c>
      <c r="G479" s="3" t="str">
        <f>VLOOKUP(E479,Customers!$A$2:$I$1001,3,0)</f>
        <v>fflanagand9@woothemes.com</v>
      </c>
      <c r="H479" s="3" t="str">
        <f>VLOOKUP(E479,Customers!$A$2:$I$1001,4,0)</f>
        <v>+1 (903) 455-7155</v>
      </c>
      <c r="I479" s="25" t="str">
        <f>VLOOKUP(E479,Customers!$A$2:$I$1001,6,0)</f>
        <v>Tyler</v>
      </c>
      <c r="J479" s="25" t="str">
        <f>VLOOKUP(E479,Customers!$A$2:$I$1001,7,0)</f>
        <v>United States</v>
      </c>
      <c r="K479" s="23" t="str">
        <f>VLOOKUP(E479,Customers!$A$2:$I$1001,9,0)</f>
        <v>No</v>
      </c>
      <c r="L479" s="4" t="s">
        <v>77</v>
      </c>
      <c r="M479" s="4" t="str">
        <f>VLOOKUP(L479,Products!$A$2:$G$49,2,0)</f>
        <v>Liberica</v>
      </c>
      <c r="N479" s="4" t="str">
        <f>VLOOKUP(L479,Products!$A$2:$G$49,3,0)</f>
        <v>Medium</v>
      </c>
      <c r="O479" s="25">
        <v>6</v>
      </c>
      <c r="P479" s="5">
        <f>INDEX([1]products!$A$1:$G$49,MATCH([1]orders!$D479,[1]products!$A$1:$A$49,0),MATCH([1]orders!K$1,[1]products!$A$1:$G$1,0))</f>
        <v>0.2</v>
      </c>
      <c r="Q479" s="6">
        <f>INDEX([1]products!$A$1:$G$49,MATCH([1]orders!$D479,[1]products!$A$1:$A$49,0),MATCH([1]orders!L$1,[1]products!$A$1:$G$1,0))</f>
        <v>4.3650000000000002</v>
      </c>
      <c r="R479" s="6">
        <f t="shared" si="35"/>
        <v>26.19</v>
      </c>
      <c r="S479">
        <f>VLOOKUP(L479,Products!$A$2:$G$49,7,0)</f>
        <v>0.56745000000000001</v>
      </c>
      <c r="T479">
        <f t="shared" si="38"/>
        <v>3.4047000000000001</v>
      </c>
      <c r="U479" s="33">
        <f t="shared" si="39"/>
        <v>13</v>
      </c>
    </row>
    <row r="480" spans="1:21" x14ac:dyDescent="0.25">
      <c r="A480" s="1" t="s">
        <v>952</v>
      </c>
      <c r="B480" s="28">
        <v>43624</v>
      </c>
      <c r="C480" s="21" t="str">
        <f t="shared" si="36"/>
        <v>2019</v>
      </c>
      <c r="D480" s="19" t="str">
        <f t="shared" si="37"/>
        <v>June</v>
      </c>
      <c r="E480" s="3" t="s">
        <v>935</v>
      </c>
      <c r="F480" s="3" t="str">
        <f>VLOOKUP(E480,Customers!$A$2:$I$1001,2,0)</f>
        <v>Ailey Brash</v>
      </c>
      <c r="G480" s="3" t="str">
        <f>VLOOKUP(E480,Customers!$A$2:$I$1001,3,0)</f>
        <v>abrashda@plala.or.jp</v>
      </c>
      <c r="H480" s="3" t="str">
        <f>VLOOKUP(E480,Customers!$A$2:$I$1001,4,0)</f>
        <v>+1 (917) 544-7136</v>
      </c>
      <c r="I480" s="25" t="str">
        <f>VLOOKUP(E480,Customers!$A$2:$I$1001,6,0)</f>
        <v>Flushing</v>
      </c>
      <c r="J480" s="25" t="str">
        <f>VLOOKUP(E480,Customers!$A$2:$I$1001,7,0)</f>
        <v>United States</v>
      </c>
      <c r="K480" s="23" t="str">
        <f>VLOOKUP(E480,Customers!$A$2:$I$1001,9,0)</f>
        <v>Yes</v>
      </c>
      <c r="L480" s="4" t="s">
        <v>179</v>
      </c>
      <c r="M480" s="4" t="str">
        <f>VLOOKUP(L480,Products!$A$2:$G$49,2,0)</f>
        <v>Robusta</v>
      </c>
      <c r="N480" s="4" t="str">
        <f>VLOOKUP(L480,Products!$A$2:$G$49,3,0)</f>
        <v>Dark</v>
      </c>
      <c r="O480" s="25">
        <v>6</v>
      </c>
      <c r="P480" s="5">
        <f>INDEX([1]products!$A$1:$G$49,MATCH([1]orders!$D480,[1]products!$A$1:$A$49,0),MATCH([1]orders!K$1,[1]products!$A$1:$G$1,0))</f>
        <v>1</v>
      </c>
      <c r="Q480" s="6">
        <f>INDEX([1]products!$A$1:$G$49,MATCH([1]orders!$D480,[1]products!$A$1:$A$49,0),MATCH([1]orders!L$1,[1]products!$A$1:$G$1,0))</f>
        <v>8.9499999999999993</v>
      </c>
      <c r="R480" s="6">
        <f t="shared" si="35"/>
        <v>53.699999999999996</v>
      </c>
      <c r="S480">
        <f>VLOOKUP(L480,Products!$A$2:$G$49,7,0)</f>
        <v>0.53699999999999992</v>
      </c>
      <c r="T480">
        <f t="shared" si="38"/>
        <v>3.2219999999999995</v>
      </c>
      <c r="U480" s="33">
        <f t="shared" si="39"/>
        <v>6</v>
      </c>
    </row>
    <row r="481" spans="1:21" x14ac:dyDescent="0.25">
      <c r="A481" s="1" t="s">
        <v>952</v>
      </c>
      <c r="B481" s="28">
        <v>43624</v>
      </c>
      <c r="C481" s="21" t="str">
        <f t="shared" si="36"/>
        <v>2019</v>
      </c>
      <c r="D481" s="19" t="str">
        <f t="shared" si="37"/>
        <v>June</v>
      </c>
      <c r="E481" s="3" t="s">
        <v>935</v>
      </c>
      <c r="F481" s="3" t="str">
        <f>VLOOKUP(E481,Customers!$A$2:$I$1001,2,0)</f>
        <v>Ailey Brash</v>
      </c>
      <c r="G481" s="3" t="str">
        <f>VLOOKUP(E481,Customers!$A$2:$I$1001,3,0)</f>
        <v>abrashda@plala.or.jp</v>
      </c>
      <c r="H481" s="3" t="str">
        <f>VLOOKUP(E481,Customers!$A$2:$I$1001,4,0)</f>
        <v>+1 (917) 544-7136</v>
      </c>
      <c r="I481" s="25" t="str">
        <f>VLOOKUP(E481,Customers!$A$2:$I$1001,6,0)</f>
        <v>Flushing</v>
      </c>
      <c r="J481" s="25" t="str">
        <f>VLOOKUP(E481,Customers!$A$2:$I$1001,7,0)</f>
        <v>United States</v>
      </c>
      <c r="K481" s="23" t="str">
        <f>VLOOKUP(E481,Customers!$A$2:$I$1001,9,0)</f>
        <v>Yes</v>
      </c>
      <c r="L481" s="4" t="s">
        <v>112</v>
      </c>
      <c r="M481" s="4" t="str">
        <f>VLOOKUP(L481,Products!$A$2:$G$49,2,0)</f>
        <v>Excelsa</v>
      </c>
      <c r="N481" s="4" t="str">
        <f>VLOOKUP(L481,Products!$A$2:$G$49,3,0)</f>
        <v>Medium</v>
      </c>
      <c r="O481" s="25">
        <v>4</v>
      </c>
      <c r="P481" s="5">
        <f>INDEX([1]products!$A$1:$G$49,MATCH([1]orders!$D481,[1]products!$A$1:$A$49,0),MATCH([1]orders!K$1,[1]products!$A$1:$G$1,0))</f>
        <v>2.5</v>
      </c>
      <c r="Q481" s="6">
        <f>INDEX([1]products!$A$1:$G$49,MATCH([1]orders!$D481,[1]products!$A$1:$A$49,0),MATCH([1]orders!L$1,[1]products!$A$1:$G$1,0))</f>
        <v>31.624999999999996</v>
      </c>
      <c r="R481" s="6">
        <f t="shared" si="35"/>
        <v>126.49999999999999</v>
      </c>
      <c r="S481">
        <f>VLOOKUP(L481,Products!$A$2:$G$49,7,0)</f>
        <v>3.4787499999999998</v>
      </c>
      <c r="T481">
        <f t="shared" si="38"/>
        <v>13.914999999999999</v>
      </c>
      <c r="U481" s="33">
        <f t="shared" si="39"/>
        <v>11</v>
      </c>
    </row>
    <row r="482" spans="1:21" x14ac:dyDescent="0.25">
      <c r="A482" s="1" t="s">
        <v>952</v>
      </c>
      <c r="B482" s="28">
        <v>43624</v>
      </c>
      <c r="C482" s="21" t="str">
        <f t="shared" si="36"/>
        <v>2019</v>
      </c>
      <c r="D482" s="19" t="str">
        <f t="shared" si="37"/>
        <v>June</v>
      </c>
      <c r="E482" s="3" t="s">
        <v>935</v>
      </c>
      <c r="F482" s="3" t="str">
        <f>VLOOKUP(E482,Customers!$A$2:$I$1001,2,0)</f>
        <v>Ailey Brash</v>
      </c>
      <c r="G482" s="3" t="str">
        <f>VLOOKUP(E482,Customers!$A$2:$I$1001,3,0)</f>
        <v>abrashda@plala.or.jp</v>
      </c>
      <c r="H482" s="3" t="str">
        <f>VLOOKUP(E482,Customers!$A$2:$I$1001,4,0)</f>
        <v>+1 (917) 544-7136</v>
      </c>
      <c r="I482" s="25" t="str">
        <f>VLOOKUP(E482,Customers!$A$2:$I$1001,6,0)</f>
        <v>Flushing</v>
      </c>
      <c r="J482" s="25" t="str">
        <f>VLOOKUP(E482,Customers!$A$2:$I$1001,7,0)</f>
        <v>United States</v>
      </c>
      <c r="K482" s="23" t="str">
        <f>VLOOKUP(E482,Customers!$A$2:$I$1001,9,0)</f>
        <v>Yes</v>
      </c>
      <c r="L482" s="4" t="s">
        <v>64</v>
      </c>
      <c r="M482" s="4" t="str">
        <f>VLOOKUP(L482,Products!$A$2:$G$49,2,0)</f>
        <v>Excelsa</v>
      </c>
      <c r="N482" s="4" t="str">
        <f>VLOOKUP(L482,Products!$A$2:$G$49,3,0)</f>
        <v>Medium</v>
      </c>
      <c r="O482" s="25">
        <v>1</v>
      </c>
      <c r="P482" s="5">
        <f>INDEX([1]products!$A$1:$G$49,MATCH([1]orders!$D482,[1]products!$A$1:$A$49,0),MATCH([1]orders!K$1,[1]products!$A$1:$G$1,0))</f>
        <v>0.2</v>
      </c>
      <c r="Q482" s="6">
        <f>INDEX([1]products!$A$1:$G$49,MATCH([1]orders!$D482,[1]products!$A$1:$A$49,0),MATCH([1]orders!L$1,[1]products!$A$1:$G$1,0))</f>
        <v>4.125</v>
      </c>
      <c r="R482" s="6">
        <f t="shared" si="35"/>
        <v>4.125</v>
      </c>
      <c r="S482">
        <f>VLOOKUP(L482,Products!$A$2:$G$49,7,0)</f>
        <v>0.45374999999999999</v>
      </c>
      <c r="T482">
        <f t="shared" si="38"/>
        <v>0.45374999999999999</v>
      </c>
      <c r="U482" s="33">
        <f t="shared" si="39"/>
        <v>11</v>
      </c>
    </row>
    <row r="483" spans="1:21" x14ac:dyDescent="0.25">
      <c r="A483" s="1" t="s">
        <v>953</v>
      </c>
      <c r="B483" s="28">
        <v>43747</v>
      </c>
      <c r="C483" s="21" t="str">
        <f t="shared" si="36"/>
        <v>2019</v>
      </c>
      <c r="D483" s="19" t="str">
        <f t="shared" si="37"/>
        <v>October</v>
      </c>
      <c r="E483" s="3" t="s">
        <v>954</v>
      </c>
      <c r="F483" s="3" t="str">
        <f>VLOOKUP(E483,Customers!$A$2:$I$1001,2,0)</f>
        <v>Nanny Izhakov</v>
      </c>
      <c r="G483" s="3" t="str">
        <f>VLOOKUP(E483,Customers!$A$2:$I$1001,3,0)</f>
        <v>nizhakovdd@aol.com</v>
      </c>
      <c r="H483" s="3" t="str">
        <f>VLOOKUP(E483,Customers!$A$2:$I$1001,4,0)</f>
        <v>+44 (570) 683-9517</v>
      </c>
      <c r="I483" s="25" t="str">
        <f>VLOOKUP(E483,Customers!$A$2:$I$1001,6,0)</f>
        <v>Seaton</v>
      </c>
      <c r="J483" s="25" t="str">
        <f>VLOOKUP(E483,Customers!$A$2:$I$1001,7,0)</f>
        <v>United Kingdom</v>
      </c>
      <c r="K483" s="23" t="str">
        <f>VLOOKUP(E483,Customers!$A$2:$I$1001,9,0)</f>
        <v>No</v>
      </c>
      <c r="L483" s="4" t="s">
        <v>189</v>
      </c>
      <c r="M483" s="4" t="str">
        <f>VLOOKUP(L483,Products!$A$2:$G$49,2,0)</f>
        <v>Robusta</v>
      </c>
      <c r="N483" s="4" t="str">
        <f>VLOOKUP(L483,Products!$A$2:$G$49,3,0)</f>
        <v>Light</v>
      </c>
      <c r="O483" s="25">
        <v>2</v>
      </c>
      <c r="P483" s="5">
        <f>INDEX([1]products!$A$1:$G$49,MATCH([1]orders!$D483,[1]products!$A$1:$A$49,0),MATCH([1]orders!K$1,[1]products!$A$1:$G$1,0))</f>
        <v>1</v>
      </c>
      <c r="Q483" s="6">
        <f>INDEX([1]products!$A$1:$G$49,MATCH([1]orders!$D483,[1]products!$A$1:$A$49,0),MATCH([1]orders!L$1,[1]products!$A$1:$G$1,0))</f>
        <v>11.95</v>
      </c>
      <c r="R483" s="6">
        <f t="shared" si="35"/>
        <v>23.9</v>
      </c>
      <c r="S483">
        <f>VLOOKUP(L483,Products!$A$2:$G$49,7,0)</f>
        <v>0.71699999999999997</v>
      </c>
      <c r="T483">
        <f t="shared" si="38"/>
        <v>1.4339999999999999</v>
      </c>
      <c r="U483" s="33">
        <f t="shared" si="39"/>
        <v>6</v>
      </c>
    </row>
    <row r="484" spans="1:21" x14ac:dyDescent="0.25">
      <c r="A484" s="1" t="s">
        <v>955</v>
      </c>
      <c r="B484" s="28">
        <v>44247</v>
      </c>
      <c r="C484" s="21" t="str">
        <f t="shared" si="36"/>
        <v>2021</v>
      </c>
      <c r="D484" s="19" t="str">
        <f t="shared" si="37"/>
        <v>February</v>
      </c>
      <c r="E484" s="3" t="s">
        <v>956</v>
      </c>
      <c r="F484" s="3" t="str">
        <f>VLOOKUP(E484,Customers!$A$2:$I$1001,2,0)</f>
        <v>Stanly Keets</v>
      </c>
      <c r="G484" s="3" t="str">
        <f>VLOOKUP(E484,Customers!$A$2:$I$1001,3,0)</f>
        <v>skeetsde@answers.com</v>
      </c>
      <c r="H484" s="3" t="str">
        <f>VLOOKUP(E484,Customers!$A$2:$I$1001,4,0)</f>
        <v>+1 (703) 230-2979</v>
      </c>
      <c r="I484" s="25" t="str">
        <f>VLOOKUP(E484,Customers!$A$2:$I$1001,6,0)</f>
        <v>Alexandria</v>
      </c>
      <c r="J484" s="25" t="str">
        <f>VLOOKUP(E484,Customers!$A$2:$I$1001,7,0)</f>
        <v>United States</v>
      </c>
      <c r="K484" s="23" t="str">
        <f>VLOOKUP(E484,Customers!$A$2:$I$1001,9,0)</f>
        <v>Yes</v>
      </c>
      <c r="L484" s="4" t="s">
        <v>530</v>
      </c>
      <c r="M484" s="4" t="str">
        <f>VLOOKUP(L484,Products!$A$2:$G$49,2,0)</f>
        <v>Excelsa</v>
      </c>
      <c r="N484" s="4" t="str">
        <f>VLOOKUP(L484,Products!$A$2:$G$49,3,0)</f>
        <v>Dark</v>
      </c>
      <c r="O484" s="25">
        <v>5</v>
      </c>
      <c r="P484" s="5">
        <f>INDEX([1]products!$A$1:$G$49,MATCH([1]orders!$D484,[1]products!$A$1:$A$49,0),MATCH([1]orders!K$1,[1]products!$A$1:$G$1,0))</f>
        <v>2.5</v>
      </c>
      <c r="Q484" s="6">
        <f>INDEX([1]products!$A$1:$G$49,MATCH([1]orders!$D484,[1]products!$A$1:$A$49,0),MATCH([1]orders!L$1,[1]products!$A$1:$G$1,0))</f>
        <v>27.945</v>
      </c>
      <c r="R484" s="6">
        <f t="shared" si="35"/>
        <v>139.72499999999999</v>
      </c>
      <c r="S484">
        <f>VLOOKUP(L484,Products!$A$2:$G$49,7,0)</f>
        <v>3.07395</v>
      </c>
      <c r="T484">
        <f t="shared" si="38"/>
        <v>15.36975</v>
      </c>
      <c r="U484" s="33">
        <f t="shared" si="39"/>
        <v>11</v>
      </c>
    </row>
    <row r="485" spans="1:21" x14ac:dyDescent="0.25">
      <c r="A485" s="1" t="s">
        <v>957</v>
      </c>
      <c r="B485" s="28">
        <v>43790</v>
      </c>
      <c r="C485" s="21" t="str">
        <f t="shared" si="36"/>
        <v>2019</v>
      </c>
      <c r="D485" s="19" t="str">
        <f t="shared" si="37"/>
        <v>November</v>
      </c>
      <c r="E485" s="3" t="s">
        <v>958</v>
      </c>
      <c r="F485" s="3" t="str">
        <f>VLOOKUP(E485,Customers!$A$2:$I$1001,2,0)</f>
        <v>Orion Dyott</v>
      </c>
      <c r="G485" s="3" t="str">
        <f>VLOOKUP(E485,Customers!$A$2:$I$1001,3,0)</f>
        <v>UNKNOWN</v>
      </c>
      <c r="H485" s="3" t="str">
        <f>VLOOKUP(E485,Customers!$A$2:$I$1001,4,0)</f>
        <v>+1 (801) 322-2923</v>
      </c>
      <c r="I485" s="25" t="str">
        <f>VLOOKUP(E485,Customers!$A$2:$I$1001,6,0)</f>
        <v>Salt Lake City</v>
      </c>
      <c r="J485" s="25" t="str">
        <f>VLOOKUP(E485,Customers!$A$2:$I$1001,7,0)</f>
        <v>United States</v>
      </c>
      <c r="K485" s="23" t="str">
        <f>VLOOKUP(E485,Customers!$A$2:$I$1001,9,0)</f>
        <v>Yes</v>
      </c>
      <c r="L485" s="4" t="s">
        <v>109</v>
      </c>
      <c r="M485" s="4" t="str">
        <f>VLOOKUP(L485,Products!$A$2:$G$49,2,0)</f>
        <v>Liberica</v>
      </c>
      <c r="N485" s="4" t="str">
        <f>VLOOKUP(L485,Products!$A$2:$G$49,3,0)</f>
        <v>Dark</v>
      </c>
      <c r="O485" s="25">
        <v>2</v>
      </c>
      <c r="P485" s="5">
        <f>INDEX([1]products!$A$1:$G$49,MATCH([1]orders!$D485,[1]products!$A$1:$A$49,0),MATCH([1]orders!K$1,[1]products!$A$1:$G$1,0))</f>
        <v>2.5</v>
      </c>
      <c r="Q485" s="6">
        <f>INDEX([1]products!$A$1:$G$49,MATCH([1]orders!$D485,[1]products!$A$1:$A$49,0),MATCH([1]orders!L$1,[1]products!$A$1:$G$1,0))</f>
        <v>29.784999999999997</v>
      </c>
      <c r="R485" s="6">
        <f t="shared" si="35"/>
        <v>59.569999999999993</v>
      </c>
      <c r="S485">
        <f>VLOOKUP(L485,Products!$A$2:$G$49,7,0)</f>
        <v>3.8720499999999998</v>
      </c>
      <c r="T485">
        <f t="shared" si="38"/>
        <v>7.7440999999999995</v>
      </c>
      <c r="U485" s="33">
        <f t="shared" si="39"/>
        <v>13</v>
      </c>
    </row>
    <row r="486" spans="1:21" x14ac:dyDescent="0.25">
      <c r="A486" s="1" t="s">
        <v>959</v>
      </c>
      <c r="B486" s="28">
        <v>44479</v>
      </c>
      <c r="C486" s="21" t="str">
        <f t="shared" si="36"/>
        <v>2021</v>
      </c>
      <c r="D486" s="19" t="str">
        <f t="shared" si="37"/>
        <v>October</v>
      </c>
      <c r="E486" s="3" t="s">
        <v>960</v>
      </c>
      <c r="F486" s="3" t="str">
        <f>VLOOKUP(E486,Customers!$A$2:$I$1001,2,0)</f>
        <v>Keefer Cake</v>
      </c>
      <c r="G486" s="3" t="str">
        <f>VLOOKUP(E486,Customers!$A$2:$I$1001,3,0)</f>
        <v>kcakedg@huffingtonpost.com</v>
      </c>
      <c r="H486" s="3" t="str">
        <f>VLOOKUP(E486,Customers!$A$2:$I$1001,4,0)</f>
        <v>UNKNOWN</v>
      </c>
      <c r="I486" s="25" t="str">
        <f>VLOOKUP(E486,Customers!$A$2:$I$1001,6,0)</f>
        <v>San Jose</v>
      </c>
      <c r="J486" s="25" t="str">
        <f>VLOOKUP(E486,Customers!$A$2:$I$1001,7,0)</f>
        <v>United States</v>
      </c>
      <c r="K486" s="23" t="str">
        <f>VLOOKUP(E486,Customers!$A$2:$I$1001,9,0)</f>
        <v>No</v>
      </c>
      <c r="L486" s="4" t="s">
        <v>83</v>
      </c>
      <c r="M486" s="4" t="str">
        <f>VLOOKUP(L486,Products!$A$2:$G$49,2,0)</f>
        <v>Liberica</v>
      </c>
      <c r="N486" s="4" t="str">
        <f>VLOOKUP(L486,Products!$A$2:$G$49,3,0)</f>
        <v>Light</v>
      </c>
      <c r="O486" s="25">
        <v>6</v>
      </c>
      <c r="P486" s="5">
        <f>INDEX([1]products!$A$1:$G$49,MATCH([1]orders!$D486,[1]products!$A$1:$A$49,0),MATCH([1]orders!K$1,[1]products!$A$1:$G$1,0))</f>
        <v>0.5</v>
      </c>
      <c r="Q486" s="6">
        <f>INDEX([1]products!$A$1:$G$49,MATCH([1]orders!$D486,[1]products!$A$1:$A$49,0),MATCH([1]orders!L$1,[1]products!$A$1:$G$1,0))</f>
        <v>9.51</v>
      </c>
      <c r="R486" s="6">
        <f t="shared" si="35"/>
        <v>57.06</v>
      </c>
      <c r="S486">
        <f>VLOOKUP(L486,Products!$A$2:$G$49,7,0)</f>
        <v>1.2363</v>
      </c>
      <c r="T486">
        <f t="shared" si="38"/>
        <v>7.4177999999999997</v>
      </c>
      <c r="U486" s="33">
        <f t="shared" si="39"/>
        <v>12.999999999999998</v>
      </c>
    </row>
    <row r="487" spans="1:21" x14ac:dyDescent="0.25">
      <c r="A487" s="1" t="s">
        <v>961</v>
      </c>
      <c r="B487" s="28">
        <v>44413</v>
      </c>
      <c r="C487" s="21" t="str">
        <f t="shared" si="36"/>
        <v>2021</v>
      </c>
      <c r="D487" s="19" t="str">
        <f t="shared" si="37"/>
        <v>August</v>
      </c>
      <c r="E487" s="3" t="s">
        <v>962</v>
      </c>
      <c r="F487" s="3" t="str">
        <f>VLOOKUP(E487,Customers!$A$2:$I$1001,2,0)</f>
        <v>Morna Hansed</v>
      </c>
      <c r="G487" s="3" t="str">
        <f>VLOOKUP(E487,Customers!$A$2:$I$1001,3,0)</f>
        <v>mhanseddh@instagram.com</v>
      </c>
      <c r="H487" s="3" t="str">
        <f>VLOOKUP(E487,Customers!$A$2:$I$1001,4,0)</f>
        <v>+353 (997) 520-7802</v>
      </c>
      <c r="I487" s="25" t="str">
        <f>VLOOKUP(E487,Customers!$A$2:$I$1001,6,0)</f>
        <v>Tr谩 Mh贸r</v>
      </c>
      <c r="J487" s="25" t="str">
        <f>VLOOKUP(E487,Customers!$A$2:$I$1001,7,0)</f>
        <v>Ireland</v>
      </c>
      <c r="K487" s="23" t="str">
        <f>VLOOKUP(E487,Customers!$A$2:$I$1001,9,0)</f>
        <v>Yes</v>
      </c>
      <c r="L487" s="4" t="s">
        <v>182</v>
      </c>
      <c r="M487" s="4" t="str">
        <f>VLOOKUP(L487,Products!$A$2:$G$49,2,0)</f>
        <v>Robusta</v>
      </c>
      <c r="N487" s="4" t="str">
        <f>VLOOKUP(L487,Products!$A$2:$G$49,3,0)</f>
        <v>Light</v>
      </c>
      <c r="O487" s="25">
        <v>6</v>
      </c>
      <c r="P487" s="5">
        <f>INDEX([1]products!$A$1:$G$49,MATCH([1]orders!$D487,[1]products!$A$1:$A$49,0),MATCH([1]orders!K$1,[1]products!$A$1:$G$1,0))</f>
        <v>0.2</v>
      </c>
      <c r="Q487" s="6">
        <f>INDEX([1]products!$A$1:$G$49,MATCH([1]orders!$D487,[1]products!$A$1:$A$49,0),MATCH([1]orders!L$1,[1]products!$A$1:$G$1,0))</f>
        <v>3.5849999999999995</v>
      </c>
      <c r="R487" s="6">
        <f t="shared" si="35"/>
        <v>21.509999999999998</v>
      </c>
      <c r="S487">
        <f>VLOOKUP(L487,Products!$A$2:$G$49,7,0)</f>
        <v>0.21509999999999996</v>
      </c>
      <c r="T487">
        <f t="shared" si="38"/>
        <v>1.2905999999999997</v>
      </c>
      <c r="U487" s="33">
        <f t="shared" si="39"/>
        <v>5.9999999999999991</v>
      </c>
    </row>
    <row r="488" spans="1:21" x14ac:dyDescent="0.25">
      <c r="A488" s="1" t="s">
        <v>963</v>
      </c>
      <c r="B488" s="28">
        <v>44043</v>
      </c>
      <c r="C488" s="21" t="str">
        <f t="shared" si="36"/>
        <v>2020</v>
      </c>
      <c r="D488" s="19" t="str">
        <f t="shared" si="37"/>
        <v>July</v>
      </c>
      <c r="E488" s="3" t="s">
        <v>964</v>
      </c>
      <c r="F488" s="3" t="str">
        <f>VLOOKUP(E488,Customers!$A$2:$I$1001,2,0)</f>
        <v>Franny Kienlein</v>
      </c>
      <c r="G488" s="3" t="str">
        <f>VLOOKUP(E488,Customers!$A$2:$I$1001,3,0)</f>
        <v>fkienleindi@trellian.com</v>
      </c>
      <c r="H488" s="3" t="str">
        <f>VLOOKUP(E488,Customers!$A$2:$I$1001,4,0)</f>
        <v>+353 (972) 241-3434</v>
      </c>
      <c r="I488" s="25" t="str">
        <f>VLOOKUP(E488,Customers!$A$2:$I$1001,6,0)</f>
        <v>Coolock</v>
      </c>
      <c r="J488" s="25" t="str">
        <f>VLOOKUP(E488,Customers!$A$2:$I$1001,7,0)</f>
        <v>Ireland</v>
      </c>
      <c r="K488" s="23" t="str">
        <f>VLOOKUP(E488,Customers!$A$2:$I$1001,9,0)</f>
        <v>Yes</v>
      </c>
      <c r="L488" s="4" t="s">
        <v>78</v>
      </c>
      <c r="M488" s="4" t="str">
        <f>VLOOKUP(L488,Products!$A$2:$G$49,2,0)</f>
        <v>Liberica</v>
      </c>
      <c r="N488" s="4" t="str">
        <f>VLOOKUP(L488,Products!$A$2:$G$49,3,0)</f>
        <v>Medium</v>
      </c>
      <c r="O488" s="25">
        <v>6</v>
      </c>
      <c r="P488" s="5">
        <f>INDEX([1]products!$A$1:$G$49,MATCH([1]orders!$D488,[1]products!$A$1:$A$49,0),MATCH([1]orders!K$1,[1]products!$A$1:$G$1,0))</f>
        <v>0.5</v>
      </c>
      <c r="Q488" s="6">
        <f>INDEX([1]products!$A$1:$G$49,MATCH([1]orders!$D488,[1]products!$A$1:$A$49,0),MATCH([1]orders!L$1,[1]products!$A$1:$G$1,0))</f>
        <v>8.73</v>
      </c>
      <c r="R488" s="6">
        <f t="shared" si="35"/>
        <v>52.38</v>
      </c>
      <c r="S488">
        <f>VLOOKUP(L488,Products!$A$2:$G$49,7,0)</f>
        <v>1.1349</v>
      </c>
      <c r="T488">
        <f t="shared" si="38"/>
        <v>6.8094000000000001</v>
      </c>
      <c r="U488" s="33">
        <f t="shared" si="39"/>
        <v>13</v>
      </c>
    </row>
    <row r="489" spans="1:21" x14ac:dyDescent="0.25">
      <c r="A489" s="1" t="s">
        <v>965</v>
      </c>
      <c r="B489" s="28">
        <v>44093</v>
      </c>
      <c r="C489" s="21" t="str">
        <f t="shared" si="36"/>
        <v>2020</v>
      </c>
      <c r="D489" s="19" t="str">
        <f t="shared" si="37"/>
        <v>September</v>
      </c>
      <c r="E489" s="3" t="s">
        <v>966</v>
      </c>
      <c r="F489" s="3" t="str">
        <f>VLOOKUP(E489,Customers!$A$2:$I$1001,2,0)</f>
        <v>Klarika Egglestone</v>
      </c>
      <c r="G489" s="3" t="str">
        <f>VLOOKUP(E489,Customers!$A$2:$I$1001,3,0)</f>
        <v>kegglestonedj@sphinn.com</v>
      </c>
      <c r="H489" s="3" t="str">
        <f>VLOOKUP(E489,Customers!$A$2:$I$1001,4,0)</f>
        <v>+353 (452) 975-6438</v>
      </c>
      <c r="I489" s="25" t="str">
        <f>VLOOKUP(E489,Customers!$A$2:$I$1001,6,0)</f>
        <v>Coolock</v>
      </c>
      <c r="J489" s="25" t="str">
        <f>VLOOKUP(E489,Customers!$A$2:$I$1001,7,0)</f>
        <v>Ireland</v>
      </c>
      <c r="K489" s="23" t="str">
        <f>VLOOKUP(E489,Customers!$A$2:$I$1001,9,0)</f>
        <v>No</v>
      </c>
      <c r="L489" s="4" t="s">
        <v>245</v>
      </c>
      <c r="M489" s="4" t="str">
        <f>VLOOKUP(L489,Products!$A$2:$G$49,2,0)</f>
        <v>Excelsa</v>
      </c>
      <c r="N489" s="4" t="str">
        <f>VLOOKUP(L489,Products!$A$2:$G$49,3,0)</f>
        <v>Dark</v>
      </c>
      <c r="O489" s="25">
        <v>6</v>
      </c>
      <c r="P489" s="5">
        <f>INDEX([1]products!$A$1:$G$49,MATCH([1]orders!$D489,[1]products!$A$1:$A$49,0),MATCH([1]orders!K$1,[1]products!$A$1:$G$1,0))</f>
        <v>1</v>
      </c>
      <c r="Q489" s="6">
        <f>INDEX([1]products!$A$1:$G$49,MATCH([1]orders!$D489,[1]products!$A$1:$A$49,0),MATCH([1]orders!L$1,[1]products!$A$1:$G$1,0))</f>
        <v>12.15</v>
      </c>
      <c r="R489" s="6">
        <f t="shared" si="35"/>
        <v>72.900000000000006</v>
      </c>
      <c r="S489">
        <f>VLOOKUP(L489,Products!$A$2:$G$49,7,0)</f>
        <v>1.3365</v>
      </c>
      <c r="T489">
        <f t="shared" si="38"/>
        <v>8.0190000000000001</v>
      </c>
      <c r="U489" s="33">
        <f t="shared" si="39"/>
        <v>10.999999999999998</v>
      </c>
    </row>
    <row r="490" spans="1:21" x14ac:dyDescent="0.25">
      <c r="A490" s="1" t="s">
        <v>967</v>
      </c>
      <c r="B490" s="28">
        <v>43954</v>
      </c>
      <c r="C490" s="21" t="str">
        <f t="shared" si="36"/>
        <v>2020</v>
      </c>
      <c r="D490" s="19" t="str">
        <f t="shared" si="37"/>
        <v>May</v>
      </c>
      <c r="E490" s="3" t="s">
        <v>968</v>
      </c>
      <c r="F490" s="3" t="str">
        <f>VLOOKUP(E490,Customers!$A$2:$I$1001,2,0)</f>
        <v>Becky Semkins</v>
      </c>
      <c r="G490" s="3" t="str">
        <f>VLOOKUP(E490,Customers!$A$2:$I$1001,3,0)</f>
        <v>bsemkinsdk@unc.edu</v>
      </c>
      <c r="H490" s="3" t="str">
        <f>VLOOKUP(E490,Customers!$A$2:$I$1001,4,0)</f>
        <v>+353 (209) 764-2690</v>
      </c>
      <c r="I490" s="25" t="str">
        <f>VLOOKUP(E490,Customers!$A$2:$I$1001,6,0)</f>
        <v>Kinnegad</v>
      </c>
      <c r="J490" s="25" t="str">
        <f>VLOOKUP(E490,Customers!$A$2:$I$1001,7,0)</f>
        <v>Ireland</v>
      </c>
      <c r="K490" s="23" t="str">
        <f>VLOOKUP(E490,Customers!$A$2:$I$1001,9,0)</f>
        <v>Yes</v>
      </c>
      <c r="L490" s="4" t="s">
        <v>162</v>
      </c>
      <c r="M490" s="4" t="str">
        <f>VLOOKUP(L490,Products!$A$2:$G$49,2,0)</f>
        <v>Robusta</v>
      </c>
      <c r="N490" s="4" t="str">
        <f>VLOOKUP(L490,Products!$A$2:$G$49,3,0)</f>
        <v>Medium</v>
      </c>
      <c r="O490" s="25">
        <v>5</v>
      </c>
      <c r="P490" s="5">
        <f>INDEX([1]products!$A$1:$G$49,MATCH([1]orders!$D490,[1]products!$A$1:$A$49,0),MATCH([1]orders!K$1,[1]products!$A$1:$G$1,0))</f>
        <v>0.2</v>
      </c>
      <c r="Q490" s="6">
        <f>INDEX([1]products!$A$1:$G$49,MATCH([1]orders!$D490,[1]products!$A$1:$A$49,0),MATCH([1]orders!L$1,[1]products!$A$1:$G$1,0))</f>
        <v>2.9849999999999999</v>
      </c>
      <c r="R490" s="6">
        <f t="shared" si="35"/>
        <v>14.924999999999999</v>
      </c>
      <c r="S490">
        <f>VLOOKUP(L490,Products!$A$2:$G$49,7,0)</f>
        <v>0.17909999999999998</v>
      </c>
      <c r="T490">
        <f t="shared" si="38"/>
        <v>0.89549999999999996</v>
      </c>
      <c r="U490" s="33">
        <f t="shared" si="39"/>
        <v>6.0000000000000009</v>
      </c>
    </row>
    <row r="491" spans="1:21" x14ac:dyDescent="0.25">
      <c r="A491" s="1" t="s">
        <v>969</v>
      </c>
      <c r="B491" s="28">
        <v>43654</v>
      </c>
      <c r="C491" s="21" t="str">
        <f t="shared" si="36"/>
        <v>2019</v>
      </c>
      <c r="D491" s="19" t="str">
        <f t="shared" si="37"/>
        <v>July</v>
      </c>
      <c r="E491" s="3" t="s">
        <v>970</v>
      </c>
      <c r="F491" s="3" t="str">
        <f>VLOOKUP(E491,Customers!$A$2:$I$1001,2,0)</f>
        <v>Sean Lorenzetti</v>
      </c>
      <c r="G491" s="3" t="str">
        <f>VLOOKUP(E491,Customers!$A$2:$I$1001,3,0)</f>
        <v>slorenzettidl@is.gd</v>
      </c>
      <c r="H491" s="3" t="str">
        <f>VLOOKUP(E491,Customers!$A$2:$I$1001,4,0)</f>
        <v>+1 (915) 581-0694</v>
      </c>
      <c r="I491" s="25" t="str">
        <f>VLOOKUP(E491,Customers!$A$2:$I$1001,6,0)</f>
        <v>El Paso</v>
      </c>
      <c r="J491" s="25" t="str">
        <f>VLOOKUP(E491,Customers!$A$2:$I$1001,7,0)</f>
        <v>United States</v>
      </c>
      <c r="K491" s="23" t="str">
        <f>VLOOKUP(E491,Customers!$A$2:$I$1001,9,0)</f>
        <v>No</v>
      </c>
      <c r="L491" s="4" t="s">
        <v>132</v>
      </c>
      <c r="M491" s="4" t="str">
        <f>VLOOKUP(L491,Products!$A$2:$G$49,2,0)</f>
        <v>Liberica</v>
      </c>
      <c r="N491" s="4" t="str">
        <f>VLOOKUP(L491,Products!$A$2:$G$49,3,0)</f>
        <v>Light</v>
      </c>
      <c r="O491" s="25">
        <v>6</v>
      </c>
      <c r="P491" s="5">
        <f>INDEX([1]products!$A$1:$G$49,MATCH([1]orders!$D491,[1]products!$A$1:$A$49,0),MATCH([1]orders!K$1,[1]products!$A$1:$G$1,0))</f>
        <v>1</v>
      </c>
      <c r="Q491" s="6">
        <f>INDEX([1]products!$A$1:$G$49,MATCH([1]orders!$D491,[1]products!$A$1:$A$49,0),MATCH([1]orders!L$1,[1]products!$A$1:$G$1,0))</f>
        <v>15.85</v>
      </c>
      <c r="R491" s="6">
        <f t="shared" si="35"/>
        <v>95.1</v>
      </c>
      <c r="S491">
        <f>VLOOKUP(L491,Products!$A$2:$G$49,7,0)</f>
        <v>2.0605000000000002</v>
      </c>
      <c r="T491">
        <f t="shared" si="38"/>
        <v>12.363000000000001</v>
      </c>
      <c r="U491" s="33">
        <f t="shared" si="39"/>
        <v>13.000000000000004</v>
      </c>
    </row>
    <row r="492" spans="1:21" x14ac:dyDescent="0.25">
      <c r="A492" s="1" t="s">
        <v>971</v>
      </c>
      <c r="B492" s="28">
        <v>43764</v>
      </c>
      <c r="C492" s="21" t="str">
        <f t="shared" si="36"/>
        <v>2019</v>
      </c>
      <c r="D492" s="19" t="str">
        <f t="shared" si="37"/>
        <v>October</v>
      </c>
      <c r="E492" s="3" t="s">
        <v>972</v>
      </c>
      <c r="F492" s="3" t="str">
        <f>VLOOKUP(E492,Customers!$A$2:$I$1001,2,0)</f>
        <v>Bob Giannazzi</v>
      </c>
      <c r="G492" s="3" t="str">
        <f>VLOOKUP(E492,Customers!$A$2:$I$1001,3,0)</f>
        <v>bgiannazzidm@apple.com</v>
      </c>
      <c r="H492" s="3" t="str">
        <f>VLOOKUP(E492,Customers!$A$2:$I$1001,4,0)</f>
        <v>+1 (754) 827-8970</v>
      </c>
      <c r="I492" s="25" t="str">
        <f>VLOOKUP(E492,Customers!$A$2:$I$1001,6,0)</f>
        <v>Fort Lauderdale</v>
      </c>
      <c r="J492" s="25" t="str">
        <f>VLOOKUP(E492,Customers!$A$2:$I$1001,7,0)</f>
        <v>United States</v>
      </c>
      <c r="K492" s="23" t="str">
        <f>VLOOKUP(E492,Customers!$A$2:$I$1001,9,0)</f>
        <v>No</v>
      </c>
      <c r="L492" s="4" t="s">
        <v>123</v>
      </c>
      <c r="M492" s="4" t="str">
        <f>VLOOKUP(L492,Products!$A$2:$G$49,2,0)</f>
        <v>Liberica</v>
      </c>
      <c r="N492" s="4" t="str">
        <f>VLOOKUP(L492,Products!$A$2:$G$49,3,0)</f>
        <v>Dark</v>
      </c>
      <c r="O492" s="25">
        <v>2</v>
      </c>
      <c r="P492" s="5">
        <f>INDEX([1]products!$A$1:$G$49,MATCH([1]orders!$D492,[1]products!$A$1:$A$49,0),MATCH([1]orders!K$1,[1]products!$A$1:$G$1,0))</f>
        <v>0.5</v>
      </c>
      <c r="Q492" s="6">
        <f>INDEX([1]products!$A$1:$G$49,MATCH([1]orders!$D492,[1]products!$A$1:$A$49,0),MATCH([1]orders!L$1,[1]products!$A$1:$G$1,0))</f>
        <v>7.77</v>
      </c>
      <c r="R492" s="6">
        <f t="shared" si="35"/>
        <v>15.54</v>
      </c>
      <c r="S492">
        <f>VLOOKUP(L492,Products!$A$2:$G$49,7,0)</f>
        <v>1.0101</v>
      </c>
      <c r="T492">
        <f t="shared" si="38"/>
        <v>2.0202</v>
      </c>
      <c r="U492" s="33">
        <f t="shared" si="39"/>
        <v>13</v>
      </c>
    </row>
    <row r="493" spans="1:21" x14ac:dyDescent="0.25">
      <c r="A493" s="1" t="s">
        <v>973</v>
      </c>
      <c r="B493" s="28">
        <v>44101</v>
      </c>
      <c r="C493" s="21" t="str">
        <f t="shared" si="36"/>
        <v>2020</v>
      </c>
      <c r="D493" s="19" t="str">
        <f t="shared" si="37"/>
        <v>September</v>
      </c>
      <c r="E493" s="3" t="s">
        <v>974</v>
      </c>
      <c r="F493" s="3" t="str">
        <f>VLOOKUP(E493,Customers!$A$2:$I$1001,2,0)</f>
        <v>Kendra Backshell</v>
      </c>
      <c r="G493" s="3" t="str">
        <f>VLOOKUP(E493,Customers!$A$2:$I$1001,3,0)</f>
        <v>UNKNOWN</v>
      </c>
      <c r="H493" s="3" t="str">
        <f>VLOOKUP(E493,Customers!$A$2:$I$1001,4,0)</f>
        <v>+1 (317) 595-9406</v>
      </c>
      <c r="I493" s="25" t="str">
        <f>VLOOKUP(E493,Customers!$A$2:$I$1001,6,0)</f>
        <v>Indianapolis</v>
      </c>
      <c r="J493" s="25" t="str">
        <f>VLOOKUP(E493,Customers!$A$2:$I$1001,7,0)</f>
        <v>United States</v>
      </c>
      <c r="K493" s="23" t="str">
        <f>VLOOKUP(E493,Customers!$A$2:$I$1001,9,0)</f>
        <v>No</v>
      </c>
      <c r="L493" s="4" t="s">
        <v>38</v>
      </c>
      <c r="M493" s="4" t="str">
        <f>VLOOKUP(L493,Products!$A$2:$G$49,2,0)</f>
        <v>Liberica</v>
      </c>
      <c r="N493" s="4" t="str">
        <f>VLOOKUP(L493,Products!$A$2:$G$49,3,0)</f>
        <v>Dark</v>
      </c>
      <c r="O493" s="25">
        <v>6</v>
      </c>
      <c r="P493" s="5">
        <f>INDEX([1]products!$A$1:$G$49,MATCH([1]orders!$D493,[1]products!$A$1:$A$49,0),MATCH([1]orders!K$1,[1]products!$A$1:$G$1,0))</f>
        <v>0.2</v>
      </c>
      <c r="Q493" s="6">
        <f>INDEX([1]products!$A$1:$G$49,MATCH([1]orders!$D493,[1]products!$A$1:$A$49,0),MATCH([1]orders!L$1,[1]products!$A$1:$G$1,0))</f>
        <v>3.8849999999999998</v>
      </c>
      <c r="R493" s="6">
        <f t="shared" si="35"/>
        <v>23.31</v>
      </c>
      <c r="S493">
        <f>VLOOKUP(L493,Products!$A$2:$G$49,7,0)</f>
        <v>0.50505</v>
      </c>
      <c r="T493">
        <f t="shared" si="38"/>
        <v>3.0303</v>
      </c>
      <c r="U493" s="33">
        <f t="shared" si="39"/>
        <v>13</v>
      </c>
    </row>
    <row r="494" spans="1:21" x14ac:dyDescent="0.25">
      <c r="A494" s="1" t="s">
        <v>975</v>
      </c>
      <c r="B494" s="28">
        <v>44620</v>
      </c>
      <c r="C494" s="21" t="str">
        <f t="shared" si="36"/>
        <v>2022</v>
      </c>
      <c r="D494" s="19" t="str">
        <f t="shared" si="37"/>
        <v>February</v>
      </c>
      <c r="E494" s="3" t="s">
        <v>976</v>
      </c>
      <c r="F494" s="3" t="str">
        <f>VLOOKUP(E494,Customers!$A$2:$I$1001,2,0)</f>
        <v>Uriah Lethbrig</v>
      </c>
      <c r="G494" s="3" t="str">
        <f>VLOOKUP(E494,Customers!$A$2:$I$1001,3,0)</f>
        <v>ulethbrigdo@hc360.com</v>
      </c>
      <c r="H494" s="3" t="str">
        <f>VLOOKUP(E494,Customers!$A$2:$I$1001,4,0)</f>
        <v>+1 (414) 580-9714</v>
      </c>
      <c r="I494" s="25" t="str">
        <f>VLOOKUP(E494,Customers!$A$2:$I$1001,6,0)</f>
        <v>Milwaukee</v>
      </c>
      <c r="J494" s="25" t="str">
        <f>VLOOKUP(E494,Customers!$A$2:$I$1001,7,0)</f>
        <v>United States</v>
      </c>
      <c r="K494" s="23" t="str">
        <f>VLOOKUP(E494,Customers!$A$2:$I$1001,9,0)</f>
        <v>Yes</v>
      </c>
      <c r="L494" s="4" t="s">
        <v>64</v>
      </c>
      <c r="M494" s="4" t="str">
        <f>VLOOKUP(L494,Products!$A$2:$G$49,2,0)</f>
        <v>Excelsa</v>
      </c>
      <c r="N494" s="4" t="str">
        <f>VLOOKUP(L494,Products!$A$2:$G$49,3,0)</f>
        <v>Medium</v>
      </c>
      <c r="O494" s="25">
        <v>1</v>
      </c>
      <c r="P494" s="5">
        <f>INDEX([1]products!$A$1:$G$49,MATCH([1]orders!$D494,[1]products!$A$1:$A$49,0),MATCH([1]orders!K$1,[1]products!$A$1:$G$1,0))</f>
        <v>0.2</v>
      </c>
      <c r="Q494" s="6">
        <f>INDEX([1]products!$A$1:$G$49,MATCH([1]orders!$D494,[1]products!$A$1:$A$49,0),MATCH([1]orders!L$1,[1]products!$A$1:$G$1,0))</f>
        <v>4.125</v>
      </c>
      <c r="R494" s="6">
        <f t="shared" si="35"/>
        <v>4.125</v>
      </c>
      <c r="S494">
        <f>VLOOKUP(L494,Products!$A$2:$G$49,7,0)</f>
        <v>0.45374999999999999</v>
      </c>
      <c r="T494">
        <f t="shared" si="38"/>
        <v>0.45374999999999999</v>
      </c>
      <c r="U494" s="33">
        <f t="shared" si="39"/>
        <v>11</v>
      </c>
    </row>
    <row r="495" spans="1:21" x14ac:dyDescent="0.25">
      <c r="A495" s="1" t="s">
        <v>977</v>
      </c>
      <c r="B495" s="28">
        <v>44090</v>
      </c>
      <c r="C495" s="21" t="str">
        <f t="shared" si="36"/>
        <v>2020</v>
      </c>
      <c r="D495" s="19" t="str">
        <f t="shared" si="37"/>
        <v>September</v>
      </c>
      <c r="E495" s="3" t="s">
        <v>978</v>
      </c>
      <c r="F495" s="3" t="str">
        <f>VLOOKUP(E495,Customers!$A$2:$I$1001,2,0)</f>
        <v>Sky Farnish</v>
      </c>
      <c r="G495" s="3" t="str">
        <f>VLOOKUP(E495,Customers!$A$2:$I$1001,3,0)</f>
        <v>sfarnishdp@dmoz.org</v>
      </c>
      <c r="H495" s="3" t="str">
        <f>VLOOKUP(E495,Customers!$A$2:$I$1001,4,0)</f>
        <v>+44 (847) 377-8172</v>
      </c>
      <c r="I495" s="25" t="str">
        <f>VLOOKUP(E495,Customers!$A$2:$I$1001,6,0)</f>
        <v>Eaton</v>
      </c>
      <c r="J495" s="25" t="str">
        <f>VLOOKUP(E495,Customers!$A$2:$I$1001,7,0)</f>
        <v>United Kingdom</v>
      </c>
      <c r="K495" s="23" t="str">
        <f>VLOOKUP(E495,Customers!$A$2:$I$1001,9,0)</f>
        <v>No</v>
      </c>
      <c r="L495" s="4" t="s">
        <v>22</v>
      </c>
      <c r="M495" s="4" t="str">
        <f>VLOOKUP(L495,Products!$A$2:$G$49,2,0)</f>
        <v>Robusta</v>
      </c>
      <c r="N495" s="4" t="str">
        <f>VLOOKUP(L495,Products!$A$2:$G$49,3,0)</f>
        <v>Medium</v>
      </c>
      <c r="O495" s="25">
        <v>6</v>
      </c>
      <c r="P495" s="5">
        <f>INDEX([1]products!$A$1:$G$49,MATCH([1]orders!$D495,[1]products!$A$1:$A$49,0),MATCH([1]orders!K$1,[1]products!$A$1:$G$1,0))</f>
        <v>0.5</v>
      </c>
      <c r="Q495" s="6">
        <f>INDEX([1]products!$A$1:$G$49,MATCH([1]orders!$D495,[1]products!$A$1:$A$49,0),MATCH([1]orders!L$1,[1]products!$A$1:$G$1,0))</f>
        <v>5.97</v>
      </c>
      <c r="R495" s="6">
        <f t="shared" si="35"/>
        <v>35.82</v>
      </c>
      <c r="S495">
        <f>VLOOKUP(L495,Products!$A$2:$G$49,7,0)</f>
        <v>0.35819999999999996</v>
      </c>
      <c r="T495">
        <f t="shared" si="38"/>
        <v>2.1491999999999996</v>
      </c>
      <c r="U495" s="33">
        <f t="shared" si="39"/>
        <v>5.9999999999999982</v>
      </c>
    </row>
    <row r="496" spans="1:21" x14ac:dyDescent="0.25">
      <c r="A496" s="1" t="s">
        <v>979</v>
      </c>
      <c r="B496" s="28">
        <v>44132</v>
      </c>
      <c r="C496" s="21" t="str">
        <f t="shared" si="36"/>
        <v>2020</v>
      </c>
      <c r="D496" s="19" t="str">
        <f t="shared" si="37"/>
        <v>October</v>
      </c>
      <c r="E496" s="3" t="s">
        <v>980</v>
      </c>
      <c r="F496" s="3" t="str">
        <f>VLOOKUP(E496,Customers!$A$2:$I$1001,2,0)</f>
        <v>Felicia Jecock</v>
      </c>
      <c r="G496" s="3" t="str">
        <f>VLOOKUP(E496,Customers!$A$2:$I$1001,3,0)</f>
        <v>fjecockdq@unicef.org</v>
      </c>
      <c r="H496" s="3" t="str">
        <f>VLOOKUP(E496,Customers!$A$2:$I$1001,4,0)</f>
        <v>+1 (225) 116-2959</v>
      </c>
      <c r="I496" s="25" t="str">
        <f>VLOOKUP(E496,Customers!$A$2:$I$1001,6,0)</f>
        <v>Baton Rouge</v>
      </c>
      <c r="J496" s="25" t="str">
        <f>VLOOKUP(E496,Customers!$A$2:$I$1001,7,0)</f>
        <v>United States</v>
      </c>
      <c r="K496" s="23" t="str">
        <f>VLOOKUP(E496,Customers!$A$2:$I$1001,9,0)</f>
        <v>No</v>
      </c>
      <c r="L496" s="4" t="s">
        <v>132</v>
      </c>
      <c r="M496" s="4" t="str">
        <f>VLOOKUP(L496,Products!$A$2:$G$49,2,0)</f>
        <v>Liberica</v>
      </c>
      <c r="N496" s="4" t="str">
        <f>VLOOKUP(L496,Products!$A$2:$G$49,3,0)</f>
        <v>Light</v>
      </c>
      <c r="O496" s="25">
        <v>2</v>
      </c>
      <c r="P496" s="5">
        <f>INDEX([1]products!$A$1:$G$49,MATCH([1]orders!$D496,[1]products!$A$1:$A$49,0),MATCH([1]orders!K$1,[1]products!$A$1:$G$1,0))</f>
        <v>1</v>
      </c>
      <c r="Q496" s="6">
        <f>INDEX([1]products!$A$1:$G$49,MATCH([1]orders!$D496,[1]products!$A$1:$A$49,0),MATCH([1]orders!L$1,[1]products!$A$1:$G$1,0))</f>
        <v>15.85</v>
      </c>
      <c r="R496" s="6">
        <f t="shared" si="35"/>
        <v>31.7</v>
      </c>
      <c r="S496">
        <f>VLOOKUP(L496,Products!$A$2:$G$49,7,0)</f>
        <v>2.0605000000000002</v>
      </c>
      <c r="T496">
        <f t="shared" si="38"/>
        <v>4.1210000000000004</v>
      </c>
      <c r="U496" s="33">
        <f t="shared" si="39"/>
        <v>13</v>
      </c>
    </row>
    <row r="497" spans="1:21" x14ac:dyDescent="0.25">
      <c r="A497" s="1" t="s">
        <v>981</v>
      </c>
      <c r="B497" s="28">
        <v>43710</v>
      </c>
      <c r="C497" s="21" t="str">
        <f t="shared" si="36"/>
        <v>2019</v>
      </c>
      <c r="D497" s="19" t="str">
        <f t="shared" si="37"/>
        <v>September</v>
      </c>
      <c r="E497" s="3" t="s">
        <v>982</v>
      </c>
      <c r="F497" s="3" t="str">
        <f>VLOOKUP(E497,Customers!$A$2:$I$1001,2,0)</f>
        <v>Currey MacAllister</v>
      </c>
      <c r="G497" s="3" t="str">
        <f>VLOOKUP(E497,Customers!$A$2:$I$1001,3,0)</f>
        <v>UNKNOWN</v>
      </c>
      <c r="H497" s="3" t="str">
        <f>VLOOKUP(E497,Customers!$A$2:$I$1001,4,0)</f>
        <v>+1 (203) 490-3839</v>
      </c>
      <c r="I497" s="25" t="str">
        <f>VLOOKUP(E497,Customers!$A$2:$I$1001,6,0)</f>
        <v>Danbury</v>
      </c>
      <c r="J497" s="25" t="str">
        <f>VLOOKUP(E497,Customers!$A$2:$I$1001,7,0)</f>
        <v>United States</v>
      </c>
      <c r="K497" s="23" t="str">
        <f>VLOOKUP(E497,Customers!$A$2:$I$1001,9,0)</f>
        <v>Yes</v>
      </c>
      <c r="L497" s="4" t="s">
        <v>132</v>
      </c>
      <c r="M497" s="4" t="str">
        <f>VLOOKUP(L497,Products!$A$2:$G$49,2,0)</f>
        <v>Liberica</v>
      </c>
      <c r="N497" s="4" t="str">
        <f>VLOOKUP(L497,Products!$A$2:$G$49,3,0)</f>
        <v>Light</v>
      </c>
      <c r="O497" s="25">
        <v>5</v>
      </c>
      <c r="P497" s="5">
        <f>INDEX([1]products!$A$1:$G$49,MATCH([1]orders!$D497,[1]products!$A$1:$A$49,0),MATCH([1]orders!K$1,[1]products!$A$1:$G$1,0))</f>
        <v>1</v>
      </c>
      <c r="Q497" s="6">
        <f>INDEX([1]products!$A$1:$G$49,MATCH([1]orders!$D497,[1]products!$A$1:$A$49,0),MATCH([1]orders!L$1,[1]products!$A$1:$G$1,0))</f>
        <v>15.85</v>
      </c>
      <c r="R497" s="6">
        <f t="shared" si="35"/>
        <v>79.25</v>
      </c>
      <c r="S497">
        <f>VLOOKUP(L497,Products!$A$2:$G$49,7,0)</f>
        <v>2.0605000000000002</v>
      </c>
      <c r="T497">
        <f t="shared" si="38"/>
        <v>10.302500000000002</v>
      </c>
      <c r="U497" s="33">
        <f t="shared" si="39"/>
        <v>13.000000000000004</v>
      </c>
    </row>
    <row r="498" spans="1:21" x14ac:dyDescent="0.25">
      <c r="A498" s="1" t="s">
        <v>983</v>
      </c>
      <c r="B498" s="28">
        <v>44438</v>
      </c>
      <c r="C498" s="21" t="str">
        <f t="shared" si="36"/>
        <v>2021</v>
      </c>
      <c r="D498" s="19" t="str">
        <f t="shared" si="37"/>
        <v>August</v>
      </c>
      <c r="E498" s="3" t="s">
        <v>984</v>
      </c>
      <c r="F498" s="3" t="str">
        <f>VLOOKUP(E498,Customers!$A$2:$I$1001,2,0)</f>
        <v>Hamlen Pallister</v>
      </c>
      <c r="G498" s="3" t="str">
        <f>VLOOKUP(E498,Customers!$A$2:$I$1001,3,0)</f>
        <v>hpallisterds@ning.com</v>
      </c>
      <c r="H498" s="3" t="str">
        <f>VLOOKUP(E498,Customers!$A$2:$I$1001,4,0)</f>
        <v>+1 (850) 517-1353</v>
      </c>
      <c r="I498" s="25" t="str">
        <f>VLOOKUP(E498,Customers!$A$2:$I$1001,6,0)</f>
        <v>Pensacola</v>
      </c>
      <c r="J498" s="25" t="str">
        <f>VLOOKUP(E498,Customers!$A$2:$I$1001,7,0)</f>
        <v>United States</v>
      </c>
      <c r="K498" s="23" t="str">
        <f>VLOOKUP(E498,Customers!$A$2:$I$1001,9,0)</f>
        <v>No</v>
      </c>
      <c r="L498" s="4" t="s">
        <v>51</v>
      </c>
      <c r="M498" s="4" t="str">
        <f>VLOOKUP(L498,Products!$A$2:$G$49,2,0)</f>
        <v>Excelsa</v>
      </c>
      <c r="N498" s="4" t="str">
        <f>VLOOKUP(L498,Products!$A$2:$G$49,3,0)</f>
        <v>Dark</v>
      </c>
      <c r="O498" s="25">
        <v>3</v>
      </c>
      <c r="P498" s="5">
        <f>INDEX([1]products!$A$1:$G$49,MATCH([1]orders!$D498,[1]products!$A$1:$A$49,0),MATCH([1]orders!K$1,[1]products!$A$1:$G$1,0))</f>
        <v>0.2</v>
      </c>
      <c r="Q498" s="6">
        <f>INDEX([1]products!$A$1:$G$49,MATCH([1]orders!$D498,[1]products!$A$1:$A$49,0),MATCH([1]orders!L$1,[1]products!$A$1:$G$1,0))</f>
        <v>3.645</v>
      </c>
      <c r="R498" s="6">
        <f t="shared" si="35"/>
        <v>10.935</v>
      </c>
      <c r="S498">
        <f>VLOOKUP(L498,Products!$A$2:$G$49,7,0)</f>
        <v>0.40095000000000003</v>
      </c>
      <c r="T498">
        <f t="shared" si="38"/>
        <v>1.2028500000000002</v>
      </c>
      <c r="U498" s="33">
        <f t="shared" si="39"/>
        <v>11.000000000000002</v>
      </c>
    </row>
    <row r="499" spans="1:21" x14ac:dyDescent="0.25">
      <c r="A499" s="1" t="s">
        <v>985</v>
      </c>
      <c r="B499" s="28">
        <v>44351</v>
      </c>
      <c r="C499" s="21" t="str">
        <f t="shared" si="36"/>
        <v>2021</v>
      </c>
      <c r="D499" s="19" t="str">
        <f t="shared" si="37"/>
        <v>June</v>
      </c>
      <c r="E499" s="3" t="s">
        <v>986</v>
      </c>
      <c r="F499" s="3" t="str">
        <f>VLOOKUP(E499,Customers!$A$2:$I$1001,2,0)</f>
        <v>Chantal Mersh</v>
      </c>
      <c r="G499" s="3" t="str">
        <f>VLOOKUP(E499,Customers!$A$2:$I$1001,3,0)</f>
        <v>cmershdt@drupal.org</v>
      </c>
      <c r="H499" s="3" t="str">
        <f>VLOOKUP(E499,Customers!$A$2:$I$1001,4,0)</f>
        <v>+353 (343) 889-4565</v>
      </c>
      <c r="I499" s="25" t="str">
        <f>VLOOKUP(E499,Customers!$A$2:$I$1001,6,0)</f>
        <v>Milltown</v>
      </c>
      <c r="J499" s="25" t="str">
        <f>VLOOKUP(E499,Customers!$A$2:$I$1001,7,0)</f>
        <v>Ireland</v>
      </c>
      <c r="K499" s="23" t="str">
        <f>VLOOKUP(E499,Customers!$A$2:$I$1001,9,0)</f>
        <v>No</v>
      </c>
      <c r="L499" s="4" t="s">
        <v>27</v>
      </c>
      <c r="M499" s="4" t="str">
        <f>VLOOKUP(L499,Products!$A$2:$G$49,2,0)</f>
        <v>Arabica</v>
      </c>
      <c r="N499" s="4" t="str">
        <f>VLOOKUP(L499,Products!$A$2:$G$49,3,0)</f>
        <v>Dark</v>
      </c>
      <c r="O499" s="25">
        <v>4</v>
      </c>
      <c r="P499" s="5">
        <f>INDEX([1]products!$A$1:$G$49,MATCH([1]orders!$D499,[1]products!$A$1:$A$49,0),MATCH([1]orders!K$1,[1]products!$A$1:$G$1,0))</f>
        <v>1</v>
      </c>
      <c r="Q499" s="6">
        <f>INDEX([1]products!$A$1:$G$49,MATCH([1]orders!$D499,[1]products!$A$1:$A$49,0),MATCH([1]orders!L$1,[1]products!$A$1:$G$1,0))</f>
        <v>9.9499999999999993</v>
      </c>
      <c r="R499" s="6">
        <f t="shared" si="35"/>
        <v>39.799999999999997</v>
      </c>
      <c r="S499">
        <f>VLOOKUP(L499,Products!$A$2:$G$49,7,0)</f>
        <v>0.89549999999999985</v>
      </c>
      <c r="T499">
        <f t="shared" si="38"/>
        <v>3.5819999999999994</v>
      </c>
      <c r="U499" s="33">
        <f t="shared" si="39"/>
        <v>9</v>
      </c>
    </row>
    <row r="500" spans="1:21" x14ac:dyDescent="0.25">
      <c r="A500" s="1" t="s">
        <v>987</v>
      </c>
      <c r="B500" s="28">
        <v>44159</v>
      </c>
      <c r="C500" s="21" t="str">
        <f t="shared" si="36"/>
        <v>2020</v>
      </c>
      <c r="D500" s="19" t="str">
        <f t="shared" si="37"/>
        <v>November</v>
      </c>
      <c r="E500" s="3" t="s">
        <v>988</v>
      </c>
      <c r="F500" s="3" t="str">
        <f>VLOOKUP(E500,Customers!$A$2:$I$1001,2,0)</f>
        <v>Marja Urion</v>
      </c>
      <c r="G500" s="3" t="str">
        <f>VLOOKUP(E500,Customers!$A$2:$I$1001,3,0)</f>
        <v>murione5@alexa.com</v>
      </c>
      <c r="H500" s="3" t="str">
        <f>VLOOKUP(E500,Customers!$A$2:$I$1001,4,0)</f>
        <v>+353 (715) 989-0283</v>
      </c>
      <c r="I500" s="25" t="str">
        <f>VLOOKUP(E500,Customers!$A$2:$I$1001,6,0)</f>
        <v>Virginia</v>
      </c>
      <c r="J500" s="25" t="str">
        <f>VLOOKUP(E500,Customers!$A$2:$I$1001,7,0)</f>
        <v>Ireland</v>
      </c>
      <c r="K500" s="23" t="str">
        <f>VLOOKUP(E500,Customers!$A$2:$I$1001,9,0)</f>
        <v>Yes</v>
      </c>
      <c r="L500" s="4" t="s">
        <v>2</v>
      </c>
      <c r="M500" s="4" t="str">
        <f>VLOOKUP(L500,Products!$A$2:$G$49,2,0)</f>
        <v>Robusta</v>
      </c>
      <c r="N500" s="4" t="str">
        <f>VLOOKUP(L500,Products!$A$2:$G$49,3,0)</f>
        <v>Medium</v>
      </c>
      <c r="O500" s="25">
        <v>5</v>
      </c>
      <c r="P500" s="5">
        <f>INDEX([1]products!$A$1:$G$49,MATCH([1]orders!$D500,[1]products!$A$1:$A$49,0),MATCH([1]orders!K$1,[1]products!$A$1:$G$1,0))</f>
        <v>1</v>
      </c>
      <c r="Q500" s="6">
        <f>INDEX([1]products!$A$1:$G$49,MATCH([1]orders!$D500,[1]products!$A$1:$A$49,0),MATCH([1]orders!L$1,[1]products!$A$1:$G$1,0))</f>
        <v>9.9499999999999993</v>
      </c>
      <c r="R500" s="6">
        <f t="shared" si="35"/>
        <v>49.75</v>
      </c>
      <c r="S500">
        <f>VLOOKUP(L500,Products!$A$2:$G$49,7,0)</f>
        <v>0.59699999999999998</v>
      </c>
      <c r="T500">
        <f t="shared" si="38"/>
        <v>2.9849999999999999</v>
      </c>
      <c r="U500" s="33">
        <f t="shared" si="39"/>
        <v>6</v>
      </c>
    </row>
    <row r="501" spans="1:21" x14ac:dyDescent="0.25">
      <c r="A501" s="1" t="s">
        <v>989</v>
      </c>
      <c r="B501" s="28">
        <v>44003</v>
      </c>
      <c r="C501" s="21" t="str">
        <f t="shared" si="36"/>
        <v>2020</v>
      </c>
      <c r="D501" s="19" t="str">
        <f t="shared" si="37"/>
        <v>June</v>
      </c>
      <c r="E501" s="3" t="s">
        <v>990</v>
      </c>
      <c r="F501" s="3" t="str">
        <f>VLOOKUP(E501,Customers!$A$2:$I$1001,2,0)</f>
        <v>Malynda Purbrick</v>
      </c>
      <c r="G501" s="3" t="str">
        <f>VLOOKUP(E501,Customers!$A$2:$I$1001,3,0)</f>
        <v>UNKNOWN</v>
      </c>
      <c r="H501" s="3" t="str">
        <f>VLOOKUP(E501,Customers!$A$2:$I$1001,4,0)</f>
        <v>+353 (160) 183-4278</v>
      </c>
      <c r="I501" s="25" t="str">
        <f>VLOOKUP(E501,Customers!$A$2:$I$1001,6,0)</f>
        <v>Balally</v>
      </c>
      <c r="J501" s="25" t="str">
        <f>VLOOKUP(E501,Customers!$A$2:$I$1001,7,0)</f>
        <v>Ireland</v>
      </c>
      <c r="K501" s="23" t="str">
        <f>VLOOKUP(E501,Customers!$A$2:$I$1001,9,0)</f>
        <v>Yes</v>
      </c>
      <c r="L501" s="4" t="s">
        <v>101</v>
      </c>
      <c r="M501" s="4" t="str">
        <f>VLOOKUP(L501,Products!$A$2:$G$49,2,0)</f>
        <v>Robusta</v>
      </c>
      <c r="N501" s="4" t="str">
        <f>VLOOKUP(L501,Products!$A$2:$G$49,3,0)</f>
        <v>Dark</v>
      </c>
      <c r="O501" s="25">
        <v>3</v>
      </c>
      <c r="P501" s="5">
        <f>INDEX([1]products!$A$1:$G$49,MATCH([1]orders!$D501,[1]products!$A$1:$A$49,0),MATCH([1]orders!K$1,[1]products!$A$1:$G$1,0))</f>
        <v>0.2</v>
      </c>
      <c r="Q501" s="6">
        <f>INDEX([1]products!$A$1:$G$49,MATCH([1]orders!$D501,[1]products!$A$1:$A$49,0),MATCH([1]orders!L$1,[1]products!$A$1:$G$1,0))</f>
        <v>2.6849999999999996</v>
      </c>
      <c r="R501" s="6">
        <f t="shared" si="35"/>
        <v>8.0549999999999997</v>
      </c>
      <c r="S501">
        <f>VLOOKUP(L501,Products!$A$2:$G$49,7,0)</f>
        <v>0.16109999999999997</v>
      </c>
      <c r="T501">
        <f t="shared" si="38"/>
        <v>0.4832999999999999</v>
      </c>
      <c r="U501" s="33">
        <f t="shared" si="39"/>
        <v>5.9999999999999991</v>
      </c>
    </row>
    <row r="502" spans="1:21" x14ac:dyDescent="0.25">
      <c r="A502" s="1" t="s">
        <v>991</v>
      </c>
      <c r="B502" s="28">
        <v>44025</v>
      </c>
      <c r="C502" s="21" t="str">
        <f t="shared" si="36"/>
        <v>2020</v>
      </c>
      <c r="D502" s="19" t="str">
        <f t="shared" si="37"/>
        <v>July</v>
      </c>
      <c r="E502" s="3" t="s">
        <v>992</v>
      </c>
      <c r="F502" s="3" t="str">
        <f>VLOOKUP(E502,Customers!$A$2:$I$1001,2,0)</f>
        <v>Alf Housaman</v>
      </c>
      <c r="G502" s="3" t="str">
        <f>VLOOKUP(E502,Customers!$A$2:$I$1001,3,0)</f>
        <v>UNKNOWN</v>
      </c>
      <c r="H502" s="3" t="str">
        <f>VLOOKUP(E502,Customers!$A$2:$I$1001,4,0)</f>
        <v>+1 (616) 511-3898</v>
      </c>
      <c r="I502" s="25" t="str">
        <f>VLOOKUP(E502,Customers!$A$2:$I$1001,6,0)</f>
        <v>Grand Rapids</v>
      </c>
      <c r="J502" s="25" t="str">
        <f>VLOOKUP(E502,Customers!$A$2:$I$1001,7,0)</f>
        <v>United States</v>
      </c>
      <c r="K502" s="23" t="str">
        <f>VLOOKUP(E502,Customers!$A$2:$I$1001,9,0)</f>
        <v>No</v>
      </c>
      <c r="L502" s="4" t="s">
        <v>189</v>
      </c>
      <c r="M502" s="4" t="str">
        <f>VLOOKUP(L502,Products!$A$2:$G$49,2,0)</f>
        <v>Robusta</v>
      </c>
      <c r="N502" s="4" t="str">
        <f>VLOOKUP(L502,Products!$A$2:$G$49,3,0)</f>
        <v>Light</v>
      </c>
      <c r="O502" s="25">
        <v>4</v>
      </c>
      <c r="P502" s="5">
        <f>INDEX([1]products!$A$1:$G$49,MATCH([1]orders!$D502,[1]products!$A$1:$A$49,0),MATCH([1]orders!K$1,[1]products!$A$1:$G$1,0))</f>
        <v>1</v>
      </c>
      <c r="Q502" s="6">
        <f>INDEX([1]products!$A$1:$G$49,MATCH([1]orders!$D502,[1]products!$A$1:$A$49,0),MATCH([1]orders!L$1,[1]products!$A$1:$G$1,0))</f>
        <v>11.95</v>
      </c>
      <c r="R502" s="6">
        <f t="shared" si="35"/>
        <v>47.8</v>
      </c>
      <c r="S502">
        <f>VLOOKUP(L502,Products!$A$2:$G$49,7,0)</f>
        <v>0.71699999999999997</v>
      </c>
      <c r="T502">
        <f t="shared" si="38"/>
        <v>2.8679999999999999</v>
      </c>
      <c r="U502" s="33">
        <f t="shared" si="39"/>
        <v>6</v>
      </c>
    </row>
    <row r="503" spans="1:21" x14ac:dyDescent="0.25">
      <c r="A503" s="1" t="s">
        <v>993</v>
      </c>
      <c r="B503" s="28">
        <v>43467</v>
      </c>
      <c r="C503" s="21" t="str">
        <f t="shared" si="36"/>
        <v>2019</v>
      </c>
      <c r="D503" s="19" t="str">
        <f t="shared" si="37"/>
        <v>January</v>
      </c>
      <c r="E503" s="3" t="s">
        <v>994</v>
      </c>
      <c r="F503" s="3" t="str">
        <f>VLOOKUP(E503,Customers!$A$2:$I$1001,2,0)</f>
        <v>Gladi Ducker</v>
      </c>
      <c r="G503" s="3" t="str">
        <f>VLOOKUP(E503,Customers!$A$2:$I$1001,3,0)</f>
        <v>gduckerdx@patch.com</v>
      </c>
      <c r="H503" s="3" t="str">
        <f>VLOOKUP(E503,Customers!$A$2:$I$1001,4,0)</f>
        <v>+44 (749) 987-9016</v>
      </c>
      <c r="I503" s="25" t="str">
        <f>VLOOKUP(E503,Customers!$A$2:$I$1001,6,0)</f>
        <v>Belfast</v>
      </c>
      <c r="J503" s="25" t="str">
        <f>VLOOKUP(E503,Customers!$A$2:$I$1001,7,0)</f>
        <v>United Kingdom</v>
      </c>
      <c r="K503" s="23" t="str">
        <f>VLOOKUP(E503,Customers!$A$2:$I$1001,9,0)</f>
        <v>No</v>
      </c>
      <c r="L503" s="4" t="s">
        <v>162</v>
      </c>
      <c r="M503" s="4" t="str">
        <f>VLOOKUP(L503,Products!$A$2:$G$49,2,0)</f>
        <v>Robusta</v>
      </c>
      <c r="N503" s="4" t="str">
        <f>VLOOKUP(L503,Products!$A$2:$G$49,3,0)</f>
        <v>Medium</v>
      </c>
      <c r="O503" s="25">
        <v>4</v>
      </c>
      <c r="P503" s="5">
        <f>INDEX([1]products!$A$1:$G$49,MATCH([1]orders!$D503,[1]products!$A$1:$A$49,0),MATCH([1]orders!K$1,[1]products!$A$1:$G$1,0))</f>
        <v>0.2</v>
      </c>
      <c r="Q503" s="6">
        <f>INDEX([1]products!$A$1:$G$49,MATCH([1]orders!$D503,[1]products!$A$1:$A$49,0),MATCH([1]orders!L$1,[1]products!$A$1:$G$1,0))</f>
        <v>2.9849999999999999</v>
      </c>
      <c r="R503" s="6">
        <f t="shared" si="35"/>
        <v>11.94</v>
      </c>
      <c r="S503">
        <f>VLOOKUP(L503,Products!$A$2:$G$49,7,0)</f>
        <v>0.17909999999999998</v>
      </c>
      <c r="T503">
        <f t="shared" si="38"/>
        <v>0.71639999999999993</v>
      </c>
      <c r="U503" s="33">
        <f t="shared" si="39"/>
        <v>6</v>
      </c>
    </row>
    <row r="504" spans="1:21" x14ac:dyDescent="0.25">
      <c r="A504" s="1" t="s">
        <v>993</v>
      </c>
      <c r="B504" s="28">
        <v>43467</v>
      </c>
      <c r="C504" s="21" t="str">
        <f t="shared" si="36"/>
        <v>2019</v>
      </c>
      <c r="D504" s="19" t="str">
        <f t="shared" si="37"/>
        <v>January</v>
      </c>
      <c r="E504" s="3" t="s">
        <v>994</v>
      </c>
      <c r="F504" s="3" t="str">
        <f>VLOOKUP(E504,Customers!$A$2:$I$1001,2,0)</f>
        <v>Gladi Ducker</v>
      </c>
      <c r="G504" s="3" t="str">
        <f>VLOOKUP(E504,Customers!$A$2:$I$1001,3,0)</f>
        <v>gduckerdx@patch.com</v>
      </c>
      <c r="H504" s="3" t="str">
        <f>VLOOKUP(E504,Customers!$A$2:$I$1001,4,0)</f>
        <v>+44 (749) 987-9016</v>
      </c>
      <c r="I504" s="25" t="str">
        <f>VLOOKUP(E504,Customers!$A$2:$I$1001,6,0)</f>
        <v>Belfast</v>
      </c>
      <c r="J504" s="25" t="str">
        <f>VLOOKUP(E504,Customers!$A$2:$I$1001,7,0)</f>
        <v>United Kingdom</v>
      </c>
      <c r="K504" s="23" t="str">
        <f>VLOOKUP(E504,Customers!$A$2:$I$1001,9,0)</f>
        <v>No</v>
      </c>
      <c r="L504" s="4" t="s">
        <v>64</v>
      </c>
      <c r="M504" s="4" t="str">
        <f>VLOOKUP(L504,Products!$A$2:$G$49,2,0)</f>
        <v>Excelsa</v>
      </c>
      <c r="N504" s="4" t="str">
        <f>VLOOKUP(L504,Products!$A$2:$G$49,3,0)</f>
        <v>Medium</v>
      </c>
      <c r="O504" s="25">
        <v>4</v>
      </c>
      <c r="P504" s="5">
        <f>INDEX([1]products!$A$1:$G$49,MATCH([1]orders!$D504,[1]products!$A$1:$A$49,0),MATCH([1]orders!K$1,[1]products!$A$1:$G$1,0))</f>
        <v>0.2</v>
      </c>
      <c r="Q504" s="6">
        <f>INDEX([1]products!$A$1:$G$49,MATCH([1]orders!$D504,[1]products!$A$1:$A$49,0),MATCH([1]orders!L$1,[1]products!$A$1:$G$1,0))</f>
        <v>4.125</v>
      </c>
      <c r="R504" s="6">
        <f t="shared" si="35"/>
        <v>16.5</v>
      </c>
      <c r="S504">
        <f>VLOOKUP(L504,Products!$A$2:$G$49,7,0)</f>
        <v>0.45374999999999999</v>
      </c>
      <c r="T504">
        <f t="shared" si="38"/>
        <v>1.8149999999999999</v>
      </c>
      <c r="U504" s="33">
        <f t="shared" si="39"/>
        <v>11</v>
      </c>
    </row>
    <row r="505" spans="1:21" x14ac:dyDescent="0.25">
      <c r="A505" s="1" t="s">
        <v>993</v>
      </c>
      <c r="B505" s="28">
        <v>43467</v>
      </c>
      <c r="C505" s="21" t="str">
        <f t="shared" si="36"/>
        <v>2019</v>
      </c>
      <c r="D505" s="19" t="str">
        <f t="shared" si="37"/>
        <v>January</v>
      </c>
      <c r="E505" s="3" t="s">
        <v>994</v>
      </c>
      <c r="F505" s="3" t="str">
        <f>VLOOKUP(E505,Customers!$A$2:$I$1001,2,0)</f>
        <v>Gladi Ducker</v>
      </c>
      <c r="G505" s="3" t="str">
        <f>VLOOKUP(E505,Customers!$A$2:$I$1001,3,0)</f>
        <v>gduckerdx@patch.com</v>
      </c>
      <c r="H505" s="3" t="str">
        <f>VLOOKUP(E505,Customers!$A$2:$I$1001,4,0)</f>
        <v>+44 (749) 987-9016</v>
      </c>
      <c r="I505" s="25" t="str">
        <f>VLOOKUP(E505,Customers!$A$2:$I$1001,6,0)</f>
        <v>Belfast</v>
      </c>
      <c r="J505" s="25" t="str">
        <f>VLOOKUP(E505,Customers!$A$2:$I$1001,7,0)</f>
        <v>United Kingdom</v>
      </c>
      <c r="K505" s="23" t="str">
        <f>VLOOKUP(E505,Customers!$A$2:$I$1001,9,0)</f>
        <v>No</v>
      </c>
      <c r="L505" s="4" t="s">
        <v>13</v>
      </c>
      <c r="M505" s="4" t="str">
        <f>VLOOKUP(L505,Products!$A$2:$G$49,2,0)</f>
        <v>Liberica</v>
      </c>
      <c r="N505" s="4" t="str">
        <f>VLOOKUP(L505,Products!$A$2:$G$49,3,0)</f>
        <v>Dark</v>
      </c>
      <c r="O505" s="25">
        <v>4</v>
      </c>
      <c r="P505" s="5">
        <f>INDEX([1]products!$A$1:$G$49,MATCH([1]orders!$D505,[1]products!$A$1:$A$49,0),MATCH([1]orders!K$1,[1]products!$A$1:$G$1,0))</f>
        <v>1</v>
      </c>
      <c r="Q505" s="6">
        <f>INDEX([1]products!$A$1:$G$49,MATCH([1]orders!$D505,[1]products!$A$1:$A$49,0),MATCH([1]orders!L$1,[1]products!$A$1:$G$1,0))</f>
        <v>12.95</v>
      </c>
      <c r="R505" s="6">
        <f t="shared" si="35"/>
        <v>51.8</v>
      </c>
      <c r="S505">
        <f>VLOOKUP(L505,Products!$A$2:$G$49,7,0)</f>
        <v>1.6835</v>
      </c>
      <c r="T505">
        <f t="shared" si="38"/>
        <v>6.734</v>
      </c>
      <c r="U505" s="33">
        <f t="shared" si="39"/>
        <v>13</v>
      </c>
    </row>
    <row r="506" spans="1:21" x14ac:dyDescent="0.25">
      <c r="A506" s="1" t="s">
        <v>993</v>
      </c>
      <c r="B506" s="28">
        <v>43467</v>
      </c>
      <c r="C506" s="21" t="str">
        <f t="shared" si="36"/>
        <v>2019</v>
      </c>
      <c r="D506" s="19" t="str">
        <f t="shared" si="37"/>
        <v>January</v>
      </c>
      <c r="E506" s="3" t="s">
        <v>994</v>
      </c>
      <c r="F506" s="3" t="str">
        <f>VLOOKUP(E506,Customers!$A$2:$I$1001,2,0)</f>
        <v>Gladi Ducker</v>
      </c>
      <c r="G506" s="3" t="str">
        <f>VLOOKUP(E506,Customers!$A$2:$I$1001,3,0)</f>
        <v>gduckerdx@patch.com</v>
      </c>
      <c r="H506" s="3" t="str">
        <f>VLOOKUP(E506,Customers!$A$2:$I$1001,4,0)</f>
        <v>+44 (749) 987-9016</v>
      </c>
      <c r="I506" s="25" t="str">
        <f>VLOOKUP(E506,Customers!$A$2:$I$1001,6,0)</f>
        <v>Belfast</v>
      </c>
      <c r="J506" s="25" t="str">
        <f>VLOOKUP(E506,Customers!$A$2:$I$1001,7,0)</f>
        <v>United Kingdom</v>
      </c>
      <c r="K506" s="23" t="str">
        <f>VLOOKUP(E506,Customers!$A$2:$I$1001,9,0)</f>
        <v>No</v>
      </c>
      <c r="L506" s="4" t="s">
        <v>19</v>
      </c>
      <c r="M506" s="4" t="str">
        <f>VLOOKUP(L506,Products!$A$2:$G$49,2,0)</f>
        <v>Liberica</v>
      </c>
      <c r="N506" s="4" t="str">
        <f>VLOOKUP(L506,Products!$A$2:$G$49,3,0)</f>
        <v>Light</v>
      </c>
      <c r="O506" s="25">
        <v>3</v>
      </c>
      <c r="P506" s="5">
        <f>INDEX([1]products!$A$1:$G$49,MATCH([1]orders!$D506,[1]products!$A$1:$A$49,0),MATCH([1]orders!K$1,[1]products!$A$1:$G$1,0))</f>
        <v>0.2</v>
      </c>
      <c r="Q506" s="6">
        <f>INDEX([1]products!$A$1:$G$49,MATCH([1]orders!$D506,[1]products!$A$1:$A$49,0),MATCH([1]orders!L$1,[1]products!$A$1:$G$1,0))</f>
        <v>4.7549999999999999</v>
      </c>
      <c r="R506" s="6">
        <f t="shared" si="35"/>
        <v>14.265000000000001</v>
      </c>
      <c r="S506">
        <f>VLOOKUP(L506,Products!$A$2:$G$49,7,0)</f>
        <v>0.61814999999999998</v>
      </c>
      <c r="T506">
        <f t="shared" si="38"/>
        <v>1.8544499999999999</v>
      </c>
      <c r="U506" s="33">
        <f t="shared" si="39"/>
        <v>12.999999999999998</v>
      </c>
    </row>
    <row r="507" spans="1:21" x14ac:dyDescent="0.25">
      <c r="A507" s="1" t="s">
        <v>995</v>
      </c>
      <c r="B507" s="28">
        <v>44609</v>
      </c>
      <c r="C507" s="21" t="str">
        <f t="shared" si="36"/>
        <v>2022</v>
      </c>
      <c r="D507" s="19" t="str">
        <f t="shared" si="37"/>
        <v>February</v>
      </c>
      <c r="E507" s="3" t="s">
        <v>996</v>
      </c>
      <c r="F507" s="3" t="str">
        <f>VLOOKUP(E507,Customers!$A$2:$I$1001,2,0)</f>
        <v>Wain Stearley</v>
      </c>
      <c r="G507" s="3" t="str">
        <f>VLOOKUP(E507,Customers!$A$2:$I$1001,3,0)</f>
        <v>wstearleye1@census.gov</v>
      </c>
      <c r="H507" s="3" t="str">
        <f>VLOOKUP(E507,Customers!$A$2:$I$1001,4,0)</f>
        <v>+1 (336) 213-3687</v>
      </c>
      <c r="I507" s="25" t="str">
        <f>VLOOKUP(E507,Customers!$A$2:$I$1001,6,0)</f>
        <v>High Point</v>
      </c>
      <c r="J507" s="25" t="str">
        <f>VLOOKUP(E507,Customers!$A$2:$I$1001,7,0)</f>
        <v>United States</v>
      </c>
      <c r="K507" s="23" t="str">
        <f>VLOOKUP(E507,Customers!$A$2:$I$1001,9,0)</f>
        <v>No</v>
      </c>
      <c r="L507" s="4" t="s">
        <v>77</v>
      </c>
      <c r="M507" s="4" t="str">
        <f>VLOOKUP(L507,Products!$A$2:$G$49,2,0)</f>
        <v>Liberica</v>
      </c>
      <c r="N507" s="4" t="str">
        <f>VLOOKUP(L507,Products!$A$2:$G$49,3,0)</f>
        <v>Medium</v>
      </c>
      <c r="O507" s="25">
        <v>6</v>
      </c>
      <c r="P507" s="5">
        <f>INDEX([1]products!$A$1:$G$49,MATCH([1]orders!$D507,[1]products!$A$1:$A$49,0),MATCH([1]orders!K$1,[1]products!$A$1:$G$1,0))</f>
        <v>0.2</v>
      </c>
      <c r="Q507" s="6">
        <f>INDEX([1]products!$A$1:$G$49,MATCH([1]orders!$D507,[1]products!$A$1:$A$49,0),MATCH([1]orders!L$1,[1]products!$A$1:$G$1,0))</f>
        <v>4.3650000000000002</v>
      </c>
      <c r="R507" s="6">
        <f t="shared" si="35"/>
        <v>26.19</v>
      </c>
      <c r="S507">
        <f>VLOOKUP(L507,Products!$A$2:$G$49,7,0)</f>
        <v>0.56745000000000001</v>
      </c>
      <c r="T507">
        <f t="shared" si="38"/>
        <v>3.4047000000000001</v>
      </c>
      <c r="U507" s="33">
        <f t="shared" si="39"/>
        <v>13</v>
      </c>
    </row>
    <row r="508" spans="1:21" x14ac:dyDescent="0.25">
      <c r="A508" s="1" t="s">
        <v>997</v>
      </c>
      <c r="B508" s="28">
        <v>44184</v>
      </c>
      <c r="C508" s="21" t="str">
        <f t="shared" si="36"/>
        <v>2020</v>
      </c>
      <c r="D508" s="19" t="str">
        <f t="shared" si="37"/>
        <v>December</v>
      </c>
      <c r="E508" s="3" t="s">
        <v>998</v>
      </c>
      <c r="F508" s="3" t="str">
        <f>VLOOKUP(E508,Customers!$A$2:$I$1001,2,0)</f>
        <v>Diane-marie Wincer</v>
      </c>
      <c r="G508" s="3" t="str">
        <f>VLOOKUP(E508,Customers!$A$2:$I$1001,3,0)</f>
        <v>dwincere2@marriott.com</v>
      </c>
      <c r="H508" s="3" t="str">
        <f>VLOOKUP(E508,Customers!$A$2:$I$1001,4,0)</f>
        <v>+1 (915) 676-6367</v>
      </c>
      <c r="I508" s="25" t="str">
        <f>VLOOKUP(E508,Customers!$A$2:$I$1001,6,0)</f>
        <v>El Paso</v>
      </c>
      <c r="J508" s="25" t="str">
        <f>VLOOKUP(E508,Customers!$A$2:$I$1001,7,0)</f>
        <v>United States</v>
      </c>
      <c r="K508" s="23" t="str">
        <f>VLOOKUP(E508,Customers!$A$2:$I$1001,9,0)</f>
        <v>Yes</v>
      </c>
      <c r="L508" s="4" t="s">
        <v>6</v>
      </c>
      <c r="M508" s="4" t="str">
        <f>VLOOKUP(L508,Products!$A$2:$G$49,2,0)</f>
        <v>Arabica</v>
      </c>
      <c r="N508" s="4" t="str">
        <f>VLOOKUP(L508,Products!$A$2:$G$49,3,0)</f>
        <v>Light</v>
      </c>
      <c r="O508" s="25">
        <v>2</v>
      </c>
      <c r="P508" s="5">
        <f>INDEX([1]products!$A$1:$G$49,MATCH([1]orders!$D508,[1]products!$A$1:$A$49,0),MATCH([1]orders!K$1,[1]products!$A$1:$G$1,0))</f>
        <v>1</v>
      </c>
      <c r="Q508" s="6">
        <f>INDEX([1]products!$A$1:$G$49,MATCH([1]orders!$D508,[1]products!$A$1:$A$49,0),MATCH([1]orders!L$1,[1]products!$A$1:$G$1,0))</f>
        <v>12.95</v>
      </c>
      <c r="R508" s="6">
        <f t="shared" si="35"/>
        <v>25.9</v>
      </c>
      <c r="S508">
        <f>VLOOKUP(L508,Products!$A$2:$G$49,7,0)</f>
        <v>1.1655</v>
      </c>
      <c r="T508">
        <f t="shared" si="38"/>
        <v>2.331</v>
      </c>
      <c r="U508" s="33">
        <f t="shared" si="39"/>
        <v>9</v>
      </c>
    </row>
    <row r="509" spans="1:21" x14ac:dyDescent="0.25">
      <c r="A509" s="1" t="s">
        <v>999</v>
      </c>
      <c r="B509" s="28">
        <v>43516</v>
      </c>
      <c r="C509" s="21" t="str">
        <f t="shared" si="36"/>
        <v>2019</v>
      </c>
      <c r="D509" s="19" t="str">
        <f t="shared" si="37"/>
        <v>February</v>
      </c>
      <c r="E509" s="3" t="s">
        <v>1000</v>
      </c>
      <c r="F509" s="3" t="str">
        <f>VLOOKUP(E509,Customers!$A$2:$I$1001,2,0)</f>
        <v>Perry Lyfield</v>
      </c>
      <c r="G509" s="3" t="str">
        <f>VLOOKUP(E509,Customers!$A$2:$I$1001,3,0)</f>
        <v>plyfielde3@baidu.com</v>
      </c>
      <c r="H509" s="3" t="str">
        <f>VLOOKUP(E509,Customers!$A$2:$I$1001,4,0)</f>
        <v>+1 (216) 614-9325</v>
      </c>
      <c r="I509" s="25" t="str">
        <f>VLOOKUP(E509,Customers!$A$2:$I$1001,6,0)</f>
        <v>Cleveland</v>
      </c>
      <c r="J509" s="25" t="str">
        <f>VLOOKUP(E509,Customers!$A$2:$I$1001,7,0)</f>
        <v>United States</v>
      </c>
      <c r="K509" s="23" t="str">
        <f>VLOOKUP(E509,Customers!$A$2:$I$1001,9,0)</f>
        <v>Yes</v>
      </c>
      <c r="L509" s="4" t="s">
        <v>204</v>
      </c>
      <c r="M509" s="4" t="str">
        <f>VLOOKUP(L509,Products!$A$2:$G$49,2,0)</f>
        <v>Arabica</v>
      </c>
      <c r="N509" s="4" t="str">
        <f>VLOOKUP(L509,Products!$A$2:$G$49,3,0)</f>
        <v>Light</v>
      </c>
      <c r="O509" s="25">
        <v>3</v>
      </c>
      <c r="P509" s="5">
        <f>INDEX([1]products!$A$1:$G$49,MATCH([1]orders!$D509,[1]products!$A$1:$A$49,0),MATCH([1]orders!K$1,[1]products!$A$1:$G$1,0))</f>
        <v>2.5</v>
      </c>
      <c r="Q509" s="6">
        <f>INDEX([1]products!$A$1:$G$49,MATCH([1]orders!$D509,[1]products!$A$1:$A$49,0),MATCH([1]orders!L$1,[1]products!$A$1:$G$1,0))</f>
        <v>29.784999999999997</v>
      </c>
      <c r="R509" s="6">
        <f t="shared" si="35"/>
        <v>89.35499999999999</v>
      </c>
      <c r="S509">
        <f>VLOOKUP(L509,Products!$A$2:$G$49,7,0)</f>
        <v>2.6806499999999995</v>
      </c>
      <c r="T509">
        <f t="shared" si="38"/>
        <v>8.0419499999999982</v>
      </c>
      <c r="U509" s="33">
        <f t="shared" si="39"/>
        <v>8.9999999999999982</v>
      </c>
    </row>
    <row r="510" spans="1:21" x14ac:dyDescent="0.25">
      <c r="A510" s="1" t="s">
        <v>1001</v>
      </c>
      <c r="B510" s="28">
        <v>44210</v>
      </c>
      <c r="C510" s="21" t="str">
        <f t="shared" si="36"/>
        <v>2021</v>
      </c>
      <c r="D510" s="19" t="str">
        <f t="shared" si="37"/>
        <v>January</v>
      </c>
      <c r="E510" s="3" t="s">
        <v>1002</v>
      </c>
      <c r="F510" s="3" t="str">
        <f>VLOOKUP(E510,Customers!$A$2:$I$1001,2,0)</f>
        <v>Heall Perris</v>
      </c>
      <c r="G510" s="3" t="str">
        <f>VLOOKUP(E510,Customers!$A$2:$I$1001,3,0)</f>
        <v>hperrise4@studiopress.com</v>
      </c>
      <c r="H510" s="3" t="str">
        <f>VLOOKUP(E510,Customers!$A$2:$I$1001,4,0)</f>
        <v>+353 (954) 293-8675</v>
      </c>
      <c r="I510" s="25" t="str">
        <f>VLOOKUP(E510,Customers!$A$2:$I$1001,6,0)</f>
        <v>Ballymahon</v>
      </c>
      <c r="J510" s="25" t="str">
        <f>VLOOKUP(E510,Customers!$A$2:$I$1001,7,0)</f>
        <v>Ireland</v>
      </c>
      <c r="K510" s="23" t="str">
        <f>VLOOKUP(E510,Customers!$A$2:$I$1001,9,0)</f>
        <v>No</v>
      </c>
      <c r="L510" s="4" t="s">
        <v>123</v>
      </c>
      <c r="M510" s="4" t="str">
        <f>VLOOKUP(L510,Products!$A$2:$G$49,2,0)</f>
        <v>Liberica</v>
      </c>
      <c r="N510" s="4" t="str">
        <f>VLOOKUP(L510,Products!$A$2:$G$49,3,0)</f>
        <v>Dark</v>
      </c>
      <c r="O510" s="25">
        <v>6</v>
      </c>
      <c r="P510" s="5">
        <f>INDEX([1]products!$A$1:$G$49,MATCH([1]orders!$D510,[1]products!$A$1:$A$49,0),MATCH([1]orders!K$1,[1]products!$A$1:$G$1,0))</f>
        <v>0.5</v>
      </c>
      <c r="Q510" s="6">
        <f>INDEX([1]products!$A$1:$G$49,MATCH([1]orders!$D510,[1]products!$A$1:$A$49,0),MATCH([1]orders!L$1,[1]products!$A$1:$G$1,0))</f>
        <v>7.77</v>
      </c>
      <c r="R510" s="6">
        <f t="shared" si="35"/>
        <v>46.62</v>
      </c>
      <c r="S510">
        <f>VLOOKUP(L510,Products!$A$2:$G$49,7,0)</f>
        <v>1.0101</v>
      </c>
      <c r="T510">
        <f t="shared" si="38"/>
        <v>6.0606</v>
      </c>
      <c r="U510" s="33">
        <f t="shared" si="39"/>
        <v>13</v>
      </c>
    </row>
    <row r="511" spans="1:21" x14ac:dyDescent="0.25">
      <c r="A511" s="1" t="s">
        <v>1003</v>
      </c>
      <c r="B511" s="28">
        <v>43785</v>
      </c>
      <c r="C511" s="21" t="str">
        <f t="shared" si="36"/>
        <v>2019</v>
      </c>
      <c r="D511" s="19" t="str">
        <f t="shared" si="37"/>
        <v>November</v>
      </c>
      <c r="E511" s="3" t="s">
        <v>988</v>
      </c>
      <c r="F511" s="3" t="str">
        <f>VLOOKUP(E511,Customers!$A$2:$I$1001,2,0)</f>
        <v>Marja Urion</v>
      </c>
      <c r="G511" s="3" t="str">
        <f>VLOOKUP(E511,Customers!$A$2:$I$1001,3,0)</f>
        <v>murione5@alexa.com</v>
      </c>
      <c r="H511" s="3" t="str">
        <f>VLOOKUP(E511,Customers!$A$2:$I$1001,4,0)</f>
        <v>+353 (715) 989-0283</v>
      </c>
      <c r="I511" s="25" t="str">
        <f>VLOOKUP(E511,Customers!$A$2:$I$1001,6,0)</f>
        <v>Virginia</v>
      </c>
      <c r="J511" s="25" t="str">
        <f>VLOOKUP(E511,Customers!$A$2:$I$1001,7,0)</f>
        <v>Ireland</v>
      </c>
      <c r="K511" s="23" t="str">
        <f>VLOOKUP(E511,Customers!$A$2:$I$1001,9,0)</f>
        <v>Yes</v>
      </c>
      <c r="L511" s="4" t="s">
        <v>27</v>
      </c>
      <c r="M511" s="4" t="str">
        <f>VLOOKUP(L511,Products!$A$2:$G$49,2,0)</f>
        <v>Arabica</v>
      </c>
      <c r="N511" s="4" t="str">
        <f>VLOOKUP(L511,Products!$A$2:$G$49,3,0)</f>
        <v>Dark</v>
      </c>
      <c r="O511" s="25">
        <v>3</v>
      </c>
      <c r="P511" s="5">
        <f>INDEX([1]products!$A$1:$G$49,MATCH([1]orders!$D511,[1]products!$A$1:$A$49,0),MATCH([1]orders!K$1,[1]products!$A$1:$G$1,0))</f>
        <v>1</v>
      </c>
      <c r="Q511" s="6">
        <f>INDEX([1]products!$A$1:$G$49,MATCH([1]orders!$D511,[1]products!$A$1:$A$49,0),MATCH([1]orders!L$1,[1]products!$A$1:$G$1,0))</f>
        <v>9.9499999999999993</v>
      </c>
      <c r="R511" s="6">
        <f t="shared" si="35"/>
        <v>29.849999999999998</v>
      </c>
      <c r="S511">
        <f>VLOOKUP(L511,Products!$A$2:$G$49,7,0)</f>
        <v>0.89549999999999985</v>
      </c>
      <c r="T511">
        <f t="shared" si="38"/>
        <v>2.6864999999999997</v>
      </c>
      <c r="U511" s="33">
        <f t="shared" si="39"/>
        <v>9</v>
      </c>
    </row>
    <row r="512" spans="1:21" x14ac:dyDescent="0.25">
      <c r="A512" s="1" t="s">
        <v>1004</v>
      </c>
      <c r="B512" s="28">
        <v>43803</v>
      </c>
      <c r="C512" s="21" t="str">
        <f t="shared" si="36"/>
        <v>2019</v>
      </c>
      <c r="D512" s="19" t="str">
        <f t="shared" si="37"/>
        <v>December</v>
      </c>
      <c r="E512" s="3" t="s">
        <v>1005</v>
      </c>
      <c r="F512" s="3" t="str">
        <f>VLOOKUP(E512,Customers!$A$2:$I$1001,2,0)</f>
        <v>Camellia Kid</v>
      </c>
      <c r="G512" s="3" t="str">
        <f>VLOOKUP(E512,Customers!$A$2:$I$1001,3,0)</f>
        <v>ckide6@narod.ru</v>
      </c>
      <c r="H512" s="3" t="str">
        <f>VLOOKUP(E512,Customers!$A$2:$I$1001,4,0)</f>
        <v>+353 (866) 707-2603</v>
      </c>
      <c r="I512" s="25" t="str">
        <f>VLOOKUP(E512,Customers!$A$2:$I$1001,6,0)</f>
        <v>Whitegate</v>
      </c>
      <c r="J512" s="25" t="str">
        <f>VLOOKUP(E512,Customers!$A$2:$I$1001,7,0)</f>
        <v>Ireland</v>
      </c>
      <c r="K512" s="23" t="str">
        <f>VLOOKUP(E512,Customers!$A$2:$I$1001,9,0)</f>
        <v>Yes</v>
      </c>
      <c r="L512" s="4" t="s">
        <v>182</v>
      </c>
      <c r="M512" s="4" t="str">
        <f>VLOOKUP(L512,Products!$A$2:$G$49,2,0)</f>
        <v>Robusta</v>
      </c>
      <c r="N512" s="4" t="str">
        <f>VLOOKUP(L512,Products!$A$2:$G$49,3,0)</f>
        <v>Light</v>
      </c>
      <c r="O512" s="25">
        <v>3</v>
      </c>
      <c r="P512" s="5">
        <f>INDEX([1]products!$A$1:$G$49,MATCH([1]orders!$D512,[1]products!$A$1:$A$49,0),MATCH([1]orders!K$1,[1]products!$A$1:$G$1,0))</f>
        <v>0.2</v>
      </c>
      <c r="Q512" s="6">
        <f>INDEX([1]products!$A$1:$G$49,MATCH([1]orders!$D512,[1]products!$A$1:$A$49,0),MATCH([1]orders!L$1,[1]products!$A$1:$G$1,0))</f>
        <v>3.5849999999999995</v>
      </c>
      <c r="R512" s="6">
        <f t="shared" si="35"/>
        <v>10.754999999999999</v>
      </c>
      <c r="S512">
        <f>VLOOKUP(L512,Products!$A$2:$G$49,7,0)</f>
        <v>0.21509999999999996</v>
      </c>
      <c r="T512">
        <f t="shared" si="38"/>
        <v>0.64529999999999987</v>
      </c>
      <c r="U512" s="33">
        <f t="shared" si="39"/>
        <v>5.9999999999999991</v>
      </c>
    </row>
    <row r="513" spans="1:21" x14ac:dyDescent="0.25">
      <c r="A513" s="1" t="s">
        <v>1006</v>
      </c>
      <c r="B513" s="28">
        <v>44043</v>
      </c>
      <c r="C513" s="21" t="str">
        <f t="shared" si="36"/>
        <v>2020</v>
      </c>
      <c r="D513" s="19" t="str">
        <f t="shared" si="37"/>
        <v>July</v>
      </c>
      <c r="E513" s="3" t="s">
        <v>1007</v>
      </c>
      <c r="F513" s="3" t="str">
        <f>VLOOKUP(E513,Customers!$A$2:$I$1001,2,0)</f>
        <v>Carolann Beine</v>
      </c>
      <c r="G513" s="3" t="str">
        <f>VLOOKUP(E513,Customers!$A$2:$I$1001,3,0)</f>
        <v>cbeinee7@xinhuanet.com</v>
      </c>
      <c r="H513" s="3" t="str">
        <f>VLOOKUP(E513,Customers!$A$2:$I$1001,4,0)</f>
        <v>+1 (205) 468-0236</v>
      </c>
      <c r="I513" s="25" t="str">
        <f>VLOOKUP(E513,Customers!$A$2:$I$1001,6,0)</f>
        <v>Birmingham</v>
      </c>
      <c r="J513" s="25" t="str">
        <f>VLOOKUP(E513,Customers!$A$2:$I$1001,7,0)</f>
        <v>United States</v>
      </c>
      <c r="K513" s="23" t="str">
        <f>VLOOKUP(E513,Customers!$A$2:$I$1001,9,0)</f>
        <v>Yes</v>
      </c>
      <c r="L513" s="4" t="s">
        <v>44</v>
      </c>
      <c r="M513" s="4" t="str">
        <f>VLOOKUP(L513,Products!$A$2:$G$49,2,0)</f>
        <v>Arabica</v>
      </c>
      <c r="N513" s="4" t="str">
        <f>VLOOKUP(L513,Products!$A$2:$G$49,3,0)</f>
        <v>Medium</v>
      </c>
      <c r="O513" s="25">
        <v>4</v>
      </c>
      <c r="P513" s="5">
        <f>INDEX([1]products!$A$1:$G$49,MATCH([1]orders!$D513,[1]products!$A$1:$A$49,0),MATCH([1]orders!K$1,[1]products!$A$1:$G$1,0))</f>
        <v>0.2</v>
      </c>
      <c r="Q513" s="6">
        <f>INDEX([1]products!$A$1:$G$49,MATCH([1]orders!$D513,[1]products!$A$1:$A$49,0),MATCH([1]orders!L$1,[1]products!$A$1:$G$1,0))</f>
        <v>3.375</v>
      </c>
      <c r="R513" s="6">
        <f t="shared" si="35"/>
        <v>13.5</v>
      </c>
      <c r="S513">
        <f>VLOOKUP(L513,Products!$A$2:$G$49,7,0)</f>
        <v>0.30374999999999996</v>
      </c>
      <c r="T513">
        <f t="shared" si="38"/>
        <v>1.2149999999999999</v>
      </c>
      <c r="U513" s="33">
        <f t="shared" si="39"/>
        <v>8.9999999999999982</v>
      </c>
    </row>
    <row r="514" spans="1:21" x14ac:dyDescent="0.25">
      <c r="A514" s="1" t="s">
        <v>1008</v>
      </c>
      <c r="B514" s="28">
        <v>43535</v>
      </c>
      <c r="C514" s="21" t="str">
        <f t="shared" si="36"/>
        <v>2019</v>
      </c>
      <c r="D514" s="19" t="str">
        <f t="shared" si="37"/>
        <v>March</v>
      </c>
      <c r="E514" s="3" t="s">
        <v>1009</v>
      </c>
      <c r="F514" s="3" t="str">
        <f>VLOOKUP(E514,Customers!$A$2:$I$1001,2,0)</f>
        <v>Celia Bakeup</v>
      </c>
      <c r="G514" s="3" t="str">
        <f>VLOOKUP(E514,Customers!$A$2:$I$1001,3,0)</f>
        <v>cbakeupe8@globo.com</v>
      </c>
      <c r="H514" s="3" t="str">
        <f>VLOOKUP(E514,Customers!$A$2:$I$1001,4,0)</f>
        <v>+1 (320) 375-8504</v>
      </c>
      <c r="I514" s="25" t="str">
        <f>VLOOKUP(E514,Customers!$A$2:$I$1001,6,0)</f>
        <v>Saint Cloud</v>
      </c>
      <c r="J514" s="25" t="str">
        <f>VLOOKUP(E514,Customers!$A$2:$I$1001,7,0)</f>
        <v>United States</v>
      </c>
      <c r="K514" s="23" t="str">
        <f>VLOOKUP(E514,Customers!$A$2:$I$1001,9,0)</f>
        <v>No</v>
      </c>
      <c r="L514" s="4" t="s">
        <v>132</v>
      </c>
      <c r="M514" s="4" t="str">
        <f>VLOOKUP(L514,Products!$A$2:$G$49,2,0)</f>
        <v>Liberica</v>
      </c>
      <c r="N514" s="4" t="str">
        <f>VLOOKUP(L514,Products!$A$2:$G$49,3,0)</f>
        <v>Light</v>
      </c>
      <c r="O514" s="25">
        <v>3</v>
      </c>
      <c r="P514" s="5">
        <f>INDEX([1]products!$A$1:$G$49,MATCH([1]orders!$D514,[1]products!$A$1:$A$49,0),MATCH([1]orders!K$1,[1]products!$A$1:$G$1,0))</f>
        <v>1</v>
      </c>
      <c r="Q514" s="6">
        <f>INDEX([1]products!$A$1:$G$49,MATCH([1]orders!$D514,[1]products!$A$1:$A$49,0),MATCH([1]orders!L$1,[1]products!$A$1:$G$1,0))</f>
        <v>15.85</v>
      </c>
      <c r="R514" s="6">
        <f t="shared" ref="R514:R577" si="40">O514*Q514</f>
        <v>47.55</v>
      </c>
      <c r="S514">
        <f>VLOOKUP(L514,Products!$A$2:$G$49,7,0)</f>
        <v>2.0605000000000002</v>
      </c>
      <c r="T514">
        <f t="shared" si="38"/>
        <v>6.1815000000000007</v>
      </c>
      <c r="U514" s="33">
        <f t="shared" si="39"/>
        <v>13.000000000000004</v>
      </c>
    </row>
    <row r="515" spans="1:21" x14ac:dyDescent="0.25">
      <c r="A515" s="1" t="s">
        <v>1010</v>
      </c>
      <c r="B515" s="28">
        <v>44691</v>
      </c>
      <c r="C515" s="21" t="str">
        <f t="shared" ref="C515:C578" si="41">TEXT(B515,"yyyy")</f>
        <v>2022</v>
      </c>
      <c r="D515" s="19" t="str">
        <f t="shared" ref="D515:D578" si="42">TEXT(B515,"mmmm")</f>
        <v>May</v>
      </c>
      <c r="E515" s="3" t="s">
        <v>1011</v>
      </c>
      <c r="F515" s="3" t="str">
        <f>VLOOKUP(E515,Customers!$A$2:$I$1001,2,0)</f>
        <v>Nataniel Helkin</v>
      </c>
      <c r="G515" s="3" t="str">
        <f>VLOOKUP(E515,Customers!$A$2:$I$1001,3,0)</f>
        <v>nhelkine9@example.com</v>
      </c>
      <c r="H515" s="3" t="str">
        <f>VLOOKUP(E515,Customers!$A$2:$I$1001,4,0)</f>
        <v>UNKNOWN</v>
      </c>
      <c r="I515" s="25" t="str">
        <f>VLOOKUP(E515,Customers!$A$2:$I$1001,6,0)</f>
        <v>Philadelphia</v>
      </c>
      <c r="J515" s="25" t="str">
        <f>VLOOKUP(E515,Customers!$A$2:$I$1001,7,0)</f>
        <v>United States</v>
      </c>
      <c r="K515" s="23" t="str">
        <f>VLOOKUP(E515,Customers!$A$2:$I$1001,9,0)</f>
        <v>No</v>
      </c>
      <c r="L515" s="4" t="s">
        <v>132</v>
      </c>
      <c r="M515" s="4" t="str">
        <f>VLOOKUP(L515,Products!$A$2:$G$49,2,0)</f>
        <v>Liberica</v>
      </c>
      <c r="N515" s="4" t="str">
        <f>VLOOKUP(L515,Products!$A$2:$G$49,3,0)</f>
        <v>Light</v>
      </c>
      <c r="O515" s="25">
        <v>5</v>
      </c>
      <c r="P515" s="5">
        <f>INDEX([1]products!$A$1:$G$49,MATCH([1]orders!$D515,[1]products!$A$1:$A$49,0),MATCH([1]orders!K$1,[1]products!$A$1:$G$1,0))</f>
        <v>1</v>
      </c>
      <c r="Q515" s="6">
        <f>INDEX([1]products!$A$1:$G$49,MATCH([1]orders!$D515,[1]products!$A$1:$A$49,0),MATCH([1]orders!L$1,[1]products!$A$1:$G$1,0))</f>
        <v>15.85</v>
      </c>
      <c r="R515" s="6">
        <f t="shared" si="40"/>
        <v>79.25</v>
      </c>
      <c r="S515">
        <f>VLOOKUP(L515,Products!$A$2:$G$49,7,0)</f>
        <v>2.0605000000000002</v>
      </c>
      <c r="T515">
        <f t="shared" ref="T515:T578" si="43">O515*S515</f>
        <v>10.302500000000002</v>
      </c>
      <c r="U515" s="33">
        <f t="shared" ref="U515:U578" si="44">T515/R515*100</f>
        <v>13.000000000000004</v>
      </c>
    </row>
    <row r="516" spans="1:21" x14ac:dyDescent="0.25">
      <c r="A516" s="1" t="s">
        <v>1012</v>
      </c>
      <c r="B516" s="28">
        <v>44555</v>
      </c>
      <c r="C516" s="21" t="str">
        <f t="shared" si="41"/>
        <v>2021</v>
      </c>
      <c r="D516" s="19" t="str">
        <f t="shared" si="42"/>
        <v>December</v>
      </c>
      <c r="E516" s="3" t="s">
        <v>1013</v>
      </c>
      <c r="F516" s="3" t="str">
        <f>VLOOKUP(E516,Customers!$A$2:$I$1001,2,0)</f>
        <v>Pippo Witherington</v>
      </c>
      <c r="G516" s="3" t="str">
        <f>VLOOKUP(E516,Customers!$A$2:$I$1001,3,0)</f>
        <v>pwitheringtonea@networkadvertising.org</v>
      </c>
      <c r="H516" s="3" t="str">
        <f>VLOOKUP(E516,Customers!$A$2:$I$1001,4,0)</f>
        <v>+1 (810) 202-8870</v>
      </c>
      <c r="I516" s="25" t="str">
        <f>VLOOKUP(E516,Customers!$A$2:$I$1001,6,0)</f>
        <v>Detroit</v>
      </c>
      <c r="J516" s="25" t="str">
        <f>VLOOKUP(E516,Customers!$A$2:$I$1001,7,0)</f>
        <v>United States</v>
      </c>
      <c r="K516" s="23" t="str">
        <f>VLOOKUP(E516,Customers!$A$2:$I$1001,9,0)</f>
        <v>Yes</v>
      </c>
      <c r="L516" s="4" t="s">
        <v>77</v>
      </c>
      <c r="M516" s="4" t="str">
        <f>VLOOKUP(L516,Products!$A$2:$G$49,2,0)</f>
        <v>Liberica</v>
      </c>
      <c r="N516" s="4" t="str">
        <f>VLOOKUP(L516,Products!$A$2:$G$49,3,0)</f>
        <v>Medium</v>
      </c>
      <c r="O516" s="25">
        <v>6</v>
      </c>
      <c r="P516" s="5">
        <f>INDEX([1]products!$A$1:$G$49,MATCH([1]orders!$D516,[1]products!$A$1:$A$49,0),MATCH([1]orders!K$1,[1]products!$A$1:$G$1,0))</f>
        <v>0.2</v>
      </c>
      <c r="Q516" s="6">
        <f>INDEX([1]products!$A$1:$G$49,MATCH([1]orders!$D516,[1]products!$A$1:$A$49,0),MATCH([1]orders!L$1,[1]products!$A$1:$G$1,0))</f>
        <v>4.3650000000000002</v>
      </c>
      <c r="R516" s="6">
        <f t="shared" si="40"/>
        <v>26.19</v>
      </c>
      <c r="S516">
        <f>VLOOKUP(L516,Products!$A$2:$G$49,7,0)</f>
        <v>0.56745000000000001</v>
      </c>
      <c r="T516">
        <f t="shared" si="43"/>
        <v>3.4047000000000001</v>
      </c>
      <c r="U516" s="33">
        <f t="shared" si="44"/>
        <v>13</v>
      </c>
    </row>
    <row r="517" spans="1:21" x14ac:dyDescent="0.25">
      <c r="A517" s="1" t="s">
        <v>1014</v>
      </c>
      <c r="B517" s="28">
        <v>44673</v>
      </c>
      <c r="C517" s="21" t="str">
        <f t="shared" si="41"/>
        <v>2022</v>
      </c>
      <c r="D517" s="19" t="str">
        <f t="shared" si="42"/>
        <v>April</v>
      </c>
      <c r="E517" s="3" t="s">
        <v>1015</v>
      </c>
      <c r="F517" s="3" t="str">
        <f>VLOOKUP(E517,Customers!$A$2:$I$1001,2,0)</f>
        <v>Tildie Tilzey</v>
      </c>
      <c r="G517" s="3" t="str">
        <f>VLOOKUP(E517,Customers!$A$2:$I$1001,3,0)</f>
        <v>ttilzeyeb@hostgator.com</v>
      </c>
      <c r="H517" s="3" t="str">
        <f>VLOOKUP(E517,Customers!$A$2:$I$1001,4,0)</f>
        <v>+1 (314) 876-7205</v>
      </c>
      <c r="I517" s="25" t="str">
        <f>VLOOKUP(E517,Customers!$A$2:$I$1001,6,0)</f>
        <v>Saint Louis</v>
      </c>
      <c r="J517" s="25" t="str">
        <f>VLOOKUP(E517,Customers!$A$2:$I$1001,7,0)</f>
        <v>United States</v>
      </c>
      <c r="K517" s="23" t="str">
        <f>VLOOKUP(E517,Customers!$A$2:$I$1001,9,0)</f>
        <v>No</v>
      </c>
      <c r="L517" s="4" t="s">
        <v>157</v>
      </c>
      <c r="M517" s="4" t="str">
        <f>VLOOKUP(L517,Products!$A$2:$G$49,2,0)</f>
        <v>Robusta</v>
      </c>
      <c r="N517" s="4" t="str">
        <f>VLOOKUP(L517,Products!$A$2:$G$49,3,0)</f>
        <v>Light</v>
      </c>
      <c r="O517" s="25">
        <v>3</v>
      </c>
      <c r="P517" s="5">
        <f>INDEX([1]products!$A$1:$G$49,MATCH([1]orders!$D517,[1]products!$A$1:$A$49,0),MATCH([1]orders!K$1,[1]products!$A$1:$G$1,0))</f>
        <v>0.5</v>
      </c>
      <c r="Q517" s="6">
        <f>INDEX([1]products!$A$1:$G$49,MATCH([1]orders!$D517,[1]products!$A$1:$A$49,0),MATCH([1]orders!L$1,[1]products!$A$1:$G$1,0))</f>
        <v>7.169999999999999</v>
      </c>
      <c r="R517" s="6">
        <f t="shared" si="40"/>
        <v>21.509999999999998</v>
      </c>
      <c r="S517">
        <f>VLOOKUP(L517,Products!$A$2:$G$49,7,0)</f>
        <v>0.43019999999999992</v>
      </c>
      <c r="T517">
        <f t="shared" si="43"/>
        <v>1.2905999999999997</v>
      </c>
      <c r="U517" s="33">
        <f t="shared" si="44"/>
        <v>5.9999999999999991</v>
      </c>
    </row>
    <row r="518" spans="1:21" x14ac:dyDescent="0.25">
      <c r="A518" s="1" t="s">
        <v>1016</v>
      </c>
      <c r="B518" s="28">
        <v>44723</v>
      </c>
      <c r="C518" s="21" t="str">
        <f t="shared" si="41"/>
        <v>2022</v>
      </c>
      <c r="D518" s="19" t="str">
        <f t="shared" si="42"/>
        <v>June</v>
      </c>
      <c r="E518" s="3" t="s">
        <v>1017</v>
      </c>
      <c r="F518" s="3" t="str">
        <f>VLOOKUP(E518,Customers!$A$2:$I$1001,2,0)</f>
        <v>Cindra Burling</v>
      </c>
      <c r="G518" s="3" t="str">
        <f>VLOOKUP(E518,Customers!$A$2:$I$1001,3,0)</f>
        <v>UNKNOWN</v>
      </c>
      <c r="H518" s="3" t="str">
        <f>VLOOKUP(E518,Customers!$A$2:$I$1001,4,0)</f>
        <v>+1 (518) 562-5402</v>
      </c>
      <c r="I518" s="25" t="str">
        <f>VLOOKUP(E518,Customers!$A$2:$I$1001,6,0)</f>
        <v>Schenectady</v>
      </c>
      <c r="J518" s="25" t="str">
        <f>VLOOKUP(E518,Customers!$A$2:$I$1001,7,0)</f>
        <v>United States</v>
      </c>
      <c r="K518" s="23" t="str">
        <f>VLOOKUP(E518,Customers!$A$2:$I$1001,9,0)</f>
        <v>Yes</v>
      </c>
      <c r="L518" s="4" t="s">
        <v>35</v>
      </c>
      <c r="M518" s="4" t="str">
        <f>VLOOKUP(L518,Products!$A$2:$G$49,2,0)</f>
        <v>Robusta</v>
      </c>
      <c r="N518" s="4" t="str">
        <f>VLOOKUP(L518,Products!$A$2:$G$49,3,0)</f>
        <v>Dark</v>
      </c>
      <c r="O518" s="25">
        <v>5</v>
      </c>
      <c r="P518" s="5">
        <f>INDEX([1]products!$A$1:$G$49,MATCH([1]orders!$D518,[1]products!$A$1:$A$49,0),MATCH([1]orders!K$1,[1]products!$A$1:$G$1,0))</f>
        <v>2.5</v>
      </c>
      <c r="Q518" s="6">
        <f>INDEX([1]products!$A$1:$G$49,MATCH([1]orders!$D518,[1]products!$A$1:$A$49,0),MATCH([1]orders!L$1,[1]products!$A$1:$G$1,0))</f>
        <v>20.584999999999997</v>
      </c>
      <c r="R518" s="6">
        <f t="shared" si="40"/>
        <v>102.92499999999998</v>
      </c>
      <c r="S518">
        <f>VLOOKUP(L518,Products!$A$2:$G$49,7,0)</f>
        <v>1.2350999999999999</v>
      </c>
      <c r="T518">
        <f t="shared" si="43"/>
        <v>6.1754999999999995</v>
      </c>
      <c r="U518" s="33">
        <f t="shared" si="44"/>
        <v>6.0000000000000009</v>
      </c>
    </row>
    <row r="519" spans="1:21" x14ac:dyDescent="0.25">
      <c r="A519" s="1" t="s">
        <v>1018</v>
      </c>
      <c r="B519" s="28">
        <v>44678</v>
      </c>
      <c r="C519" s="21" t="str">
        <f t="shared" si="41"/>
        <v>2022</v>
      </c>
      <c r="D519" s="19" t="str">
        <f t="shared" si="42"/>
        <v>April</v>
      </c>
      <c r="E519" s="3" t="s">
        <v>1019</v>
      </c>
      <c r="F519" s="3" t="str">
        <f>VLOOKUP(E519,Customers!$A$2:$I$1001,2,0)</f>
        <v>Channa Belamy</v>
      </c>
      <c r="G519" s="3" t="str">
        <f>VLOOKUP(E519,Customers!$A$2:$I$1001,3,0)</f>
        <v>UNKNOWN</v>
      </c>
      <c r="H519" s="3" t="str">
        <f>VLOOKUP(E519,Customers!$A$2:$I$1001,4,0)</f>
        <v>+1 (863) 303-5561</v>
      </c>
      <c r="I519" s="25" t="str">
        <f>VLOOKUP(E519,Customers!$A$2:$I$1001,6,0)</f>
        <v>Lakeland</v>
      </c>
      <c r="J519" s="25" t="str">
        <f>VLOOKUP(E519,Customers!$A$2:$I$1001,7,0)</f>
        <v>United States</v>
      </c>
      <c r="K519" s="23" t="str">
        <f>VLOOKUP(E519,Customers!$A$2:$I$1001,9,0)</f>
        <v>No</v>
      </c>
      <c r="L519" s="4" t="s">
        <v>38</v>
      </c>
      <c r="M519" s="4" t="str">
        <f>VLOOKUP(L519,Products!$A$2:$G$49,2,0)</f>
        <v>Liberica</v>
      </c>
      <c r="N519" s="4" t="str">
        <f>VLOOKUP(L519,Products!$A$2:$G$49,3,0)</f>
        <v>Dark</v>
      </c>
      <c r="O519" s="25">
        <v>2</v>
      </c>
      <c r="P519" s="5">
        <f>INDEX([1]products!$A$1:$G$49,MATCH([1]orders!$D519,[1]products!$A$1:$A$49,0),MATCH([1]orders!K$1,[1]products!$A$1:$G$1,0))</f>
        <v>0.2</v>
      </c>
      <c r="Q519" s="6">
        <f>INDEX([1]products!$A$1:$G$49,MATCH([1]orders!$D519,[1]products!$A$1:$A$49,0),MATCH([1]orders!L$1,[1]products!$A$1:$G$1,0))</f>
        <v>3.8849999999999998</v>
      </c>
      <c r="R519" s="6">
        <f t="shared" si="40"/>
        <v>7.77</v>
      </c>
      <c r="S519">
        <f>VLOOKUP(L519,Products!$A$2:$G$49,7,0)</f>
        <v>0.50505</v>
      </c>
      <c r="T519">
        <f t="shared" si="43"/>
        <v>1.0101</v>
      </c>
      <c r="U519" s="33">
        <f t="shared" si="44"/>
        <v>13</v>
      </c>
    </row>
    <row r="520" spans="1:21" x14ac:dyDescent="0.25">
      <c r="A520" s="1" t="s">
        <v>1020</v>
      </c>
      <c r="B520" s="28">
        <v>44194</v>
      </c>
      <c r="C520" s="21" t="str">
        <f t="shared" si="41"/>
        <v>2020</v>
      </c>
      <c r="D520" s="19" t="str">
        <f t="shared" si="42"/>
        <v>December</v>
      </c>
      <c r="E520" s="3" t="s">
        <v>1021</v>
      </c>
      <c r="F520" s="3" t="str">
        <f>VLOOKUP(E520,Customers!$A$2:$I$1001,2,0)</f>
        <v>Karl Imorts</v>
      </c>
      <c r="G520" s="3" t="str">
        <f>VLOOKUP(E520,Customers!$A$2:$I$1001,3,0)</f>
        <v>kimortsee@alexa.com</v>
      </c>
      <c r="H520" s="3" t="str">
        <f>VLOOKUP(E520,Customers!$A$2:$I$1001,4,0)</f>
        <v>+1 (321) 156-1160</v>
      </c>
      <c r="I520" s="25" t="str">
        <f>VLOOKUP(E520,Customers!$A$2:$I$1001,6,0)</f>
        <v>Melbourne</v>
      </c>
      <c r="J520" s="25" t="str">
        <f>VLOOKUP(E520,Customers!$A$2:$I$1001,7,0)</f>
        <v>United States</v>
      </c>
      <c r="K520" s="23" t="str">
        <f>VLOOKUP(E520,Customers!$A$2:$I$1001,9,0)</f>
        <v>No</v>
      </c>
      <c r="L520" s="4" t="s">
        <v>530</v>
      </c>
      <c r="M520" s="4" t="str">
        <f>VLOOKUP(L520,Products!$A$2:$G$49,2,0)</f>
        <v>Excelsa</v>
      </c>
      <c r="N520" s="4" t="str">
        <f>VLOOKUP(L520,Products!$A$2:$G$49,3,0)</f>
        <v>Dark</v>
      </c>
      <c r="O520" s="25">
        <v>5</v>
      </c>
      <c r="P520" s="5">
        <f>INDEX([1]products!$A$1:$G$49,MATCH([1]orders!$D520,[1]products!$A$1:$A$49,0),MATCH([1]orders!K$1,[1]products!$A$1:$G$1,0))</f>
        <v>2.5</v>
      </c>
      <c r="Q520" s="6">
        <f>INDEX([1]products!$A$1:$G$49,MATCH([1]orders!$D520,[1]products!$A$1:$A$49,0),MATCH([1]orders!L$1,[1]products!$A$1:$G$1,0))</f>
        <v>27.945</v>
      </c>
      <c r="R520" s="6">
        <f t="shared" si="40"/>
        <v>139.72499999999999</v>
      </c>
      <c r="S520">
        <f>VLOOKUP(L520,Products!$A$2:$G$49,7,0)</f>
        <v>3.07395</v>
      </c>
      <c r="T520">
        <f t="shared" si="43"/>
        <v>15.36975</v>
      </c>
      <c r="U520" s="33">
        <f t="shared" si="44"/>
        <v>11</v>
      </c>
    </row>
    <row r="521" spans="1:21" x14ac:dyDescent="0.25">
      <c r="A521" s="1" t="s">
        <v>1022</v>
      </c>
      <c r="B521" s="28">
        <v>44026</v>
      </c>
      <c r="C521" s="21" t="str">
        <f t="shared" si="41"/>
        <v>2020</v>
      </c>
      <c r="D521" s="19" t="str">
        <f t="shared" si="42"/>
        <v>July</v>
      </c>
      <c r="E521" s="3" t="s">
        <v>988</v>
      </c>
      <c r="F521" s="3" t="str">
        <f>VLOOKUP(E521,Customers!$A$2:$I$1001,2,0)</f>
        <v>Marja Urion</v>
      </c>
      <c r="G521" s="3" t="str">
        <f>VLOOKUP(E521,Customers!$A$2:$I$1001,3,0)</f>
        <v>murione5@alexa.com</v>
      </c>
      <c r="H521" s="3" t="str">
        <f>VLOOKUP(E521,Customers!$A$2:$I$1001,4,0)</f>
        <v>+353 (715) 989-0283</v>
      </c>
      <c r="I521" s="25" t="str">
        <f>VLOOKUP(E521,Customers!$A$2:$I$1001,6,0)</f>
        <v>Virginia</v>
      </c>
      <c r="J521" s="25" t="str">
        <f>VLOOKUP(E521,Customers!$A$2:$I$1001,7,0)</f>
        <v>Ireland</v>
      </c>
      <c r="K521" s="23" t="str">
        <f>VLOOKUP(E521,Customers!$A$2:$I$1001,9,0)</f>
        <v>Yes</v>
      </c>
      <c r="L521" s="4" t="s">
        <v>72</v>
      </c>
      <c r="M521" s="4" t="str">
        <f>VLOOKUP(L521,Products!$A$2:$G$49,2,0)</f>
        <v>Arabica</v>
      </c>
      <c r="N521" s="4" t="str">
        <f>VLOOKUP(L521,Products!$A$2:$G$49,3,0)</f>
        <v>Dark</v>
      </c>
      <c r="O521" s="25">
        <v>2</v>
      </c>
      <c r="P521" s="5">
        <f>INDEX([1]products!$A$1:$G$49,MATCH([1]orders!$D521,[1]products!$A$1:$A$49,0),MATCH([1]orders!K$1,[1]products!$A$1:$G$1,0))</f>
        <v>0.5</v>
      </c>
      <c r="Q521" s="6">
        <f>INDEX([1]products!$A$1:$G$49,MATCH([1]orders!$D521,[1]products!$A$1:$A$49,0),MATCH([1]orders!L$1,[1]products!$A$1:$G$1,0))</f>
        <v>5.97</v>
      </c>
      <c r="R521" s="6">
        <f t="shared" si="40"/>
        <v>11.94</v>
      </c>
      <c r="S521">
        <f>VLOOKUP(L521,Products!$A$2:$G$49,7,0)</f>
        <v>0.5373</v>
      </c>
      <c r="T521">
        <f t="shared" si="43"/>
        <v>1.0746</v>
      </c>
      <c r="U521" s="33">
        <f t="shared" si="44"/>
        <v>9.0000000000000018</v>
      </c>
    </row>
    <row r="522" spans="1:21" x14ac:dyDescent="0.25">
      <c r="A522" s="1" t="s">
        <v>1023</v>
      </c>
      <c r="B522" s="28">
        <v>44446</v>
      </c>
      <c r="C522" s="21" t="str">
        <f t="shared" si="41"/>
        <v>2021</v>
      </c>
      <c r="D522" s="19" t="str">
        <f t="shared" si="42"/>
        <v>September</v>
      </c>
      <c r="E522" s="3" t="s">
        <v>1024</v>
      </c>
      <c r="F522" s="3" t="str">
        <f>VLOOKUP(E522,Customers!$A$2:$I$1001,2,0)</f>
        <v>Mag Armistead</v>
      </c>
      <c r="G522" s="3" t="str">
        <f>VLOOKUP(E522,Customers!$A$2:$I$1001,3,0)</f>
        <v>marmisteadeg@blogtalkradio.com</v>
      </c>
      <c r="H522" s="3" t="str">
        <f>VLOOKUP(E522,Customers!$A$2:$I$1001,4,0)</f>
        <v>+1 (504) 611-3400</v>
      </c>
      <c r="I522" s="25" t="str">
        <f>VLOOKUP(E522,Customers!$A$2:$I$1001,6,0)</f>
        <v>New Orleans</v>
      </c>
      <c r="J522" s="25" t="str">
        <f>VLOOKUP(E522,Customers!$A$2:$I$1001,7,0)</f>
        <v>United States</v>
      </c>
      <c r="K522" s="23" t="str">
        <f>VLOOKUP(E522,Customers!$A$2:$I$1001,9,0)</f>
        <v>No</v>
      </c>
      <c r="L522" s="4" t="s">
        <v>38</v>
      </c>
      <c r="M522" s="4" t="str">
        <f>VLOOKUP(L522,Products!$A$2:$G$49,2,0)</f>
        <v>Liberica</v>
      </c>
      <c r="N522" s="4" t="str">
        <f>VLOOKUP(L522,Products!$A$2:$G$49,3,0)</f>
        <v>Dark</v>
      </c>
      <c r="O522" s="25">
        <v>1</v>
      </c>
      <c r="P522" s="5">
        <f>INDEX([1]products!$A$1:$G$49,MATCH([1]orders!$D522,[1]products!$A$1:$A$49,0),MATCH([1]orders!K$1,[1]products!$A$1:$G$1,0))</f>
        <v>0.2</v>
      </c>
      <c r="Q522" s="6">
        <f>INDEX([1]products!$A$1:$G$49,MATCH([1]orders!$D522,[1]products!$A$1:$A$49,0),MATCH([1]orders!L$1,[1]products!$A$1:$G$1,0))</f>
        <v>3.8849999999999998</v>
      </c>
      <c r="R522" s="6">
        <f t="shared" si="40"/>
        <v>3.8849999999999998</v>
      </c>
      <c r="S522">
        <f>VLOOKUP(L522,Products!$A$2:$G$49,7,0)</f>
        <v>0.50505</v>
      </c>
      <c r="T522">
        <f t="shared" si="43"/>
        <v>0.50505</v>
      </c>
      <c r="U522" s="33">
        <f t="shared" si="44"/>
        <v>13</v>
      </c>
    </row>
    <row r="523" spans="1:21" x14ac:dyDescent="0.25">
      <c r="A523" s="1" t="s">
        <v>1023</v>
      </c>
      <c r="B523" s="28">
        <v>44446</v>
      </c>
      <c r="C523" s="21" t="str">
        <f t="shared" si="41"/>
        <v>2021</v>
      </c>
      <c r="D523" s="19" t="str">
        <f t="shared" si="42"/>
        <v>September</v>
      </c>
      <c r="E523" s="3" t="s">
        <v>1024</v>
      </c>
      <c r="F523" s="3" t="str">
        <f>VLOOKUP(E523,Customers!$A$2:$I$1001,2,0)</f>
        <v>Mag Armistead</v>
      </c>
      <c r="G523" s="3" t="str">
        <f>VLOOKUP(E523,Customers!$A$2:$I$1001,3,0)</f>
        <v>marmisteadeg@blogtalkradio.com</v>
      </c>
      <c r="H523" s="3" t="str">
        <f>VLOOKUP(E523,Customers!$A$2:$I$1001,4,0)</f>
        <v>+1 (504) 611-3400</v>
      </c>
      <c r="I523" s="25" t="str">
        <f>VLOOKUP(E523,Customers!$A$2:$I$1001,6,0)</f>
        <v>New Orleans</v>
      </c>
      <c r="J523" s="25" t="str">
        <f>VLOOKUP(E523,Customers!$A$2:$I$1001,7,0)</f>
        <v>United States</v>
      </c>
      <c r="K523" s="23" t="str">
        <f>VLOOKUP(E523,Customers!$A$2:$I$1001,9,0)</f>
        <v>No</v>
      </c>
      <c r="L523" s="4" t="s">
        <v>2</v>
      </c>
      <c r="M523" s="4" t="str">
        <f>VLOOKUP(L523,Products!$A$2:$G$49,2,0)</f>
        <v>Robusta</v>
      </c>
      <c r="N523" s="4" t="str">
        <f>VLOOKUP(L523,Products!$A$2:$G$49,3,0)</f>
        <v>Medium</v>
      </c>
      <c r="O523" s="25">
        <v>4</v>
      </c>
      <c r="P523" s="5">
        <f>INDEX([1]products!$A$1:$G$49,MATCH([1]orders!$D523,[1]products!$A$1:$A$49,0),MATCH([1]orders!K$1,[1]products!$A$1:$G$1,0))</f>
        <v>1</v>
      </c>
      <c r="Q523" s="6">
        <f>INDEX([1]products!$A$1:$G$49,MATCH([1]orders!$D523,[1]products!$A$1:$A$49,0),MATCH([1]orders!L$1,[1]products!$A$1:$G$1,0))</f>
        <v>9.9499999999999993</v>
      </c>
      <c r="R523" s="6">
        <f t="shared" si="40"/>
        <v>39.799999999999997</v>
      </c>
      <c r="S523">
        <f>VLOOKUP(L523,Products!$A$2:$G$49,7,0)</f>
        <v>0.59699999999999998</v>
      </c>
      <c r="T523">
        <f t="shared" si="43"/>
        <v>2.3879999999999999</v>
      </c>
      <c r="U523" s="33">
        <f t="shared" si="44"/>
        <v>6.0000000000000009</v>
      </c>
    </row>
    <row r="524" spans="1:21" x14ac:dyDescent="0.25">
      <c r="A524" s="1" t="s">
        <v>1025</v>
      </c>
      <c r="B524" s="28">
        <v>43625</v>
      </c>
      <c r="C524" s="21" t="str">
        <f t="shared" si="41"/>
        <v>2019</v>
      </c>
      <c r="D524" s="19" t="str">
        <f t="shared" si="42"/>
        <v>June</v>
      </c>
      <c r="E524" s="3" t="s">
        <v>1026</v>
      </c>
      <c r="F524" s="3" t="str">
        <f>VLOOKUP(E524,Customers!$A$2:$I$1001,2,0)</f>
        <v>Vasili Upstone</v>
      </c>
      <c r="G524" s="3" t="str">
        <f>VLOOKUP(E524,Customers!$A$2:$I$1001,3,0)</f>
        <v>vupstoneei@google.pl</v>
      </c>
      <c r="H524" s="3" t="str">
        <f>VLOOKUP(E524,Customers!$A$2:$I$1001,4,0)</f>
        <v>+1 (785) 366-9983</v>
      </c>
      <c r="I524" s="25" t="str">
        <f>VLOOKUP(E524,Customers!$A$2:$I$1001,6,0)</f>
        <v>Topeka</v>
      </c>
      <c r="J524" s="25" t="str">
        <f>VLOOKUP(E524,Customers!$A$2:$I$1001,7,0)</f>
        <v>United States</v>
      </c>
      <c r="K524" s="23" t="str">
        <f>VLOOKUP(E524,Customers!$A$2:$I$1001,9,0)</f>
        <v>No</v>
      </c>
      <c r="L524" s="4" t="s">
        <v>22</v>
      </c>
      <c r="M524" s="4" t="str">
        <f>VLOOKUP(L524,Products!$A$2:$G$49,2,0)</f>
        <v>Robusta</v>
      </c>
      <c r="N524" s="4" t="str">
        <f>VLOOKUP(L524,Products!$A$2:$G$49,3,0)</f>
        <v>Medium</v>
      </c>
      <c r="O524" s="25">
        <v>5</v>
      </c>
      <c r="P524" s="5">
        <f>INDEX([1]products!$A$1:$G$49,MATCH([1]orders!$D524,[1]products!$A$1:$A$49,0),MATCH([1]orders!K$1,[1]products!$A$1:$G$1,0))</f>
        <v>0.5</v>
      </c>
      <c r="Q524" s="6">
        <f>INDEX([1]products!$A$1:$G$49,MATCH([1]orders!$D524,[1]products!$A$1:$A$49,0),MATCH([1]orders!L$1,[1]products!$A$1:$G$1,0))</f>
        <v>5.97</v>
      </c>
      <c r="R524" s="6">
        <f t="shared" si="40"/>
        <v>29.849999999999998</v>
      </c>
      <c r="S524">
        <f>VLOOKUP(L524,Products!$A$2:$G$49,7,0)</f>
        <v>0.35819999999999996</v>
      </c>
      <c r="T524">
        <f t="shared" si="43"/>
        <v>1.7909999999999999</v>
      </c>
      <c r="U524" s="33">
        <f t="shared" si="44"/>
        <v>6.0000000000000009</v>
      </c>
    </row>
    <row r="525" spans="1:21" x14ac:dyDescent="0.25">
      <c r="A525" s="1" t="s">
        <v>1027</v>
      </c>
      <c r="B525" s="28">
        <v>44129</v>
      </c>
      <c r="C525" s="21" t="str">
        <f t="shared" si="41"/>
        <v>2020</v>
      </c>
      <c r="D525" s="19" t="str">
        <f t="shared" si="42"/>
        <v>October</v>
      </c>
      <c r="E525" s="3" t="s">
        <v>1028</v>
      </c>
      <c r="F525" s="3" t="str">
        <f>VLOOKUP(E525,Customers!$A$2:$I$1001,2,0)</f>
        <v>Berty Beelby</v>
      </c>
      <c r="G525" s="3" t="str">
        <f>VLOOKUP(E525,Customers!$A$2:$I$1001,3,0)</f>
        <v>bbeelbyej@rediff.com</v>
      </c>
      <c r="H525" s="3" t="str">
        <f>VLOOKUP(E525,Customers!$A$2:$I$1001,4,0)</f>
        <v>+353 (537) 360-4393</v>
      </c>
      <c r="I525" s="25" t="str">
        <f>VLOOKUP(E525,Customers!$A$2:$I$1001,6,0)</f>
        <v>Lucan</v>
      </c>
      <c r="J525" s="25" t="str">
        <f>VLOOKUP(E525,Customers!$A$2:$I$1001,7,0)</f>
        <v>Ireland</v>
      </c>
      <c r="K525" s="23" t="str">
        <f>VLOOKUP(E525,Customers!$A$2:$I$1001,9,0)</f>
        <v>No</v>
      </c>
      <c r="L525" s="4" t="s">
        <v>109</v>
      </c>
      <c r="M525" s="4" t="str">
        <f>VLOOKUP(L525,Products!$A$2:$G$49,2,0)</f>
        <v>Liberica</v>
      </c>
      <c r="N525" s="4" t="str">
        <f>VLOOKUP(L525,Products!$A$2:$G$49,3,0)</f>
        <v>Dark</v>
      </c>
      <c r="O525" s="25">
        <v>1</v>
      </c>
      <c r="P525" s="5">
        <f>INDEX([1]products!$A$1:$G$49,MATCH([1]orders!$D525,[1]products!$A$1:$A$49,0),MATCH([1]orders!K$1,[1]products!$A$1:$G$1,0))</f>
        <v>2.5</v>
      </c>
      <c r="Q525" s="6">
        <f>INDEX([1]products!$A$1:$G$49,MATCH([1]orders!$D525,[1]products!$A$1:$A$49,0),MATCH([1]orders!L$1,[1]products!$A$1:$G$1,0))</f>
        <v>29.784999999999997</v>
      </c>
      <c r="R525" s="6">
        <f t="shared" si="40"/>
        <v>29.784999999999997</v>
      </c>
      <c r="S525">
        <f>VLOOKUP(L525,Products!$A$2:$G$49,7,0)</f>
        <v>3.8720499999999998</v>
      </c>
      <c r="T525">
        <f t="shared" si="43"/>
        <v>3.8720499999999998</v>
      </c>
      <c r="U525" s="33">
        <f t="shared" si="44"/>
        <v>13</v>
      </c>
    </row>
    <row r="526" spans="1:21" x14ac:dyDescent="0.25">
      <c r="A526" s="1" t="s">
        <v>1029</v>
      </c>
      <c r="B526" s="28">
        <v>44255</v>
      </c>
      <c r="C526" s="21" t="str">
        <f t="shared" si="41"/>
        <v>2021</v>
      </c>
      <c r="D526" s="19" t="str">
        <f t="shared" si="42"/>
        <v>February</v>
      </c>
      <c r="E526" s="3" t="s">
        <v>1030</v>
      </c>
      <c r="F526" s="3" t="str">
        <f>VLOOKUP(E526,Customers!$A$2:$I$1001,2,0)</f>
        <v>Erny Stenyng</v>
      </c>
      <c r="G526" s="3" t="str">
        <f>VLOOKUP(E526,Customers!$A$2:$I$1001,3,0)</f>
        <v>UNKNOWN</v>
      </c>
      <c r="H526" s="3" t="str">
        <f>VLOOKUP(E526,Customers!$A$2:$I$1001,4,0)</f>
        <v>+1 (217) 450-8384</v>
      </c>
      <c r="I526" s="25" t="str">
        <f>VLOOKUP(E526,Customers!$A$2:$I$1001,6,0)</f>
        <v>Springfield</v>
      </c>
      <c r="J526" s="25" t="str">
        <f>VLOOKUP(E526,Customers!$A$2:$I$1001,7,0)</f>
        <v>United States</v>
      </c>
      <c r="K526" s="23" t="str">
        <f>VLOOKUP(E526,Customers!$A$2:$I$1001,9,0)</f>
        <v>No</v>
      </c>
      <c r="L526" s="4" t="s">
        <v>104</v>
      </c>
      <c r="M526" s="4" t="str">
        <f>VLOOKUP(L526,Products!$A$2:$G$49,2,0)</f>
        <v>Liberica</v>
      </c>
      <c r="N526" s="4" t="str">
        <f>VLOOKUP(L526,Products!$A$2:$G$49,3,0)</f>
        <v>Light</v>
      </c>
      <c r="O526" s="25">
        <v>2</v>
      </c>
      <c r="P526" s="5">
        <f>INDEX([1]products!$A$1:$G$49,MATCH([1]orders!$D526,[1]products!$A$1:$A$49,0),MATCH([1]orders!K$1,[1]products!$A$1:$G$1,0))</f>
        <v>2.5</v>
      </c>
      <c r="Q526" s="6">
        <f>INDEX([1]products!$A$1:$G$49,MATCH([1]orders!$D526,[1]products!$A$1:$A$49,0),MATCH([1]orders!L$1,[1]products!$A$1:$G$1,0))</f>
        <v>36.454999999999998</v>
      </c>
      <c r="R526" s="6">
        <f t="shared" si="40"/>
        <v>72.91</v>
      </c>
      <c r="S526">
        <f>VLOOKUP(L526,Products!$A$2:$G$49,7,0)</f>
        <v>4.7391499999999995</v>
      </c>
      <c r="T526">
        <f t="shared" si="43"/>
        <v>9.4782999999999991</v>
      </c>
      <c r="U526" s="33">
        <f t="shared" si="44"/>
        <v>13</v>
      </c>
    </row>
    <row r="527" spans="1:21" x14ac:dyDescent="0.25">
      <c r="A527" s="1" t="s">
        <v>1031</v>
      </c>
      <c r="B527" s="28">
        <v>44038</v>
      </c>
      <c r="C527" s="21" t="str">
        <f t="shared" si="41"/>
        <v>2020</v>
      </c>
      <c r="D527" s="19" t="str">
        <f t="shared" si="42"/>
        <v>July</v>
      </c>
      <c r="E527" s="3" t="s">
        <v>1032</v>
      </c>
      <c r="F527" s="3" t="str">
        <f>VLOOKUP(E527,Customers!$A$2:$I$1001,2,0)</f>
        <v>Edin Yantsurev</v>
      </c>
      <c r="G527" s="3" t="str">
        <f>VLOOKUP(E527,Customers!$A$2:$I$1001,3,0)</f>
        <v>UNKNOWN</v>
      </c>
      <c r="H527" s="3" t="str">
        <f>VLOOKUP(E527,Customers!$A$2:$I$1001,4,0)</f>
        <v>+1 (856) 793-3491</v>
      </c>
      <c r="I527" s="25" t="str">
        <f>VLOOKUP(E527,Customers!$A$2:$I$1001,6,0)</f>
        <v>Camden</v>
      </c>
      <c r="J527" s="25" t="str">
        <f>VLOOKUP(E527,Customers!$A$2:$I$1001,7,0)</f>
        <v>United States</v>
      </c>
      <c r="K527" s="23" t="str">
        <f>VLOOKUP(E527,Customers!$A$2:$I$1001,9,0)</f>
        <v>Yes</v>
      </c>
      <c r="L527" s="4" t="s">
        <v>101</v>
      </c>
      <c r="M527" s="4" t="str">
        <f>VLOOKUP(L527,Products!$A$2:$G$49,2,0)</f>
        <v>Robusta</v>
      </c>
      <c r="N527" s="4" t="str">
        <f>VLOOKUP(L527,Products!$A$2:$G$49,3,0)</f>
        <v>Dark</v>
      </c>
      <c r="O527" s="25">
        <v>5</v>
      </c>
      <c r="P527" s="5">
        <f>INDEX([1]products!$A$1:$G$49,MATCH([1]orders!$D527,[1]products!$A$1:$A$49,0),MATCH([1]orders!K$1,[1]products!$A$1:$G$1,0))</f>
        <v>0.2</v>
      </c>
      <c r="Q527" s="6">
        <f>INDEX([1]products!$A$1:$G$49,MATCH([1]orders!$D527,[1]products!$A$1:$A$49,0),MATCH([1]orders!L$1,[1]products!$A$1:$G$1,0))</f>
        <v>2.6849999999999996</v>
      </c>
      <c r="R527" s="6">
        <f t="shared" si="40"/>
        <v>13.424999999999997</v>
      </c>
      <c r="S527">
        <f>VLOOKUP(L527,Products!$A$2:$G$49,7,0)</f>
        <v>0.16109999999999997</v>
      </c>
      <c r="T527">
        <f t="shared" si="43"/>
        <v>0.80549999999999988</v>
      </c>
      <c r="U527" s="33">
        <f t="shared" si="44"/>
        <v>6.0000000000000009</v>
      </c>
    </row>
    <row r="528" spans="1:21" x14ac:dyDescent="0.25">
      <c r="A528" s="1" t="s">
        <v>1033</v>
      </c>
      <c r="B528" s="28">
        <v>44717</v>
      </c>
      <c r="C528" s="21" t="str">
        <f t="shared" si="41"/>
        <v>2022</v>
      </c>
      <c r="D528" s="19" t="str">
        <f t="shared" si="42"/>
        <v>June</v>
      </c>
      <c r="E528" s="3" t="s">
        <v>1034</v>
      </c>
      <c r="F528" s="3" t="str">
        <f>VLOOKUP(E528,Customers!$A$2:$I$1001,2,0)</f>
        <v>Webb Speechly</v>
      </c>
      <c r="G528" s="3" t="str">
        <f>VLOOKUP(E528,Customers!$A$2:$I$1001,3,0)</f>
        <v>wspeechlyem@amazon.com</v>
      </c>
      <c r="H528" s="3" t="str">
        <f>VLOOKUP(E528,Customers!$A$2:$I$1001,4,0)</f>
        <v>+1 (206) 440-5750</v>
      </c>
      <c r="I528" s="25" t="str">
        <f>VLOOKUP(E528,Customers!$A$2:$I$1001,6,0)</f>
        <v>Seattle</v>
      </c>
      <c r="J528" s="25" t="str">
        <f>VLOOKUP(E528,Customers!$A$2:$I$1001,7,0)</f>
        <v>United States</v>
      </c>
      <c r="K528" s="23" t="str">
        <f>VLOOKUP(E528,Customers!$A$2:$I$1001,9,0)</f>
        <v>Yes</v>
      </c>
      <c r="L528" s="4" t="s">
        <v>112</v>
      </c>
      <c r="M528" s="4" t="str">
        <f>VLOOKUP(L528,Products!$A$2:$G$49,2,0)</f>
        <v>Excelsa</v>
      </c>
      <c r="N528" s="4" t="str">
        <f>VLOOKUP(L528,Products!$A$2:$G$49,3,0)</f>
        <v>Medium</v>
      </c>
      <c r="O528" s="25">
        <v>4</v>
      </c>
      <c r="P528" s="5">
        <f>INDEX([1]products!$A$1:$G$49,MATCH([1]orders!$D528,[1]products!$A$1:$A$49,0),MATCH([1]orders!K$1,[1]products!$A$1:$G$1,0))</f>
        <v>2.5</v>
      </c>
      <c r="Q528" s="6">
        <f>INDEX([1]products!$A$1:$G$49,MATCH([1]orders!$D528,[1]products!$A$1:$A$49,0),MATCH([1]orders!L$1,[1]products!$A$1:$G$1,0))</f>
        <v>31.624999999999996</v>
      </c>
      <c r="R528" s="6">
        <f t="shared" si="40"/>
        <v>126.49999999999999</v>
      </c>
      <c r="S528">
        <f>VLOOKUP(L528,Products!$A$2:$G$49,7,0)</f>
        <v>3.4787499999999998</v>
      </c>
      <c r="T528">
        <f t="shared" si="43"/>
        <v>13.914999999999999</v>
      </c>
      <c r="U528" s="33">
        <f t="shared" si="44"/>
        <v>11</v>
      </c>
    </row>
    <row r="529" spans="1:21" x14ac:dyDescent="0.25">
      <c r="A529" s="1" t="s">
        <v>1035</v>
      </c>
      <c r="B529" s="28">
        <v>43517</v>
      </c>
      <c r="C529" s="21" t="str">
        <f t="shared" si="41"/>
        <v>2019</v>
      </c>
      <c r="D529" s="19" t="str">
        <f t="shared" si="42"/>
        <v>February</v>
      </c>
      <c r="E529" s="3" t="s">
        <v>1036</v>
      </c>
      <c r="F529" s="3" t="str">
        <f>VLOOKUP(E529,Customers!$A$2:$I$1001,2,0)</f>
        <v>Irvine Phillpot</v>
      </c>
      <c r="G529" s="3" t="str">
        <f>VLOOKUP(E529,Customers!$A$2:$I$1001,3,0)</f>
        <v>iphillpoten@buzzfeed.com</v>
      </c>
      <c r="H529" s="3" t="str">
        <f>VLOOKUP(E529,Customers!$A$2:$I$1001,4,0)</f>
        <v>+44 (610) 826-3107</v>
      </c>
      <c r="I529" s="25" t="str">
        <f>VLOOKUP(E529,Customers!$A$2:$I$1001,6,0)</f>
        <v>Wootton</v>
      </c>
      <c r="J529" s="25" t="str">
        <f>VLOOKUP(E529,Customers!$A$2:$I$1001,7,0)</f>
        <v>United Kingdom</v>
      </c>
      <c r="K529" s="23" t="str">
        <f>VLOOKUP(E529,Customers!$A$2:$I$1001,9,0)</f>
        <v>No</v>
      </c>
      <c r="L529" s="4" t="s">
        <v>3</v>
      </c>
      <c r="M529" s="4" t="str">
        <f>VLOOKUP(L529,Products!$A$2:$G$49,2,0)</f>
        <v>Excelsa</v>
      </c>
      <c r="N529" s="4" t="str">
        <f>VLOOKUP(L529,Products!$A$2:$G$49,3,0)</f>
        <v>Medium</v>
      </c>
      <c r="O529" s="25">
        <v>5</v>
      </c>
      <c r="P529" s="5">
        <f>INDEX([1]products!$A$1:$G$49,MATCH([1]orders!$D529,[1]products!$A$1:$A$49,0),MATCH([1]orders!K$1,[1]products!$A$1:$G$1,0))</f>
        <v>0.5</v>
      </c>
      <c r="Q529" s="6">
        <f>INDEX([1]products!$A$1:$G$49,MATCH([1]orders!$D529,[1]products!$A$1:$A$49,0),MATCH([1]orders!L$1,[1]products!$A$1:$G$1,0))</f>
        <v>8.25</v>
      </c>
      <c r="R529" s="6">
        <f t="shared" si="40"/>
        <v>41.25</v>
      </c>
      <c r="S529">
        <f>VLOOKUP(L529,Products!$A$2:$G$49,7,0)</f>
        <v>0.90749999999999997</v>
      </c>
      <c r="T529">
        <f t="shared" si="43"/>
        <v>4.5374999999999996</v>
      </c>
      <c r="U529" s="33">
        <f t="shared" si="44"/>
        <v>10.999999999999998</v>
      </c>
    </row>
    <row r="530" spans="1:21" x14ac:dyDescent="0.25">
      <c r="A530" s="1" t="s">
        <v>1037</v>
      </c>
      <c r="B530" s="28">
        <v>43926</v>
      </c>
      <c r="C530" s="21" t="str">
        <f t="shared" si="41"/>
        <v>2020</v>
      </c>
      <c r="D530" s="19" t="str">
        <f t="shared" si="42"/>
        <v>April</v>
      </c>
      <c r="E530" s="3" t="s">
        <v>1038</v>
      </c>
      <c r="F530" s="3" t="str">
        <f>VLOOKUP(E530,Customers!$A$2:$I$1001,2,0)</f>
        <v>Lem Pennacci</v>
      </c>
      <c r="G530" s="3" t="str">
        <f>VLOOKUP(E530,Customers!$A$2:$I$1001,3,0)</f>
        <v>lpennaccieo@statcounter.com</v>
      </c>
      <c r="H530" s="3" t="str">
        <f>VLOOKUP(E530,Customers!$A$2:$I$1001,4,0)</f>
        <v>+1 (254) 597-0519</v>
      </c>
      <c r="I530" s="25" t="str">
        <f>VLOOKUP(E530,Customers!$A$2:$I$1001,6,0)</f>
        <v>Waco</v>
      </c>
      <c r="J530" s="25" t="str">
        <f>VLOOKUP(E530,Customers!$A$2:$I$1001,7,0)</f>
        <v>United States</v>
      </c>
      <c r="K530" s="23" t="str">
        <f>VLOOKUP(E530,Customers!$A$2:$I$1001,9,0)</f>
        <v>No</v>
      </c>
      <c r="L530" s="4" t="s">
        <v>176</v>
      </c>
      <c r="M530" s="4" t="str">
        <f>VLOOKUP(L530,Products!$A$2:$G$49,2,0)</f>
        <v>Excelsa</v>
      </c>
      <c r="N530" s="4" t="str">
        <f>VLOOKUP(L530,Products!$A$2:$G$49,3,0)</f>
        <v>Light</v>
      </c>
      <c r="O530" s="25">
        <v>6</v>
      </c>
      <c r="P530" s="5">
        <f>INDEX([1]products!$A$1:$G$49,MATCH([1]orders!$D530,[1]products!$A$1:$A$49,0),MATCH([1]orders!K$1,[1]products!$A$1:$G$1,0))</f>
        <v>0.5</v>
      </c>
      <c r="Q530" s="6">
        <f>INDEX([1]products!$A$1:$G$49,MATCH([1]orders!$D530,[1]products!$A$1:$A$49,0),MATCH([1]orders!L$1,[1]products!$A$1:$G$1,0))</f>
        <v>8.91</v>
      </c>
      <c r="R530" s="6">
        <f t="shared" si="40"/>
        <v>53.46</v>
      </c>
      <c r="S530">
        <f>VLOOKUP(L530,Products!$A$2:$G$49,7,0)</f>
        <v>0.98009999999999997</v>
      </c>
      <c r="T530">
        <f t="shared" si="43"/>
        <v>5.8805999999999994</v>
      </c>
      <c r="U530" s="33">
        <f t="shared" si="44"/>
        <v>10.999999999999998</v>
      </c>
    </row>
    <row r="531" spans="1:21" x14ac:dyDescent="0.25">
      <c r="A531" s="1" t="s">
        <v>1039</v>
      </c>
      <c r="B531" s="28">
        <v>43475</v>
      </c>
      <c r="C531" s="21" t="str">
        <f t="shared" si="41"/>
        <v>2019</v>
      </c>
      <c r="D531" s="19" t="str">
        <f t="shared" si="42"/>
        <v>January</v>
      </c>
      <c r="E531" s="3" t="s">
        <v>1040</v>
      </c>
      <c r="F531" s="3" t="str">
        <f>VLOOKUP(E531,Customers!$A$2:$I$1001,2,0)</f>
        <v>Starr Arpin</v>
      </c>
      <c r="G531" s="3" t="str">
        <f>VLOOKUP(E531,Customers!$A$2:$I$1001,3,0)</f>
        <v>sarpinep@moonfruit.com</v>
      </c>
      <c r="H531" s="3" t="str">
        <f>VLOOKUP(E531,Customers!$A$2:$I$1001,4,0)</f>
        <v>+1 (804) 588-4160</v>
      </c>
      <c r="I531" s="25" t="str">
        <f>VLOOKUP(E531,Customers!$A$2:$I$1001,6,0)</f>
        <v>Richmond</v>
      </c>
      <c r="J531" s="25" t="str">
        <f>VLOOKUP(E531,Customers!$A$2:$I$1001,7,0)</f>
        <v>United States</v>
      </c>
      <c r="K531" s="23" t="str">
        <f>VLOOKUP(E531,Customers!$A$2:$I$1001,9,0)</f>
        <v>No</v>
      </c>
      <c r="L531" s="4" t="s">
        <v>2</v>
      </c>
      <c r="M531" s="4" t="str">
        <f>VLOOKUP(L531,Products!$A$2:$G$49,2,0)</f>
        <v>Robusta</v>
      </c>
      <c r="N531" s="4" t="str">
        <f>VLOOKUP(L531,Products!$A$2:$G$49,3,0)</f>
        <v>Medium</v>
      </c>
      <c r="O531" s="25">
        <v>6</v>
      </c>
      <c r="P531" s="5">
        <f>INDEX([1]products!$A$1:$G$49,MATCH([1]orders!$D531,[1]products!$A$1:$A$49,0),MATCH([1]orders!K$1,[1]products!$A$1:$G$1,0))</f>
        <v>1</v>
      </c>
      <c r="Q531" s="6">
        <f>INDEX([1]products!$A$1:$G$49,MATCH([1]orders!$D531,[1]products!$A$1:$A$49,0),MATCH([1]orders!L$1,[1]products!$A$1:$G$1,0))</f>
        <v>9.9499999999999993</v>
      </c>
      <c r="R531" s="6">
        <f t="shared" si="40"/>
        <v>59.699999999999996</v>
      </c>
      <c r="S531">
        <f>VLOOKUP(L531,Products!$A$2:$G$49,7,0)</f>
        <v>0.59699999999999998</v>
      </c>
      <c r="T531">
        <f t="shared" si="43"/>
        <v>3.5819999999999999</v>
      </c>
      <c r="U531" s="33">
        <f t="shared" si="44"/>
        <v>6.0000000000000009</v>
      </c>
    </row>
    <row r="532" spans="1:21" x14ac:dyDescent="0.25">
      <c r="A532" s="1" t="s">
        <v>1041</v>
      </c>
      <c r="B532" s="28">
        <v>44663</v>
      </c>
      <c r="C532" s="21" t="str">
        <f t="shared" si="41"/>
        <v>2022</v>
      </c>
      <c r="D532" s="19" t="str">
        <f t="shared" si="42"/>
        <v>April</v>
      </c>
      <c r="E532" s="3" t="s">
        <v>1042</v>
      </c>
      <c r="F532" s="3" t="str">
        <f>VLOOKUP(E532,Customers!$A$2:$I$1001,2,0)</f>
        <v>Donny Fries</v>
      </c>
      <c r="G532" s="3" t="str">
        <f>VLOOKUP(E532,Customers!$A$2:$I$1001,3,0)</f>
        <v>dfrieseq@cargocollective.com</v>
      </c>
      <c r="H532" s="3" t="str">
        <f>VLOOKUP(E532,Customers!$A$2:$I$1001,4,0)</f>
        <v>+1 (419) 138-9171</v>
      </c>
      <c r="I532" s="25" t="str">
        <f>VLOOKUP(E532,Customers!$A$2:$I$1001,6,0)</f>
        <v>Toledo</v>
      </c>
      <c r="J532" s="25" t="str">
        <f>VLOOKUP(E532,Customers!$A$2:$I$1001,7,0)</f>
        <v>United States</v>
      </c>
      <c r="K532" s="23" t="str">
        <f>VLOOKUP(E532,Customers!$A$2:$I$1001,9,0)</f>
        <v>No</v>
      </c>
      <c r="L532" s="4" t="s">
        <v>2</v>
      </c>
      <c r="M532" s="4" t="str">
        <f>VLOOKUP(L532,Products!$A$2:$G$49,2,0)</f>
        <v>Robusta</v>
      </c>
      <c r="N532" s="4" t="str">
        <f>VLOOKUP(L532,Products!$A$2:$G$49,3,0)</f>
        <v>Medium</v>
      </c>
      <c r="O532" s="25">
        <v>6</v>
      </c>
      <c r="P532" s="5">
        <f>INDEX([1]products!$A$1:$G$49,MATCH([1]orders!$D532,[1]products!$A$1:$A$49,0),MATCH([1]orders!K$1,[1]products!$A$1:$G$1,0))</f>
        <v>1</v>
      </c>
      <c r="Q532" s="6">
        <f>INDEX([1]products!$A$1:$G$49,MATCH([1]orders!$D532,[1]products!$A$1:$A$49,0),MATCH([1]orders!L$1,[1]products!$A$1:$G$1,0))</f>
        <v>9.9499999999999993</v>
      </c>
      <c r="R532" s="6">
        <f t="shared" si="40"/>
        <v>59.699999999999996</v>
      </c>
      <c r="S532">
        <f>VLOOKUP(L532,Products!$A$2:$G$49,7,0)</f>
        <v>0.59699999999999998</v>
      </c>
      <c r="T532">
        <f t="shared" si="43"/>
        <v>3.5819999999999999</v>
      </c>
      <c r="U532" s="33">
        <f t="shared" si="44"/>
        <v>6.0000000000000009</v>
      </c>
    </row>
    <row r="533" spans="1:21" x14ac:dyDescent="0.25">
      <c r="A533" s="1" t="s">
        <v>1043</v>
      </c>
      <c r="B533" s="28">
        <v>44591</v>
      </c>
      <c r="C533" s="21" t="str">
        <f t="shared" si="41"/>
        <v>2022</v>
      </c>
      <c r="D533" s="19" t="str">
        <f t="shared" si="42"/>
        <v>January</v>
      </c>
      <c r="E533" s="3" t="s">
        <v>1044</v>
      </c>
      <c r="F533" s="3" t="str">
        <f>VLOOKUP(E533,Customers!$A$2:$I$1001,2,0)</f>
        <v>Rana Sharer</v>
      </c>
      <c r="G533" s="3" t="str">
        <f>VLOOKUP(E533,Customers!$A$2:$I$1001,3,0)</f>
        <v>rsharerer@flavors.me</v>
      </c>
      <c r="H533" s="3" t="str">
        <f>VLOOKUP(E533,Customers!$A$2:$I$1001,4,0)</f>
        <v>+1 (304) 632-1951</v>
      </c>
      <c r="I533" s="25" t="str">
        <f>VLOOKUP(E533,Customers!$A$2:$I$1001,6,0)</f>
        <v>Huntington</v>
      </c>
      <c r="J533" s="25" t="str">
        <f>VLOOKUP(E533,Customers!$A$2:$I$1001,7,0)</f>
        <v>United States</v>
      </c>
      <c r="K533" s="23" t="str">
        <f>VLOOKUP(E533,Customers!$A$2:$I$1001,9,0)</f>
        <v>No</v>
      </c>
      <c r="L533" s="4" t="s">
        <v>179</v>
      </c>
      <c r="M533" s="4" t="str">
        <f>VLOOKUP(L533,Products!$A$2:$G$49,2,0)</f>
        <v>Robusta</v>
      </c>
      <c r="N533" s="4" t="str">
        <f>VLOOKUP(L533,Products!$A$2:$G$49,3,0)</f>
        <v>Dark</v>
      </c>
      <c r="O533" s="25">
        <v>5</v>
      </c>
      <c r="P533" s="5">
        <f>INDEX([1]products!$A$1:$G$49,MATCH([1]orders!$D533,[1]products!$A$1:$A$49,0),MATCH([1]orders!K$1,[1]products!$A$1:$G$1,0))</f>
        <v>1</v>
      </c>
      <c r="Q533" s="6">
        <f>INDEX([1]products!$A$1:$G$49,MATCH([1]orders!$D533,[1]products!$A$1:$A$49,0),MATCH([1]orders!L$1,[1]products!$A$1:$G$1,0))</f>
        <v>8.9499999999999993</v>
      </c>
      <c r="R533" s="6">
        <f t="shared" si="40"/>
        <v>44.75</v>
      </c>
      <c r="S533">
        <f>VLOOKUP(L533,Products!$A$2:$G$49,7,0)</f>
        <v>0.53699999999999992</v>
      </c>
      <c r="T533">
        <f t="shared" si="43"/>
        <v>2.6849999999999996</v>
      </c>
      <c r="U533" s="33">
        <f t="shared" si="44"/>
        <v>5.9999999999999991</v>
      </c>
    </row>
    <row r="534" spans="1:21" x14ac:dyDescent="0.25">
      <c r="A534" s="1" t="s">
        <v>1045</v>
      </c>
      <c r="B534" s="28">
        <v>44330</v>
      </c>
      <c r="C534" s="21" t="str">
        <f t="shared" si="41"/>
        <v>2021</v>
      </c>
      <c r="D534" s="19" t="str">
        <f t="shared" si="42"/>
        <v>May</v>
      </c>
      <c r="E534" s="3" t="s">
        <v>1046</v>
      </c>
      <c r="F534" s="3" t="str">
        <f>VLOOKUP(E534,Customers!$A$2:$I$1001,2,0)</f>
        <v>Nannie Naseby</v>
      </c>
      <c r="G534" s="3" t="str">
        <f>VLOOKUP(E534,Customers!$A$2:$I$1001,3,0)</f>
        <v>nnasebyes@umich.edu</v>
      </c>
      <c r="H534" s="3" t="str">
        <f>VLOOKUP(E534,Customers!$A$2:$I$1001,4,0)</f>
        <v>+1 (407) 225-7234</v>
      </c>
      <c r="I534" s="25" t="str">
        <f>VLOOKUP(E534,Customers!$A$2:$I$1001,6,0)</f>
        <v>Winter Haven</v>
      </c>
      <c r="J534" s="25" t="str">
        <f>VLOOKUP(E534,Customers!$A$2:$I$1001,7,0)</f>
        <v>United States</v>
      </c>
      <c r="K534" s="23" t="str">
        <f>VLOOKUP(E534,Customers!$A$2:$I$1001,9,0)</f>
        <v>Yes</v>
      </c>
      <c r="L534" s="4" t="s">
        <v>3</v>
      </c>
      <c r="M534" s="4" t="str">
        <f>VLOOKUP(L534,Products!$A$2:$G$49,2,0)</f>
        <v>Excelsa</v>
      </c>
      <c r="N534" s="4" t="str">
        <f>VLOOKUP(L534,Products!$A$2:$G$49,3,0)</f>
        <v>Medium</v>
      </c>
      <c r="O534" s="25">
        <v>2</v>
      </c>
      <c r="P534" s="5">
        <f>INDEX([1]products!$A$1:$G$49,MATCH([1]orders!$D534,[1]products!$A$1:$A$49,0),MATCH([1]orders!K$1,[1]products!$A$1:$G$1,0))</f>
        <v>0.5</v>
      </c>
      <c r="Q534" s="6">
        <f>INDEX([1]products!$A$1:$G$49,MATCH([1]orders!$D534,[1]products!$A$1:$A$49,0),MATCH([1]orders!L$1,[1]products!$A$1:$G$1,0))</f>
        <v>8.25</v>
      </c>
      <c r="R534" s="6">
        <f t="shared" si="40"/>
        <v>16.5</v>
      </c>
      <c r="S534">
        <f>VLOOKUP(L534,Products!$A$2:$G$49,7,0)</f>
        <v>0.90749999999999997</v>
      </c>
      <c r="T534">
        <f t="shared" si="43"/>
        <v>1.8149999999999999</v>
      </c>
      <c r="U534" s="33">
        <f t="shared" si="44"/>
        <v>11</v>
      </c>
    </row>
    <row r="535" spans="1:21" x14ac:dyDescent="0.25">
      <c r="A535" s="1" t="s">
        <v>1047</v>
      </c>
      <c r="B535" s="28">
        <v>44724</v>
      </c>
      <c r="C535" s="21" t="str">
        <f t="shared" si="41"/>
        <v>2022</v>
      </c>
      <c r="D535" s="19" t="str">
        <f t="shared" si="42"/>
        <v>June</v>
      </c>
      <c r="E535" s="3" t="s">
        <v>1048</v>
      </c>
      <c r="F535" s="3" t="str">
        <f>VLOOKUP(E535,Customers!$A$2:$I$1001,2,0)</f>
        <v>Rea Offell</v>
      </c>
      <c r="G535" s="3" t="str">
        <f>VLOOKUP(E535,Customers!$A$2:$I$1001,3,0)</f>
        <v>UNKNOWN</v>
      </c>
      <c r="H535" s="3" t="str">
        <f>VLOOKUP(E535,Customers!$A$2:$I$1001,4,0)</f>
        <v>+1 (214) 171-1701</v>
      </c>
      <c r="I535" s="25" t="str">
        <f>VLOOKUP(E535,Customers!$A$2:$I$1001,6,0)</f>
        <v>Dallas</v>
      </c>
      <c r="J535" s="25" t="str">
        <f>VLOOKUP(E535,Customers!$A$2:$I$1001,7,0)</f>
        <v>United States</v>
      </c>
      <c r="K535" s="23" t="str">
        <f>VLOOKUP(E535,Customers!$A$2:$I$1001,9,0)</f>
        <v>No</v>
      </c>
      <c r="L535" s="4" t="s">
        <v>146</v>
      </c>
      <c r="M535" s="4" t="str">
        <f>VLOOKUP(L535,Products!$A$2:$G$49,2,0)</f>
        <v>Robusta</v>
      </c>
      <c r="N535" s="4" t="str">
        <f>VLOOKUP(L535,Products!$A$2:$G$49,3,0)</f>
        <v>Dark</v>
      </c>
      <c r="O535" s="25">
        <v>4</v>
      </c>
      <c r="P535" s="5">
        <f>INDEX([1]products!$A$1:$G$49,MATCH([1]orders!$D535,[1]products!$A$1:$A$49,0),MATCH([1]orders!K$1,[1]products!$A$1:$G$1,0))</f>
        <v>0.5</v>
      </c>
      <c r="Q535" s="6">
        <f>INDEX([1]products!$A$1:$G$49,MATCH([1]orders!$D535,[1]products!$A$1:$A$49,0),MATCH([1]orders!L$1,[1]products!$A$1:$G$1,0))</f>
        <v>5.3699999999999992</v>
      </c>
      <c r="R535" s="6">
        <f t="shared" si="40"/>
        <v>21.479999999999997</v>
      </c>
      <c r="S535">
        <f>VLOOKUP(L535,Products!$A$2:$G$49,7,0)</f>
        <v>0.32219999999999993</v>
      </c>
      <c r="T535">
        <f t="shared" si="43"/>
        <v>1.2887999999999997</v>
      </c>
      <c r="U535" s="33">
        <f t="shared" si="44"/>
        <v>6</v>
      </c>
    </row>
    <row r="536" spans="1:21" x14ac:dyDescent="0.25">
      <c r="A536" s="1" t="s">
        <v>1049</v>
      </c>
      <c r="B536" s="28">
        <v>44563</v>
      </c>
      <c r="C536" s="21" t="str">
        <f t="shared" si="41"/>
        <v>2022</v>
      </c>
      <c r="D536" s="19" t="str">
        <f t="shared" si="42"/>
        <v>January</v>
      </c>
      <c r="E536" s="3" t="s">
        <v>1050</v>
      </c>
      <c r="F536" s="3" t="str">
        <f>VLOOKUP(E536,Customers!$A$2:$I$1001,2,0)</f>
        <v>Kris O'Cullen</v>
      </c>
      <c r="G536" s="3" t="str">
        <f>VLOOKUP(E536,Customers!$A$2:$I$1001,3,0)</f>
        <v>koculleneu@ca.gov</v>
      </c>
      <c r="H536" s="3" t="str">
        <f>VLOOKUP(E536,Customers!$A$2:$I$1001,4,0)</f>
        <v>+353 (284) 183-7528</v>
      </c>
      <c r="I536" s="25" t="str">
        <f>VLOOKUP(E536,Customers!$A$2:$I$1001,6,0)</f>
        <v>Adare</v>
      </c>
      <c r="J536" s="25" t="str">
        <f>VLOOKUP(E536,Customers!$A$2:$I$1001,7,0)</f>
        <v>Ireland</v>
      </c>
      <c r="K536" s="23" t="str">
        <f>VLOOKUP(E536,Customers!$A$2:$I$1001,9,0)</f>
        <v>Yes</v>
      </c>
      <c r="L536" s="4" t="s">
        <v>41</v>
      </c>
      <c r="M536" s="4" t="str">
        <f>VLOOKUP(L536,Products!$A$2:$G$49,2,0)</f>
        <v>Robusta</v>
      </c>
      <c r="N536" s="4" t="str">
        <f>VLOOKUP(L536,Products!$A$2:$G$49,3,0)</f>
        <v>Medium</v>
      </c>
      <c r="O536" s="25">
        <v>2</v>
      </c>
      <c r="P536" s="5">
        <f>INDEX([1]products!$A$1:$G$49,MATCH([1]orders!$D536,[1]products!$A$1:$A$49,0),MATCH([1]orders!K$1,[1]products!$A$1:$G$1,0))</f>
        <v>2.5</v>
      </c>
      <c r="Q536" s="6">
        <f>INDEX([1]products!$A$1:$G$49,MATCH([1]orders!$D536,[1]products!$A$1:$A$49,0),MATCH([1]orders!L$1,[1]products!$A$1:$G$1,0))</f>
        <v>22.884999999999998</v>
      </c>
      <c r="R536" s="6">
        <f t="shared" si="40"/>
        <v>45.769999999999996</v>
      </c>
      <c r="S536">
        <f>VLOOKUP(L536,Products!$A$2:$G$49,7,0)</f>
        <v>1.3730999999999998</v>
      </c>
      <c r="T536">
        <f t="shared" si="43"/>
        <v>2.7461999999999995</v>
      </c>
      <c r="U536" s="33">
        <f t="shared" si="44"/>
        <v>6</v>
      </c>
    </row>
    <row r="537" spans="1:21" x14ac:dyDescent="0.25">
      <c r="A537" s="1" t="s">
        <v>1051</v>
      </c>
      <c r="B537" s="28">
        <v>44585</v>
      </c>
      <c r="C537" s="21" t="str">
        <f t="shared" si="41"/>
        <v>2022</v>
      </c>
      <c r="D537" s="19" t="str">
        <f t="shared" si="42"/>
        <v>January</v>
      </c>
      <c r="E537" s="3" t="s">
        <v>1052</v>
      </c>
      <c r="F537" s="3" t="str">
        <f>VLOOKUP(E537,Customers!$A$2:$I$1001,2,0)</f>
        <v>Timoteo Glisane</v>
      </c>
      <c r="G537" s="3" t="str">
        <f>VLOOKUP(E537,Customers!$A$2:$I$1001,3,0)</f>
        <v>UNKNOWN</v>
      </c>
      <c r="H537" s="3" t="str">
        <f>VLOOKUP(E537,Customers!$A$2:$I$1001,4,0)</f>
        <v>+353 (316) 279-4429</v>
      </c>
      <c r="I537" s="25" t="str">
        <f>VLOOKUP(E537,Customers!$A$2:$I$1001,6,0)</f>
        <v>Ballivor</v>
      </c>
      <c r="J537" s="25" t="str">
        <f>VLOOKUP(E537,Customers!$A$2:$I$1001,7,0)</f>
        <v>Ireland</v>
      </c>
      <c r="K537" s="23" t="str">
        <f>VLOOKUP(E537,Customers!$A$2:$I$1001,9,0)</f>
        <v>No</v>
      </c>
      <c r="L537" s="4" t="s">
        <v>19</v>
      </c>
      <c r="M537" s="4" t="str">
        <f>VLOOKUP(L537,Products!$A$2:$G$49,2,0)</f>
        <v>Liberica</v>
      </c>
      <c r="N537" s="4" t="str">
        <f>VLOOKUP(L537,Products!$A$2:$G$49,3,0)</f>
        <v>Light</v>
      </c>
      <c r="O537" s="25">
        <v>2</v>
      </c>
      <c r="P537" s="5">
        <f>INDEX([1]products!$A$1:$G$49,MATCH([1]orders!$D537,[1]products!$A$1:$A$49,0),MATCH([1]orders!K$1,[1]products!$A$1:$G$1,0))</f>
        <v>0.2</v>
      </c>
      <c r="Q537" s="6">
        <f>INDEX([1]products!$A$1:$G$49,MATCH([1]orders!$D537,[1]products!$A$1:$A$49,0),MATCH([1]orders!L$1,[1]products!$A$1:$G$1,0))</f>
        <v>4.7549999999999999</v>
      </c>
      <c r="R537" s="6">
        <f t="shared" si="40"/>
        <v>9.51</v>
      </c>
      <c r="S537">
        <f>VLOOKUP(L537,Products!$A$2:$G$49,7,0)</f>
        <v>0.61814999999999998</v>
      </c>
      <c r="T537">
        <f t="shared" si="43"/>
        <v>1.2363</v>
      </c>
      <c r="U537" s="33">
        <f t="shared" si="44"/>
        <v>13</v>
      </c>
    </row>
    <row r="538" spans="1:21" x14ac:dyDescent="0.25">
      <c r="A538" s="1" t="s">
        <v>1053</v>
      </c>
      <c r="B538" s="28">
        <v>43544</v>
      </c>
      <c r="C538" s="21" t="str">
        <f t="shared" si="41"/>
        <v>2019</v>
      </c>
      <c r="D538" s="19" t="str">
        <f t="shared" si="42"/>
        <v>March</v>
      </c>
      <c r="E538" s="3" t="s">
        <v>988</v>
      </c>
      <c r="F538" s="3" t="str">
        <f>VLOOKUP(E538,Customers!$A$2:$I$1001,2,0)</f>
        <v>Marja Urion</v>
      </c>
      <c r="G538" s="3" t="str">
        <f>VLOOKUP(E538,Customers!$A$2:$I$1001,3,0)</f>
        <v>murione5@alexa.com</v>
      </c>
      <c r="H538" s="3" t="str">
        <f>VLOOKUP(E538,Customers!$A$2:$I$1001,4,0)</f>
        <v>+353 (715) 989-0283</v>
      </c>
      <c r="I538" s="25" t="str">
        <f>VLOOKUP(E538,Customers!$A$2:$I$1001,6,0)</f>
        <v>Virginia</v>
      </c>
      <c r="J538" s="25" t="str">
        <f>VLOOKUP(E538,Customers!$A$2:$I$1001,7,0)</f>
        <v>Ireland</v>
      </c>
      <c r="K538" s="23" t="str">
        <f>VLOOKUP(E538,Customers!$A$2:$I$1001,9,0)</f>
        <v>Yes</v>
      </c>
      <c r="L538" s="4" t="s">
        <v>101</v>
      </c>
      <c r="M538" s="4" t="str">
        <f>VLOOKUP(L538,Products!$A$2:$G$49,2,0)</f>
        <v>Robusta</v>
      </c>
      <c r="N538" s="4" t="str">
        <f>VLOOKUP(L538,Products!$A$2:$G$49,3,0)</f>
        <v>Dark</v>
      </c>
      <c r="O538" s="25">
        <v>3</v>
      </c>
      <c r="P538" s="5">
        <f>INDEX([1]products!$A$1:$G$49,MATCH([1]orders!$D538,[1]products!$A$1:$A$49,0),MATCH([1]orders!K$1,[1]products!$A$1:$G$1,0))</f>
        <v>0.2</v>
      </c>
      <c r="Q538" s="6">
        <f>INDEX([1]products!$A$1:$G$49,MATCH([1]orders!$D538,[1]products!$A$1:$A$49,0),MATCH([1]orders!L$1,[1]products!$A$1:$G$1,0))</f>
        <v>2.6849999999999996</v>
      </c>
      <c r="R538" s="6">
        <f t="shared" si="40"/>
        <v>8.0549999999999997</v>
      </c>
      <c r="S538">
        <f>VLOOKUP(L538,Products!$A$2:$G$49,7,0)</f>
        <v>0.16109999999999997</v>
      </c>
      <c r="T538">
        <f t="shared" si="43"/>
        <v>0.4832999999999999</v>
      </c>
      <c r="U538" s="33">
        <f t="shared" si="44"/>
        <v>5.9999999999999991</v>
      </c>
    </row>
    <row r="539" spans="1:21" x14ac:dyDescent="0.25">
      <c r="A539" s="1" t="s">
        <v>1054</v>
      </c>
      <c r="B539" s="28">
        <v>44156</v>
      </c>
      <c r="C539" s="21" t="str">
        <f t="shared" si="41"/>
        <v>2020</v>
      </c>
      <c r="D539" s="19" t="str">
        <f t="shared" si="42"/>
        <v>November</v>
      </c>
      <c r="E539" s="3" t="s">
        <v>1055</v>
      </c>
      <c r="F539" s="3" t="str">
        <f>VLOOKUP(E539,Customers!$A$2:$I$1001,2,0)</f>
        <v>Hildegarde Brangan</v>
      </c>
      <c r="G539" s="3" t="str">
        <f>VLOOKUP(E539,Customers!$A$2:$I$1001,3,0)</f>
        <v>hbranganex@woothemes.com</v>
      </c>
      <c r="H539" s="3" t="str">
        <f>VLOOKUP(E539,Customers!$A$2:$I$1001,4,0)</f>
        <v>UNKNOWN</v>
      </c>
      <c r="I539" s="25" t="str">
        <f>VLOOKUP(E539,Customers!$A$2:$I$1001,6,0)</f>
        <v>Evansville</v>
      </c>
      <c r="J539" s="25" t="str">
        <f>VLOOKUP(E539,Customers!$A$2:$I$1001,7,0)</f>
        <v>United States</v>
      </c>
      <c r="K539" s="23" t="str">
        <f>VLOOKUP(E539,Customers!$A$2:$I$1001,9,0)</f>
        <v>Yes</v>
      </c>
      <c r="L539" s="4" t="s">
        <v>530</v>
      </c>
      <c r="M539" s="4" t="str">
        <f>VLOOKUP(L539,Products!$A$2:$G$49,2,0)</f>
        <v>Excelsa</v>
      </c>
      <c r="N539" s="4" t="str">
        <f>VLOOKUP(L539,Products!$A$2:$G$49,3,0)</f>
        <v>Dark</v>
      </c>
      <c r="O539" s="25">
        <v>4</v>
      </c>
      <c r="P539" s="5">
        <f>INDEX([1]products!$A$1:$G$49,MATCH([1]orders!$D539,[1]products!$A$1:$A$49,0),MATCH([1]orders!K$1,[1]products!$A$1:$G$1,0))</f>
        <v>2.5</v>
      </c>
      <c r="Q539" s="6">
        <f>INDEX([1]products!$A$1:$G$49,MATCH([1]orders!$D539,[1]products!$A$1:$A$49,0),MATCH([1]orders!L$1,[1]products!$A$1:$G$1,0))</f>
        <v>27.945</v>
      </c>
      <c r="R539" s="6">
        <f t="shared" si="40"/>
        <v>111.78</v>
      </c>
      <c r="S539">
        <f>VLOOKUP(L539,Products!$A$2:$G$49,7,0)</f>
        <v>3.07395</v>
      </c>
      <c r="T539">
        <f t="shared" si="43"/>
        <v>12.2958</v>
      </c>
      <c r="U539" s="33">
        <f t="shared" si="44"/>
        <v>11</v>
      </c>
    </row>
    <row r="540" spans="1:21" x14ac:dyDescent="0.25">
      <c r="A540" s="1" t="s">
        <v>1056</v>
      </c>
      <c r="B540" s="28">
        <v>44482</v>
      </c>
      <c r="C540" s="21" t="str">
        <f t="shared" si="41"/>
        <v>2021</v>
      </c>
      <c r="D540" s="19" t="str">
        <f t="shared" si="42"/>
        <v>October</v>
      </c>
      <c r="E540" s="3" t="s">
        <v>1057</v>
      </c>
      <c r="F540" s="3" t="str">
        <f>VLOOKUP(E540,Customers!$A$2:$I$1001,2,0)</f>
        <v>Amii Gallyon</v>
      </c>
      <c r="G540" s="3" t="str">
        <f>VLOOKUP(E540,Customers!$A$2:$I$1001,3,0)</f>
        <v>agallyoney@engadget.com</v>
      </c>
      <c r="H540" s="3" t="str">
        <f>VLOOKUP(E540,Customers!$A$2:$I$1001,4,0)</f>
        <v>UNKNOWN</v>
      </c>
      <c r="I540" s="25" t="str">
        <f>VLOOKUP(E540,Customers!$A$2:$I$1001,6,0)</f>
        <v>Naperville</v>
      </c>
      <c r="J540" s="25" t="str">
        <f>VLOOKUP(E540,Customers!$A$2:$I$1001,7,0)</f>
        <v>United States</v>
      </c>
      <c r="K540" s="23" t="str">
        <f>VLOOKUP(E540,Customers!$A$2:$I$1001,9,0)</f>
        <v>Yes</v>
      </c>
      <c r="L540" s="4" t="s">
        <v>101</v>
      </c>
      <c r="M540" s="4" t="str">
        <f>VLOOKUP(L540,Products!$A$2:$G$49,2,0)</f>
        <v>Robusta</v>
      </c>
      <c r="N540" s="4" t="str">
        <f>VLOOKUP(L540,Products!$A$2:$G$49,3,0)</f>
        <v>Dark</v>
      </c>
      <c r="O540" s="25">
        <v>4</v>
      </c>
      <c r="P540" s="5">
        <f>INDEX([1]products!$A$1:$G$49,MATCH([1]orders!$D540,[1]products!$A$1:$A$49,0),MATCH([1]orders!K$1,[1]products!$A$1:$G$1,0))</f>
        <v>0.2</v>
      </c>
      <c r="Q540" s="6">
        <f>INDEX([1]products!$A$1:$G$49,MATCH([1]orders!$D540,[1]products!$A$1:$A$49,0),MATCH([1]orders!L$1,[1]products!$A$1:$G$1,0))</f>
        <v>2.6849999999999996</v>
      </c>
      <c r="R540" s="6">
        <f t="shared" si="40"/>
        <v>10.739999999999998</v>
      </c>
      <c r="S540">
        <f>VLOOKUP(L540,Products!$A$2:$G$49,7,0)</f>
        <v>0.16109999999999997</v>
      </c>
      <c r="T540">
        <f t="shared" si="43"/>
        <v>0.64439999999999986</v>
      </c>
      <c r="U540" s="33">
        <f t="shared" si="44"/>
        <v>6</v>
      </c>
    </row>
    <row r="541" spans="1:21" x14ac:dyDescent="0.25">
      <c r="A541" s="1" t="s">
        <v>1058</v>
      </c>
      <c r="B541" s="28">
        <v>44488</v>
      </c>
      <c r="C541" s="21" t="str">
        <f t="shared" si="41"/>
        <v>2021</v>
      </c>
      <c r="D541" s="19" t="str">
        <f t="shared" si="42"/>
        <v>October</v>
      </c>
      <c r="E541" s="3" t="s">
        <v>1059</v>
      </c>
      <c r="F541" s="3" t="str">
        <f>VLOOKUP(E541,Customers!$A$2:$I$1001,2,0)</f>
        <v>Birgit Domange</v>
      </c>
      <c r="G541" s="3" t="str">
        <f>VLOOKUP(E541,Customers!$A$2:$I$1001,3,0)</f>
        <v>bdomangeez@yahoo.co.jp</v>
      </c>
      <c r="H541" s="3" t="str">
        <f>VLOOKUP(E541,Customers!$A$2:$I$1001,4,0)</f>
        <v>UNKNOWN</v>
      </c>
      <c r="I541" s="25" t="str">
        <f>VLOOKUP(E541,Customers!$A$2:$I$1001,6,0)</f>
        <v>Charleston</v>
      </c>
      <c r="J541" s="25" t="str">
        <f>VLOOKUP(E541,Customers!$A$2:$I$1001,7,0)</f>
        <v>United States</v>
      </c>
      <c r="K541" s="23" t="str">
        <f>VLOOKUP(E541,Customers!$A$2:$I$1001,9,0)</f>
        <v>No</v>
      </c>
      <c r="L541" s="4" t="s">
        <v>146</v>
      </c>
      <c r="M541" s="4" t="str">
        <f>VLOOKUP(L541,Products!$A$2:$G$49,2,0)</f>
        <v>Robusta</v>
      </c>
      <c r="N541" s="4" t="str">
        <f>VLOOKUP(L541,Products!$A$2:$G$49,3,0)</f>
        <v>Dark</v>
      </c>
      <c r="O541" s="25">
        <v>5</v>
      </c>
      <c r="P541" s="5">
        <f>INDEX([1]products!$A$1:$G$49,MATCH([1]orders!$D541,[1]products!$A$1:$A$49,0),MATCH([1]orders!K$1,[1]products!$A$1:$G$1,0))</f>
        <v>0.5</v>
      </c>
      <c r="Q541" s="6">
        <f>INDEX([1]products!$A$1:$G$49,MATCH([1]orders!$D541,[1]products!$A$1:$A$49,0),MATCH([1]orders!L$1,[1]products!$A$1:$G$1,0))</f>
        <v>5.3699999999999992</v>
      </c>
      <c r="R541" s="6">
        <f t="shared" si="40"/>
        <v>26.849999999999994</v>
      </c>
      <c r="S541">
        <f>VLOOKUP(L541,Products!$A$2:$G$49,7,0)</f>
        <v>0.32219999999999993</v>
      </c>
      <c r="T541">
        <f t="shared" si="43"/>
        <v>1.6109999999999998</v>
      </c>
      <c r="U541" s="33">
        <f t="shared" si="44"/>
        <v>6.0000000000000009</v>
      </c>
    </row>
    <row r="542" spans="1:21" x14ac:dyDescent="0.25">
      <c r="A542" s="1" t="s">
        <v>1060</v>
      </c>
      <c r="B542" s="28">
        <v>43584</v>
      </c>
      <c r="C542" s="21" t="str">
        <f t="shared" si="41"/>
        <v>2019</v>
      </c>
      <c r="D542" s="19" t="str">
        <f t="shared" si="42"/>
        <v>April</v>
      </c>
      <c r="E542" s="3" t="s">
        <v>1061</v>
      </c>
      <c r="F542" s="3" t="str">
        <f>VLOOKUP(E542,Customers!$A$2:$I$1001,2,0)</f>
        <v>Killian Osler</v>
      </c>
      <c r="G542" s="3" t="str">
        <f>VLOOKUP(E542,Customers!$A$2:$I$1001,3,0)</f>
        <v>koslerf0@gmpg.org</v>
      </c>
      <c r="H542" s="3" t="str">
        <f>VLOOKUP(E542,Customers!$A$2:$I$1001,4,0)</f>
        <v>+1 (517) 647-5356</v>
      </c>
      <c r="I542" s="25" t="str">
        <f>VLOOKUP(E542,Customers!$A$2:$I$1001,6,0)</f>
        <v>Lansing</v>
      </c>
      <c r="J542" s="25" t="str">
        <f>VLOOKUP(E542,Customers!$A$2:$I$1001,7,0)</f>
        <v>United States</v>
      </c>
      <c r="K542" s="23" t="str">
        <f>VLOOKUP(E542,Customers!$A$2:$I$1001,9,0)</f>
        <v>Yes</v>
      </c>
      <c r="L542" s="4" t="s">
        <v>132</v>
      </c>
      <c r="M542" s="4" t="str">
        <f>VLOOKUP(L542,Products!$A$2:$G$49,2,0)</f>
        <v>Liberica</v>
      </c>
      <c r="N542" s="4" t="str">
        <f>VLOOKUP(L542,Products!$A$2:$G$49,3,0)</f>
        <v>Light</v>
      </c>
      <c r="O542" s="25">
        <v>4</v>
      </c>
      <c r="P542" s="5">
        <f>INDEX([1]products!$A$1:$G$49,MATCH([1]orders!$D542,[1]products!$A$1:$A$49,0),MATCH([1]orders!K$1,[1]products!$A$1:$G$1,0))</f>
        <v>1</v>
      </c>
      <c r="Q542" s="6">
        <f>INDEX([1]products!$A$1:$G$49,MATCH([1]orders!$D542,[1]products!$A$1:$A$49,0),MATCH([1]orders!L$1,[1]products!$A$1:$G$1,0))</f>
        <v>15.85</v>
      </c>
      <c r="R542" s="6">
        <f t="shared" si="40"/>
        <v>63.4</v>
      </c>
      <c r="S542">
        <f>VLOOKUP(L542,Products!$A$2:$G$49,7,0)</f>
        <v>2.0605000000000002</v>
      </c>
      <c r="T542">
        <f t="shared" si="43"/>
        <v>8.2420000000000009</v>
      </c>
      <c r="U542" s="33">
        <f t="shared" si="44"/>
        <v>13</v>
      </c>
    </row>
    <row r="543" spans="1:21" x14ac:dyDescent="0.25">
      <c r="A543" s="1" t="s">
        <v>1062</v>
      </c>
      <c r="B543" s="28">
        <v>43750</v>
      </c>
      <c r="C543" s="21" t="str">
        <f t="shared" si="41"/>
        <v>2019</v>
      </c>
      <c r="D543" s="19" t="str">
        <f t="shared" si="42"/>
        <v>October</v>
      </c>
      <c r="E543" s="3" t="s">
        <v>1063</v>
      </c>
      <c r="F543" s="3" t="str">
        <f>VLOOKUP(E543,Customers!$A$2:$I$1001,2,0)</f>
        <v>Lora Dukes</v>
      </c>
      <c r="G543" s="3" t="str">
        <f>VLOOKUP(E543,Customers!$A$2:$I$1001,3,0)</f>
        <v>UNKNOWN</v>
      </c>
      <c r="H543" s="3" t="str">
        <f>VLOOKUP(E543,Customers!$A$2:$I$1001,4,0)</f>
        <v>+353 (963) 987-6580</v>
      </c>
      <c r="I543" s="25" t="str">
        <f>VLOOKUP(E543,Customers!$A$2:$I$1001,6,0)</f>
        <v>Boyle</v>
      </c>
      <c r="J543" s="25" t="str">
        <f>VLOOKUP(E543,Customers!$A$2:$I$1001,7,0)</f>
        <v>Ireland</v>
      </c>
      <c r="K543" s="23" t="str">
        <f>VLOOKUP(E543,Customers!$A$2:$I$1001,9,0)</f>
        <v>Yes</v>
      </c>
      <c r="L543" s="4" t="s">
        <v>118</v>
      </c>
      <c r="M543" s="4" t="str">
        <f>VLOOKUP(L543,Products!$A$2:$G$49,2,0)</f>
        <v>Arabica</v>
      </c>
      <c r="N543" s="4" t="str">
        <f>VLOOKUP(L543,Products!$A$2:$G$49,3,0)</f>
        <v>Dark</v>
      </c>
      <c r="O543" s="25">
        <v>1</v>
      </c>
      <c r="P543" s="5">
        <f>INDEX([1]products!$A$1:$G$49,MATCH([1]orders!$D543,[1]products!$A$1:$A$49,0),MATCH([1]orders!K$1,[1]products!$A$1:$G$1,0))</f>
        <v>2.5</v>
      </c>
      <c r="Q543" s="6">
        <f>INDEX([1]products!$A$1:$G$49,MATCH([1]orders!$D543,[1]products!$A$1:$A$49,0),MATCH([1]orders!L$1,[1]products!$A$1:$G$1,0))</f>
        <v>22.884999999999998</v>
      </c>
      <c r="R543" s="6">
        <f t="shared" si="40"/>
        <v>22.884999999999998</v>
      </c>
      <c r="S543">
        <f>VLOOKUP(L543,Products!$A$2:$G$49,7,0)</f>
        <v>2.0596499999999995</v>
      </c>
      <c r="T543">
        <f t="shared" si="43"/>
        <v>2.0596499999999995</v>
      </c>
      <c r="U543" s="33">
        <f t="shared" si="44"/>
        <v>8.9999999999999982</v>
      </c>
    </row>
    <row r="544" spans="1:21" x14ac:dyDescent="0.25">
      <c r="A544" s="1" t="s">
        <v>1064</v>
      </c>
      <c r="B544" s="28">
        <v>44335</v>
      </c>
      <c r="C544" s="21" t="str">
        <f t="shared" si="41"/>
        <v>2021</v>
      </c>
      <c r="D544" s="19" t="str">
        <f t="shared" si="42"/>
        <v>May</v>
      </c>
      <c r="E544" s="3" t="s">
        <v>1065</v>
      </c>
      <c r="F544" s="3" t="str">
        <f>VLOOKUP(E544,Customers!$A$2:$I$1001,2,0)</f>
        <v>Zack Pellett</v>
      </c>
      <c r="G544" s="3" t="str">
        <f>VLOOKUP(E544,Customers!$A$2:$I$1001,3,0)</f>
        <v>zpellettf2@dailymotion.com</v>
      </c>
      <c r="H544" s="3" t="str">
        <f>VLOOKUP(E544,Customers!$A$2:$I$1001,4,0)</f>
        <v>+1 (318) 218-5955</v>
      </c>
      <c r="I544" s="25" t="str">
        <f>VLOOKUP(E544,Customers!$A$2:$I$1001,6,0)</f>
        <v>Shreveport</v>
      </c>
      <c r="J544" s="25" t="str">
        <f>VLOOKUP(E544,Customers!$A$2:$I$1001,7,0)</f>
        <v>United States</v>
      </c>
      <c r="K544" s="23" t="str">
        <f>VLOOKUP(E544,Customers!$A$2:$I$1001,9,0)</f>
        <v>No</v>
      </c>
      <c r="L544" s="4" t="s">
        <v>171</v>
      </c>
      <c r="M544" s="4" t="str">
        <f>VLOOKUP(L544,Products!$A$2:$G$49,2,0)</f>
        <v>Arabica</v>
      </c>
      <c r="N544" s="4" t="str">
        <f>VLOOKUP(L544,Products!$A$2:$G$49,3,0)</f>
        <v>Medium</v>
      </c>
      <c r="O544" s="25">
        <v>4</v>
      </c>
      <c r="P544" s="5">
        <f>INDEX([1]products!$A$1:$G$49,MATCH([1]orders!$D544,[1]products!$A$1:$A$49,0),MATCH([1]orders!K$1,[1]products!$A$1:$G$1,0))</f>
        <v>2.5</v>
      </c>
      <c r="Q544" s="6">
        <f>INDEX([1]products!$A$1:$G$49,MATCH([1]orders!$D544,[1]products!$A$1:$A$49,0),MATCH([1]orders!L$1,[1]products!$A$1:$G$1,0))</f>
        <v>25.874999999999996</v>
      </c>
      <c r="R544" s="6">
        <f t="shared" si="40"/>
        <v>103.49999999999999</v>
      </c>
      <c r="S544">
        <f>VLOOKUP(L544,Products!$A$2:$G$49,7,0)</f>
        <v>2.3287499999999994</v>
      </c>
      <c r="T544">
        <f t="shared" si="43"/>
        <v>9.3149999999999977</v>
      </c>
      <c r="U544" s="33">
        <f t="shared" si="44"/>
        <v>9</v>
      </c>
    </row>
    <row r="545" spans="1:21" x14ac:dyDescent="0.25">
      <c r="A545" s="1" t="s">
        <v>1066</v>
      </c>
      <c r="B545" s="28">
        <v>44380</v>
      </c>
      <c r="C545" s="21" t="str">
        <f t="shared" si="41"/>
        <v>2021</v>
      </c>
      <c r="D545" s="19" t="str">
        <f t="shared" si="42"/>
        <v>July</v>
      </c>
      <c r="E545" s="3" t="s">
        <v>1067</v>
      </c>
      <c r="F545" s="3" t="str">
        <f>VLOOKUP(E545,Customers!$A$2:$I$1001,2,0)</f>
        <v>Ilaire Sprakes</v>
      </c>
      <c r="G545" s="3" t="str">
        <f>VLOOKUP(E545,Customers!$A$2:$I$1001,3,0)</f>
        <v>isprakesf3@spiegel.de</v>
      </c>
      <c r="H545" s="3" t="str">
        <f>VLOOKUP(E545,Customers!$A$2:$I$1001,4,0)</f>
        <v>+1 (408) 319-9787</v>
      </c>
      <c r="I545" s="25" t="str">
        <f>VLOOKUP(E545,Customers!$A$2:$I$1001,6,0)</f>
        <v>San Jose</v>
      </c>
      <c r="J545" s="25" t="str">
        <f>VLOOKUP(E545,Customers!$A$2:$I$1001,7,0)</f>
        <v>United States</v>
      </c>
      <c r="K545" s="23" t="str">
        <f>VLOOKUP(E545,Customers!$A$2:$I$1001,9,0)</f>
        <v>No</v>
      </c>
      <c r="L545" s="4" t="s">
        <v>10</v>
      </c>
      <c r="M545" s="4" t="str">
        <f>VLOOKUP(L545,Products!$A$2:$G$49,2,0)</f>
        <v>Robusta</v>
      </c>
      <c r="N545" s="4" t="str">
        <f>VLOOKUP(L545,Products!$A$2:$G$49,3,0)</f>
        <v>Light</v>
      </c>
      <c r="O545" s="25">
        <v>2</v>
      </c>
      <c r="P545" s="5">
        <f>INDEX([1]products!$A$1:$G$49,MATCH([1]orders!$D545,[1]products!$A$1:$A$49,0),MATCH([1]orders!K$1,[1]products!$A$1:$G$1,0))</f>
        <v>2.5</v>
      </c>
      <c r="Q545" s="6">
        <f>INDEX([1]products!$A$1:$G$49,MATCH([1]orders!$D545,[1]products!$A$1:$A$49,0),MATCH([1]orders!L$1,[1]products!$A$1:$G$1,0))</f>
        <v>27.484999999999996</v>
      </c>
      <c r="R545" s="6">
        <f t="shared" si="40"/>
        <v>54.969999999999992</v>
      </c>
      <c r="S545">
        <f>VLOOKUP(L545,Products!$A$2:$G$49,7,0)</f>
        <v>1.6490999999999998</v>
      </c>
      <c r="T545">
        <f t="shared" si="43"/>
        <v>3.2981999999999996</v>
      </c>
      <c r="U545" s="33">
        <f t="shared" si="44"/>
        <v>6.0000000000000009</v>
      </c>
    </row>
    <row r="546" spans="1:21" x14ac:dyDescent="0.25">
      <c r="A546" s="1" t="s">
        <v>1068</v>
      </c>
      <c r="B546" s="28">
        <v>43869</v>
      </c>
      <c r="C546" s="21" t="str">
        <f t="shared" si="41"/>
        <v>2020</v>
      </c>
      <c r="D546" s="19" t="str">
        <f t="shared" si="42"/>
        <v>February</v>
      </c>
      <c r="E546" s="3" t="s">
        <v>1069</v>
      </c>
      <c r="F546" s="3" t="str">
        <f>VLOOKUP(E546,Customers!$A$2:$I$1001,2,0)</f>
        <v>Heda Fromant</v>
      </c>
      <c r="G546" s="3" t="str">
        <f>VLOOKUP(E546,Customers!$A$2:$I$1001,3,0)</f>
        <v>hfromantf4@ucsd.edu</v>
      </c>
      <c r="H546" s="3" t="str">
        <f>VLOOKUP(E546,Customers!$A$2:$I$1001,4,0)</f>
        <v>+1 (610) 156-1700</v>
      </c>
      <c r="I546" s="25" t="str">
        <f>VLOOKUP(E546,Customers!$A$2:$I$1001,6,0)</f>
        <v>Philadelphia</v>
      </c>
      <c r="J546" s="25" t="str">
        <f>VLOOKUP(E546,Customers!$A$2:$I$1001,7,0)</f>
        <v>United States</v>
      </c>
      <c r="K546" s="23" t="str">
        <f>VLOOKUP(E546,Customers!$A$2:$I$1001,9,0)</f>
        <v>No</v>
      </c>
      <c r="L546" s="4" t="s">
        <v>192</v>
      </c>
      <c r="M546" s="4" t="str">
        <f>VLOOKUP(L546,Products!$A$2:$G$49,2,0)</f>
        <v>Arabica</v>
      </c>
      <c r="N546" s="4" t="str">
        <f>VLOOKUP(L546,Products!$A$2:$G$49,3,0)</f>
        <v>Light</v>
      </c>
      <c r="O546" s="25">
        <v>2</v>
      </c>
      <c r="P546" s="5">
        <f>INDEX([1]products!$A$1:$G$49,MATCH([1]orders!$D546,[1]products!$A$1:$A$49,0),MATCH([1]orders!K$1,[1]products!$A$1:$G$1,0))</f>
        <v>0.5</v>
      </c>
      <c r="Q546" s="6">
        <f>INDEX([1]products!$A$1:$G$49,MATCH([1]orders!$D546,[1]products!$A$1:$A$49,0),MATCH([1]orders!L$1,[1]products!$A$1:$G$1,0))</f>
        <v>7.77</v>
      </c>
      <c r="R546" s="6">
        <f t="shared" si="40"/>
        <v>15.54</v>
      </c>
      <c r="S546">
        <f>VLOOKUP(L546,Products!$A$2:$G$49,7,0)</f>
        <v>0.69929999999999992</v>
      </c>
      <c r="T546">
        <f t="shared" si="43"/>
        <v>1.3985999999999998</v>
      </c>
      <c r="U546" s="33">
        <f t="shared" si="44"/>
        <v>9</v>
      </c>
    </row>
    <row r="547" spans="1:21" x14ac:dyDescent="0.25">
      <c r="A547" s="1" t="s">
        <v>1070</v>
      </c>
      <c r="B547" s="28">
        <v>44120</v>
      </c>
      <c r="C547" s="21" t="str">
        <f t="shared" si="41"/>
        <v>2020</v>
      </c>
      <c r="D547" s="19" t="str">
        <f t="shared" si="42"/>
        <v>October</v>
      </c>
      <c r="E547" s="3" t="s">
        <v>1071</v>
      </c>
      <c r="F547" s="3" t="str">
        <f>VLOOKUP(E547,Customers!$A$2:$I$1001,2,0)</f>
        <v>Rufus Flear</v>
      </c>
      <c r="G547" s="3" t="str">
        <f>VLOOKUP(E547,Customers!$A$2:$I$1001,3,0)</f>
        <v>rflearf5@artisteer.com</v>
      </c>
      <c r="H547" s="3" t="str">
        <f>VLOOKUP(E547,Customers!$A$2:$I$1001,4,0)</f>
        <v>+44 (271) 881-4912</v>
      </c>
      <c r="I547" s="25" t="str">
        <f>VLOOKUP(E547,Customers!$A$2:$I$1001,6,0)</f>
        <v>Sheffield</v>
      </c>
      <c r="J547" s="25" t="str">
        <f>VLOOKUP(E547,Customers!$A$2:$I$1001,7,0)</f>
        <v>United Kingdom</v>
      </c>
      <c r="K547" s="23" t="str">
        <f>VLOOKUP(E547,Customers!$A$2:$I$1001,9,0)</f>
        <v>No</v>
      </c>
      <c r="L547" s="4" t="s">
        <v>38</v>
      </c>
      <c r="M547" s="4" t="str">
        <f>VLOOKUP(L547,Products!$A$2:$G$49,2,0)</f>
        <v>Liberica</v>
      </c>
      <c r="N547" s="4" t="str">
        <f>VLOOKUP(L547,Products!$A$2:$G$49,3,0)</f>
        <v>Dark</v>
      </c>
      <c r="O547" s="25">
        <v>4</v>
      </c>
      <c r="P547" s="5">
        <f>INDEX([1]products!$A$1:$G$49,MATCH([1]orders!$D547,[1]products!$A$1:$A$49,0),MATCH([1]orders!K$1,[1]products!$A$1:$G$1,0))</f>
        <v>0.2</v>
      </c>
      <c r="Q547" s="6">
        <f>INDEX([1]products!$A$1:$G$49,MATCH([1]orders!$D547,[1]products!$A$1:$A$49,0),MATCH([1]orders!L$1,[1]products!$A$1:$G$1,0))</f>
        <v>3.8849999999999998</v>
      </c>
      <c r="R547" s="6">
        <f t="shared" si="40"/>
        <v>15.54</v>
      </c>
      <c r="S547">
        <f>VLOOKUP(L547,Products!$A$2:$G$49,7,0)</f>
        <v>0.50505</v>
      </c>
      <c r="T547">
        <f t="shared" si="43"/>
        <v>2.0202</v>
      </c>
      <c r="U547" s="33">
        <f t="shared" si="44"/>
        <v>13</v>
      </c>
    </row>
    <row r="548" spans="1:21" x14ac:dyDescent="0.25">
      <c r="A548" s="1" t="s">
        <v>1072</v>
      </c>
      <c r="B548" s="28">
        <v>44127</v>
      </c>
      <c r="C548" s="21" t="str">
        <f t="shared" si="41"/>
        <v>2020</v>
      </c>
      <c r="D548" s="19" t="str">
        <f t="shared" si="42"/>
        <v>October</v>
      </c>
      <c r="E548" s="3" t="s">
        <v>1073</v>
      </c>
      <c r="F548" s="3" t="str">
        <f>VLOOKUP(E548,Customers!$A$2:$I$1001,2,0)</f>
        <v>Dom Milella</v>
      </c>
      <c r="G548" s="3" t="str">
        <f>VLOOKUP(E548,Customers!$A$2:$I$1001,3,0)</f>
        <v>UNKNOWN</v>
      </c>
      <c r="H548" s="3" t="str">
        <f>VLOOKUP(E548,Customers!$A$2:$I$1001,4,0)</f>
        <v>+353 (361) 732-3444</v>
      </c>
      <c r="I548" s="25" t="str">
        <f>VLOOKUP(E548,Customers!$A$2:$I$1001,6,0)</f>
        <v>Manorhamilton</v>
      </c>
      <c r="J548" s="25" t="str">
        <f>VLOOKUP(E548,Customers!$A$2:$I$1001,7,0)</f>
        <v>Ireland</v>
      </c>
      <c r="K548" s="23" t="str">
        <f>VLOOKUP(E548,Customers!$A$2:$I$1001,9,0)</f>
        <v>No</v>
      </c>
      <c r="L548" s="4" t="s">
        <v>530</v>
      </c>
      <c r="M548" s="4" t="str">
        <f>VLOOKUP(L548,Products!$A$2:$G$49,2,0)</f>
        <v>Excelsa</v>
      </c>
      <c r="N548" s="4" t="str">
        <f>VLOOKUP(L548,Products!$A$2:$G$49,3,0)</f>
        <v>Dark</v>
      </c>
      <c r="O548" s="25">
        <v>3</v>
      </c>
      <c r="P548" s="5">
        <f>INDEX([1]products!$A$1:$G$49,MATCH([1]orders!$D548,[1]products!$A$1:$A$49,0),MATCH([1]orders!K$1,[1]products!$A$1:$G$1,0))</f>
        <v>2.5</v>
      </c>
      <c r="Q548" s="6">
        <f>INDEX([1]products!$A$1:$G$49,MATCH([1]orders!$D548,[1]products!$A$1:$A$49,0),MATCH([1]orders!L$1,[1]products!$A$1:$G$1,0))</f>
        <v>27.945</v>
      </c>
      <c r="R548" s="6">
        <f t="shared" si="40"/>
        <v>83.835000000000008</v>
      </c>
      <c r="S548">
        <f>VLOOKUP(L548,Products!$A$2:$G$49,7,0)</f>
        <v>3.07395</v>
      </c>
      <c r="T548">
        <f t="shared" si="43"/>
        <v>9.2218499999999999</v>
      </c>
      <c r="U548" s="33">
        <f t="shared" si="44"/>
        <v>10.999999999999998</v>
      </c>
    </row>
    <row r="549" spans="1:21" x14ac:dyDescent="0.25">
      <c r="A549" s="1" t="s">
        <v>1074</v>
      </c>
      <c r="B549" s="28">
        <v>44265</v>
      </c>
      <c r="C549" s="21" t="str">
        <f t="shared" si="41"/>
        <v>2021</v>
      </c>
      <c r="D549" s="19" t="str">
        <f t="shared" si="42"/>
        <v>March</v>
      </c>
      <c r="E549" s="3" t="s">
        <v>1075</v>
      </c>
      <c r="F549" s="3" t="str">
        <f>VLOOKUP(E549,Customers!$A$2:$I$1001,2,0)</f>
        <v>Wilek Lightollers</v>
      </c>
      <c r="G549" s="3" t="str">
        <f>VLOOKUP(E549,Customers!$A$2:$I$1001,3,0)</f>
        <v>wlightollersf9@baidu.com</v>
      </c>
      <c r="H549" s="3" t="str">
        <f>VLOOKUP(E549,Customers!$A$2:$I$1001,4,0)</f>
        <v>+1 (646) 793-8756</v>
      </c>
      <c r="I549" s="25" t="str">
        <f>VLOOKUP(E549,Customers!$A$2:$I$1001,6,0)</f>
        <v>New York City</v>
      </c>
      <c r="J549" s="25" t="str">
        <f>VLOOKUP(E549,Customers!$A$2:$I$1001,7,0)</f>
        <v>United States</v>
      </c>
      <c r="K549" s="23" t="str">
        <f>VLOOKUP(E549,Customers!$A$2:$I$1001,9,0)</f>
        <v>Yes</v>
      </c>
      <c r="L549" s="4" t="s">
        <v>182</v>
      </c>
      <c r="M549" s="4" t="str">
        <f>VLOOKUP(L549,Products!$A$2:$G$49,2,0)</f>
        <v>Robusta</v>
      </c>
      <c r="N549" s="4" t="str">
        <f>VLOOKUP(L549,Products!$A$2:$G$49,3,0)</f>
        <v>Light</v>
      </c>
      <c r="O549" s="25">
        <v>3</v>
      </c>
      <c r="P549" s="5">
        <f>INDEX([1]products!$A$1:$G$49,MATCH([1]orders!$D549,[1]products!$A$1:$A$49,0),MATCH([1]orders!K$1,[1]products!$A$1:$G$1,0))</f>
        <v>0.2</v>
      </c>
      <c r="Q549" s="6">
        <f>INDEX([1]products!$A$1:$G$49,MATCH([1]orders!$D549,[1]products!$A$1:$A$49,0),MATCH([1]orders!L$1,[1]products!$A$1:$G$1,0))</f>
        <v>3.5849999999999995</v>
      </c>
      <c r="R549" s="6">
        <f t="shared" si="40"/>
        <v>10.754999999999999</v>
      </c>
      <c r="S549">
        <f>VLOOKUP(L549,Products!$A$2:$G$49,7,0)</f>
        <v>0.21509999999999996</v>
      </c>
      <c r="T549">
        <f t="shared" si="43"/>
        <v>0.64529999999999987</v>
      </c>
      <c r="U549" s="33">
        <f t="shared" si="44"/>
        <v>5.9999999999999991</v>
      </c>
    </row>
    <row r="550" spans="1:21" x14ac:dyDescent="0.25">
      <c r="A550" s="1" t="s">
        <v>1076</v>
      </c>
      <c r="B550" s="28">
        <v>44384</v>
      </c>
      <c r="C550" s="21" t="str">
        <f t="shared" si="41"/>
        <v>2021</v>
      </c>
      <c r="D550" s="19" t="str">
        <f t="shared" si="42"/>
        <v>July</v>
      </c>
      <c r="E550" s="3" t="s">
        <v>1077</v>
      </c>
      <c r="F550" s="3" t="str">
        <f>VLOOKUP(E550,Customers!$A$2:$I$1001,2,0)</f>
        <v>Bette-ann Munden</v>
      </c>
      <c r="G550" s="3" t="str">
        <f>VLOOKUP(E550,Customers!$A$2:$I$1001,3,0)</f>
        <v>bmundenf8@elpais.com</v>
      </c>
      <c r="H550" s="3" t="str">
        <f>VLOOKUP(E550,Customers!$A$2:$I$1001,4,0)</f>
        <v>+1 (405) 290-3207</v>
      </c>
      <c r="I550" s="25" t="str">
        <f>VLOOKUP(E550,Customers!$A$2:$I$1001,6,0)</f>
        <v>Oklahoma City</v>
      </c>
      <c r="J550" s="25" t="str">
        <f>VLOOKUP(E550,Customers!$A$2:$I$1001,7,0)</f>
        <v>United States</v>
      </c>
      <c r="K550" s="23" t="str">
        <f>VLOOKUP(E550,Customers!$A$2:$I$1001,9,0)</f>
        <v>Yes</v>
      </c>
      <c r="L550" s="4" t="s">
        <v>254</v>
      </c>
      <c r="M550" s="4" t="str">
        <f>VLOOKUP(L550,Products!$A$2:$G$49,2,0)</f>
        <v>Excelsa</v>
      </c>
      <c r="N550" s="4" t="str">
        <f>VLOOKUP(L550,Products!$A$2:$G$49,3,0)</f>
        <v>Light</v>
      </c>
      <c r="O550" s="25">
        <v>3</v>
      </c>
      <c r="P550" s="5">
        <f>INDEX([1]products!$A$1:$G$49,MATCH([1]orders!$D550,[1]products!$A$1:$A$49,0),MATCH([1]orders!K$1,[1]products!$A$1:$G$1,0))</f>
        <v>0.2</v>
      </c>
      <c r="Q550" s="6">
        <f>INDEX([1]products!$A$1:$G$49,MATCH([1]orders!$D550,[1]products!$A$1:$A$49,0),MATCH([1]orders!L$1,[1]products!$A$1:$G$1,0))</f>
        <v>4.4550000000000001</v>
      </c>
      <c r="R550" s="6">
        <f t="shared" si="40"/>
        <v>13.365</v>
      </c>
      <c r="S550">
        <f>VLOOKUP(L550,Products!$A$2:$G$49,7,0)</f>
        <v>0.49004999999999999</v>
      </c>
      <c r="T550">
        <f t="shared" si="43"/>
        <v>1.4701499999999998</v>
      </c>
      <c r="U550" s="33">
        <f t="shared" si="44"/>
        <v>10.999999999999998</v>
      </c>
    </row>
    <row r="551" spans="1:21" x14ac:dyDescent="0.25">
      <c r="A551" s="1" t="s">
        <v>1078</v>
      </c>
      <c r="B551" s="28">
        <v>44232</v>
      </c>
      <c r="C551" s="21" t="str">
        <f t="shared" si="41"/>
        <v>2021</v>
      </c>
      <c r="D551" s="19" t="str">
        <f t="shared" si="42"/>
        <v>February</v>
      </c>
      <c r="E551" s="3" t="s">
        <v>1075</v>
      </c>
      <c r="F551" s="3" t="str">
        <f>VLOOKUP(E551,Customers!$A$2:$I$1001,2,0)</f>
        <v>Wilek Lightollers</v>
      </c>
      <c r="G551" s="3" t="str">
        <f>VLOOKUP(E551,Customers!$A$2:$I$1001,3,0)</f>
        <v>wlightollersf9@baidu.com</v>
      </c>
      <c r="H551" s="3" t="str">
        <f>VLOOKUP(E551,Customers!$A$2:$I$1001,4,0)</f>
        <v>+1 (646) 793-8756</v>
      </c>
      <c r="I551" s="25" t="str">
        <f>VLOOKUP(E551,Customers!$A$2:$I$1001,6,0)</f>
        <v>New York City</v>
      </c>
      <c r="J551" s="25" t="str">
        <f>VLOOKUP(E551,Customers!$A$2:$I$1001,7,0)</f>
        <v>United States</v>
      </c>
      <c r="K551" s="23" t="str">
        <f>VLOOKUP(E551,Customers!$A$2:$I$1001,9,0)</f>
        <v>Yes</v>
      </c>
      <c r="L551" s="4" t="s">
        <v>254</v>
      </c>
      <c r="M551" s="4" t="str">
        <f>VLOOKUP(L551,Products!$A$2:$G$49,2,0)</f>
        <v>Excelsa</v>
      </c>
      <c r="N551" s="4" t="str">
        <f>VLOOKUP(L551,Products!$A$2:$G$49,3,0)</f>
        <v>Light</v>
      </c>
      <c r="O551" s="25">
        <v>4</v>
      </c>
      <c r="P551" s="5">
        <f>INDEX([1]products!$A$1:$G$49,MATCH([1]orders!$D551,[1]products!$A$1:$A$49,0),MATCH([1]orders!K$1,[1]products!$A$1:$G$1,0))</f>
        <v>0.2</v>
      </c>
      <c r="Q551" s="6">
        <f>INDEX([1]products!$A$1:$G$49,MATCH([1]orders!$D551,[1]products!$A$1:$A$49,0),MATCH([1]orders!L$1,[1]products!$A$1:$G$1,0))</f>
        <v>4.4550000000000001</v>
      </c>
      <c r="R551" s="6">
        <f t="shared" si="40"/>
        <v>17.82</v>
      </c>
      <c r="S551">
        <f>VLOOKUP(L551,Products!$A$2:$G$49,7,0)</f>
        <v>0.49004999999999999</v>
      </c>
      <c r="T551">
        <f t="shared" si="43"/>
        <v>1.9601999999999999</v>
      </c>
      <c r="U551" s="33">
        <f t="shared" si="44"/>
        <v>11</v>
      </c>
    </row>
    <row r="552" spans="1:21" x14ac:dyDescent="0.25">
      <c r="A552" s="1" t="s">
        <v>1079</v>
      </c>
      <c r="B552" s="28">
        <v>44176</v>
      </c>
      <c r="C552" s="21" t="str">
        <f t="shared" si="41"/>
        <v>2020</v>
      </c>
      <c r="D552" s="19" t="str">
        <f t="shared" si="42"/>
        <v>December</v>
      </c>
      <c r="E552" s="3" t="s">
        <v>1080</v>
      </c>
      <c r="F552" s="3" t="str">
        <f>VLOOKUP(E552,Customers!$A$2:$I$1001,2,0)</f>
        <v>Nick Brakespear</v>
      </c>
      <c r="G552" s="3" t="str">
        <f>VLOOKUP(E552,Customers!$A$2:$I$1001,3,0)</f>
        <v>nbrakespearfa@rediff.com</v>
      </c>
      <c r="H552" s="3" t="str">
        <f>VLOOKUP(E552,Customers!$A$2:$I$1001,4,0)</f>
        <v>+1 (973) 380-3976</v>
      </c>
      <c r="I552" s="25" t="str">
        <f>VLOOKUP(E552,Customers!$A$2:$I$1001,6,0)</f>
        <v>Newark</v>
      </c>
      <c r="J552" s="25" t="str">
        <f>VLOOKUP(E552,Customers!$A$2:$I$1001,7,0)</f>
        <v>United States</v>
      </c>
      <c r="K552" s="23" t="str">
        <f>VLOOKUP(E552,Customers!$A$2:$I$1001,9,0)</f>
        <v>Yes</v>
      </c>
      <c r="L552" s="4" t="s">
        <v>38</v>
      </c>
      <c r="M552" s="4" t="str">
        <f>VLOOKUP(L552,Products!$A$2:$G$49,2,0)</f>
        <v>Liberica</v>
      </c>
      <c r="N552" s="4" t="str">
        <f>VLOOKUP(L552,Products!$A$2:$G$49,3,0)</f>
        <v>Dark</v>
      </c>
      <c r="O552" s="25">
        <v>6</v>
      </c>
      <c r="P552" s="5">
        <f>INDEX([1]products!$A$1:$G$49,MATCH([1]orders!$D552,[1]products!$A$1:$A$49,0),MATCH([1]orders!K$1,[1]products!$A$1:$G$1,0))</f>
        <v>0.2</v>
      </c>
      <c r="Q552" s="6">
        <f>INDEX([1]products!$A$1:$G$49,MATCH([1]orders!$D552,[1]products!$A$1:$A$49,0),MATCH([1]orders!L$1,[1]products!$A$1:$G$1,0))</f>
        <v>3.8849999999999998</v>
      </c>
      <c r="R552" s="6">
        <f t="shared" si="40"/>
        <v>23.31</v>
      </c>
      <c r="S552">
        <f>VLOOKUP(L552,Products!$A$2:$G$49,7,0)</f>
        <v>0.50505</v>
      </c>
      <c r="T552">
        <f t="shared" si="43"/>
        <v>3.0303</v>
      </c>
      <c r="U552" s="33">
        <f t="shared" si="44"/>
        <v>13</v>
      </c>
    </row>
    <row r="553" spans="1:21" x14ac:dyDescent="0.25">
      <c r="A553" s="1" t="s">
        <v>1081</v>
      </c>
      <c r="B553" s="28">
        <v>44694</v>
      </c>
      <c r="C553" s="21" t="str">
        <f t="shared" si="41"/>
        <v>2022</v>
      </c>
      <c r="D553" s="19" t="str">
        <f t="shared" si="42"/>
        <v>May</v>
      </c>
      <c r="E553" s="3" t="s">
        <v>1082</v>
      </c>
      <c r="F553" s="3" t="str">
        <f>VLOOKUP(E553,Customers!$A$2:$I$1001,2,0)</f>
        <v>Malynda Glawsop</v>
      </c>
      <c r="G553" s="3" t="str">
        <f>VLOOKUP(E553,Customers!$A$2:$I$1001,3,0)</f>
        <v>mglawsopfb@reverbnation.com</v>
      </c>
      <c r="H553" s="3" t="str">
        <f>VLOOKUP(E553,Customers!$A$2:$I$1001,4,0)</f>
        <v>+1 (203) 608-9937</v>
      </c>
      <c r="I553" s="25" t="str">
        <f>VLOOKUP(E553,Customers!$A$2:$I$1001,6,0)</f>
        <v>New Haven</v>
      </c>
      <c r="J553" s="25" t="str">
        <f>VLOOKUP(E553,Customers!$A$2:$I$1001,7,0)</f>
        <v>United States</v>
      </c>
      <c r="K553" s="23" t="str">
        <f>VLOOKUP(E553,Customers!$A$2:$I$1001,9,0)</f>
        <v>No</v>
      </c>
      <c r="L553" s="4" t="s">
        <v>51</v>
      </c>
      <c r="M553" s="4" t="str">
        <f>VLOOKUP(L553,Products!$A$2:$G$49,2,0)</f>
        <v>Excelsa</v>
      </c>
      <c r="N553" s="4" t="str">
        <f>VLOOKUP(L553,Products!$A$2:$G$49,3,0)</f>
        <v>Dark</v>
      </c>
      <c r="O553" s="25">
        <v>2</v>
      </c>
      <c r="P553" s="5">
        <f>INDEX([1]products!$A$1:$G$49,MATCH([1]orders!$D553,[1]products!$A$1:$A$49,0),MATCH([1]orders!K$1,[1]products!$A$1:$G$1,0))</f>
        <v>0.2</v>
      </c>
      <c r="Q553" s="6">
        <f>INDEX([1]products!$A$1:$G$49,MATCH([1]orders!$D553,[1]products!$A$1:$A$49,0),MATCH([1]orders!L$1,[1]products!$A$1:$G$1,0))</f>
        <v>3.645</v>
      </c>
      <c r="R553" s="6">
        <f t="shared" si="40"/>
        <v>7.29</v>
      </c>
      <c r="S553">
        <f>VLOOKUP(L553,Products!$A$2:$G$49,7,0)</f>
        <v>0.40095000000000003</v>
      </c>
      <c r="T553">
        <f t="shared" si="43"/>
        <v>0.80190000000000006</v>
      </c>
      <c r="U553" s="33">
        <f t="shared" si="44"/>
        <v>11</v>
      </c>
    </row>
    <row r="554" spans="1:21" x14ac:dyDescent="0.25">
      <c r="A554" s="1" t="s">
        <v>1083</v>
      </c>
      <c r="B554" s="28">
        <v>43761</v>
      </c>
      <c r="C554" s="21" t="str">
        <f t="shared" si="41"/>
        <v>2019</v>
      </c>
      <c r="D554" s="19" t="str">
        <f t="shared" si="42"/>
        <v>October</v>
      </c>
      <c r="E554" s="3" t="s">
        <v>1084</v>
      </c>
      <c r="F554" s="3" t="str">
        <f>VLOOKUP(E554,Customers!$A$2:$I$1001,2,0)</f>
        <v>Granville Alberts</v>
      </c>
      <c r="G554" s="3" t="str">
        <f>VLOOKUP(E554,Customers!$A$2:$I$1001,3,0)</f>
        <v>galbertsfc@etsy.com</v>
      </c>
      <c r="H554" s="3" t="str">
        <f>VLOOKUP(E554,Customers!$A$2:$I$1001,4,0)</f>
        <v>+44 (788) 686-0408</v>
      </c>
      <c r="I554" s="25" t="str">
        <f>VLOOKUP(E554,Customers!$A$2:$I$1001,6,0)</f>
        <v>Belfast</v>
      </c>
      <c r="J554" s="25" t="str">
        <f>VLOOKUP(E554,Customers!$A$2:$I$1001,7,0)</f>
        <v>United Kingdom</v>
      </c>
      <c r="K554" s="23" t="str">
        <f>VLOOKUP(E554,Customers!$A$2:$I$1001,9,0)</f>
        <v>Yes</v>
      </c>
      <c r="L554" s="4" t="s">
        <v>254</v>
      </c>
      <c r="M554" s="4" t="str">
        <f>VLOOKUP(L554,Products!$A$2:$G$49,2,0)</f>
        <v>Excelsa</v>
      </c>
      <c r="N554" s="4" t="str">
        <f>VLOOKUP(L554,Products!$A$2:$G$49,3,0)</f>
        <v>Light</v>
      </c>
      <c r="O554" s="25">
        <v>4</v>
      </c>
      <c r="P554" s="5">
        <f>INDEX([1]products!$A$1:$G$49,MATCH([1]orders!$D554,[1]products!$A$1:$A$49,0),MATCH([1]orders!K$1,[1]products!$A$1:$G$1,0))</f>
        <v>0.2</v>
      </c>
      <c r="Q554" s="6">
        <f>INDEX([1]products!$A$1:$G$49,MATCH([1]orders!$D554,[1]products!$A$1:$A$49,0),MATCH([1]orders!L$1,[1]products!$A$1:$G$1,0))</f>
        <v>4.4550000000000001</v>
      </c>
      <c r="R554" s="6">
        <f t="shared" si="40"/>
        <v>17.82</v>
      </c>
      <c r="S554">
        <f>VLOOKUP(L554,Products!$A$2:$G$49,7,0)</f>
        <v>0.49004999999999999</v>
      </c>
      <c r="T554">
        <f t="shared" si="43"/>
        <v>1.9601999999999999</v>
      </c>
      <c r="U554" s="33">
        <f t="shared" si="44"/>
        <v>11</v>
      </c>
    </row>
    <row r="555" spans="1:21" x14ac:dyDescent="0.25">
      <c r="A555" s="1" t="s">
        <v>1085</v>
      </c>
      <c r="B555" s="28">
        <v>44085</v>
      </c>
      <c r="C555" s="21" t="str">
        <f t="shared" si="41"/>
        <v>2020</v>
      </c>
      <c r="D555" s="19" t="str">
        <f t="shared" si="42"/>
        <v>September</v>
      </c>
      <c r="E555" s="3" t="s">
        <v>1086</v>
      </c>
      <c r="F555" s="3" t="str">
        <f>VLOOKUP(E555,Customers!$A$2:$I$1001,2,0)</f>
        <v>Vasily Polglase</v>
      </c>
      <c r="G555" s="3" t="str">
        <f>VLOOKUP(E555,Customers!$A$2:$I$1001,3,0)</f>
        <v>vpolglasefd@about.me</v>
      </c>
      <c r="H555" s="3" t="str">
        <f>VLOOKUP(E555,Customers!$A$2:$I$1001,4,0)</f>
        <v>UNKNOWN</v>
      </c>
      <c r="I555" s="25" t="str">
        <f>VLOOKUP(E555,Customers!$A$2:$I$1001,6,0)</f>
        <v>Toledo</v>
      </c>
      <c r="J555" s="25" t="str">
        <f>VLOOKUP(E555,Customers!$A$2:$I$1001,7,0)</f>
        <v>United States</v>
      </c>
      <c r="K555" s="23" t="str">
        <f>VLOOKUP(E555,Customers!$A$2:$I$1001,9,0)</f>
        <v>No</v>
      </c>
      <c r="L555" s="4" t="s">
        <v>9</v>
      </c>
      <c r="M555" s="4" t="str">
        <f>VLOOKUP(L555,Products!$A$2:$G$49,2,0)</f>
        <v>Excelsa</v>
      </c>
      <c r="N555" s="4" t="str">
        <f>VLOOKUP(L555,Products!$A$2:$G$49,3,0)</f>
        <v>Medium</v>
      </c>
      <c r="O555" s="25">
        <v>5</v>
      </c>
      <c r="P555" s="5">
        <f>INDEX([1]products!$A$1:$G$49,MATCH([1]orders!$D555,[1]products!$A$1:$A$49,0),MATCH([1]orders!K$1,[1]products!$A$1:$G$1,0))</f>
        <v>1</v>
      </c>
      <c r="Q555" s="6">
        <f>INDEX([1]products!$A$1:$G$49,MATCH([1]orders!$D555,[1]products!$A$1:$A$49,0),MATCH([1]orders!L$1,[1]products!$A$1:$G$1,0))</f>
        <v>13.75</v>
      </c>
      <c r="R555" s="6">
        <f t="shared" si="40"/>
        <v>68.75</v>
      </c>
      <c r="S555">
        <f>VLOOKUP(L555,Products!$A$2:$G$49,7,0)</f>
        <v>1.5125</v>
      </c>
      <c r="T555">
        <f t="shared" si="43"/>
        <v>7.5625</v>
      </c>
      <c r="U555" s="33">
        <f t="shared" si="44"/>
        <v>11</v>
      </c>
    </row>
    <row r="556" spans="1:21" x14ac:dyDescent="0.25">
      <c r="A556" s="1" t="s">
        <v>1087</v>
      </c>
      <c r="B556" s="28">
        <v>43737</v>
      </c>
      <c r="C556" s="21" t="str">
        <f t="shared" si="41"/>
        <v>2019</v>
      </c>
      <c r="D556" s="19" t="str">
        <f t="shared" si="42"/>
        <v>September</v>
      </c>
      <c r="E556" s="3" t="s">
        <v>1088</v>
      </c>
      <c r="F556" s="3" t="str">
        <f>VLOOKUP(E556,Customers!$A$2:$I$1001,2,0)</f>
        <v>Madelaine Sharples</v>
      </c>
      <c r="G556" s="3" t="str">
        <f>VLOOKUP(E556,Customers!$A$2:$I$1001,3,0)</f>
        <v>UNKNOWN</v>
      </c>
      <c r="H556" s="3" t="str">
        <f>VLOOKUP(E556,Customers!$A$2:$I$1001,4,0)</f>
        <v>+44 (572) 727-1868</v>
      </c>
      <c r="I556" s="25" t="str">
        <f>VLOOKUP(E556,Customers!$A$2:$I$1001,6,0)</f>
        <v>Newton</v>
      </c>
      <c r="J556" s="25" t="str">
        <f>VLOOKUP(E556,Customers!$A$2:$I$1001,7,0)</f>
        <v>United Kingdom</v>
      </c>
      <c r="K556" s="23" t="str">
        <f>VLOOKUP(E556,Customers!$A$2:$I$1001,9,0)</f>
        <v>Yes</v>
      </c>
      <c r="L556" s="4" t="s">
        <v>10</v>
      </c>
      <c r="M556" s="4" t="str">
        <f>VLOOKUP(L556,Products!$A$2:$G$49,2,0)</f>
        <v>Robusta</v>
      </c>
      <c r="N556" s="4" t="str">
        <f>VLOOKUP(L556,Products!$A$2:$G$49,3,0)</f>
        <v>Light</v>
      </c>
      <c r="O556" s="25">
        <v>2</v>
      </c>
      <c r="P556" s="5">
        <f>INDEX([1]products!$A$1:$G$49,MATCH([1]orders!$D556,[1]products!$A$1:$A$49,0),MATCH([1]orders!K$1,[1]products!$A$1:$G$1,0))</f>
        <v>2.5</v>
      </c>
      <c r="Q556" s="6">
        <f>INDEX([1]products!$A$1:$G$49,MATCH([1]orders!$D556,[1]products!$A$1:$A$49,0),MATCH([1]orders!L$1,[1]products!$A$1:$G$1,0))</f>
        <v>27.484999999999996</v>
      </c>
      <c r="R556" s="6">
        <f t="shared" si="40"/>
        <v>54.969999999999992</v>
      </c>
      <c r="S556">
        <f>VLOOKUP(L556,Products!$A$2:$G$49,7,0)</f>
        <v>1.6490999999999998</v>
      </c>
      <c r="T556">
        <f t="shared" si="43"/>
        <v>3.2981999999999996</v>
      </c>
      <c r="U556" s="33">
        <f t="shared" si="44"/>
        <v>6.0000000000000009</v>
      </c>
    </row>
    <row r="557" spans="1:21" x14ac:dyDescent="0.25">
      <c r="A557" s="1" t="s">
        <v>1089</v>
      </c>
      <c r="B557" s="28">
        <v>44258</v>
      </c>
      <c r="C557" s="21" t="str">
        <f t="shared" si="41"/>
        <v>2021</v>
      </c>
      <c r="D557" s="19" t="str">
        <f t="shared" si="42"/>
        <v>March</v>
      </c>
      <c r="E557" s="3" t="s">
        <v>1090</v>
      </c>
      <c r="F557" s="3" t="str">
        <f>VLOOKUP(E557,Customers!$A$2:$I$1001,2,0)</f>
        <v>Sigfrid Busch</v>
      </c>
      <c r="G557" s="3" t="str">
        <f>VLOOKUP(E557,Customers!$A$2:$I$1001,3,0)</f>
        <v>sbuschff@so-net.ne.jp</v>
      </c>
      <c r="H557" s="3" t="str">
        <f>VLOOKUP(E557,Customers!$A$2:$I$1001,4,0)</f>
        <v>+353 (953) 333-8754</v>
      </c>
      <c r="I557" s="25" t="str">
        <f>VLOOKUP(E557,Customers!$A$2:$I$1001,6,0)</f>
        <v>Bantry</v>
      </c>
      <c r="J557" s="25" t="str">
        <f>VLOOKUP(E557,Customers!$A$2:$I$1001,7,0)</f>
        <v>Ireland</v>
      </c>
      <c r="K557" s="23" t="str">
        <f>VLOOKUP(E557,Customers!$A$2:$I$1001,9,0)</f>
        <v>No</v>
      </c>
      <c r="L557" s="4" t="s">
        <v>9</v>
      </c>
      <c r="M557" s="4" t="str">
        <f>VLOOKUP(L557,Products!$A$2:$G$49,2,0)</f>
        <v>Excelsa</v>
      </c>
      <c r="N557" s="4" t="str">
        <f>VLOOKUP(L557,Products!$A$2:$G$49,3,0)</f>
        <v>Medium</v>
      </c>
      <c r="O557" s="25">
        <v>6</v>
      </c>
      <c r="P557" s="5">
        <f>INDEX([1]products!$A$1:$G$49,MATCH([1]orders!$D557,[1]products!$A$1:$A$49,0),MATCH([1]orders!K$1,[1]products!$A$1:$G$1,0))</f>
        <v>1</v>
      </c>
      <c r="Q557" s="6">
        <f>INDEX([1]products!$A$1:$G$49,MATCH([1]orders!$D557,[1]products!$A$1:$A$49,0),MATCH([1]orders!L$1,[1]products!$A$1:$G$1,0))</f>
        <v>13.75</v>
      </c>
      <c r="R557" s="6">
        <f t="shared" si="40"/>
        <v>82.5</v>
      </c>
      <c r="S557">
        <f>VLOOKUP(L557,Products!$A$2:$G$49,7,0)</f>
        <v>1.5125</v>
      </c>
      <c r="T557">
        <f t="shared" si="43"/>
        <v>9.0749999999999993</v>
      </c>
      <c r="U557" s="33">
        <f t="shared" si="44"/>
        <v>10.999999999999998</v>
      </c>
    </row>
    <row r="558" spans="1:21" x14ac:dyDescent="0.25">
      <c r="A558" s="1" t="s">
        <v>1091</v>
      </c>
      <c r="B558" s="28">
        <v>44523</v>
      </c>
      <c r="C558" s="21" t="str">
        <f t="shared" si="41"/>
        <v>2021</v>
      </c>
      <c r="D558" s="19" t="str">
        <f t="shared" si="42"/>
        <v>November</v>
      </c>
      <c r="E558" s="3" t="s">
        <v>1092</v>
      </c>
      <c r="F558" s="3" t="str">
        <f>VLOOKUP(E558,Customers!$A$2:$I$1001,2,0)</f>
        <v>Cissiee Raisbeck</v>
      </c>
      <c r="G558" s="3" t="str">
        <f>VLOOKUP(E558,Customers!$A$2:$I$1001,3,0)</f>
        <v>craisbeckfg@webnode.com</v>
      </c>
      <c r="H558" s="3" t="str">
        <f>VLOOKUP(E558,Customers!$A$2:$I$1001,4,0)</f>
        <v>UNKNOWN</v>
      </c>
      <c r="I558" s="25" t="str">
        <f>VLOOKUP(E558,Customers!$A$2:$I$1001,6,0)</f>
        <v>Shreveport</v>
      </c>
      <c r="J558" s="25" t="str">
        <f>VLOOKUP(E558,Customers!$A$2:$I$1001,7,0)</f>
        <v>United States</v>
      </c>
      <c r="K558" s="23" t="str">
        <f>VLOOKUP(E558,Customers!$A$2:$I$1001,9,0)</f>
        <v>Yes</v>
      </c>
      <c r="L558" s="4" t="s">
        <v>77</v>
      </c>
      <c r="M558" s="4" t="str">
        <f>VLOOKUP(L558,Products!$A$2:$G$49,2,0)</f>
        <v>Liberica</v>
      </c>
      <c r="N558" s="4" t="str">
        <f>VLOOKUP(L558,Products!$A$2:$G$49,3,0)</f>
        <v>Medium</v>
      </c>
      <c r="O558" s="25">
        <v>2</v>
      </c>
      <c r="P558" s="5">
        <f>INDEX([1]products!$A$1:$G$49,MATCH([1]orders!$D558,[1]products!$A$1:$A$49,0),MATCH([1]orders!K$1,[1]products!$A$1:$G$1,0))</f>
        <v>0.2</v>
      </c>
      <c r="Q558" s="6">
        <f>INDEX([1]products!$A$1:$G$49,MATCH([1]orders!$D558,[1]products!$A$1:$A$49,0),MATCH([1]orders!L$1,[1]products!$A$1:$G$1,0))</f>
        <v>4.3650000000000002</v>
      </c>
      <c r="R558" s="6">
        <f t="shared" si="40"/>
        <v>8.73</v>
      </c>
      <c r="S558">
        <f>VLOOKUP(L558,Products!$A$2:$G$49,7,0)</f>
        <v>0.56745000000000001</v>
      </c>
      <c r="T558">
        <f t="shared" si="43"/>
        <v>1.1349</v>
      </c>
      <c r="U558" s="33">
        <f t="shared" si="44"/>
        <v>13</v>
      </c>
    </row>
    <row r="559" spans="1:21" x14ac:dyDescent="0.25">
      <c r="A559" s="1" t="s">
        <v>1093</v>
      </c>
      <c r="B559" s="28">
        <v>44506</v>
      </c>
      <c r="C559" s="21" t="str">
        <f t="shared" si="41"/>
        <v>2021</v>
      </c>
      <c r="D559" s="19" t="str">
        <f t="shared" si="42"/>
        <v>November</v>
      </c>
      <c r="E559" s="3" t="s">
        <v>988</v>
      </c>
      <c r="F559" s="3" t="str">
        <f>VLOOKUP(E559,Customers!$A$2:$I$1001,2,0)</f>
        <v>Marja Urion</v>
      </c>
      <c r="G559" s="3" t="str">
        <f>VLOOKUP(E559,Customers!$A$2:$I$1001,3,0)</f>
        <v>murione5@alexa.com</v>
      </c>
      <c r="H559" s="3" t="str">
        <f>VLOOKUP(E559,Customers!$A$2:$I$1001,4,0)</f>
        <v>+353 (715) 989-0283</v>
      </c>
      <c r="I559" s="25" t="str">
        <f>VLOOKUP(E559,Customers!$A$2:$I$1001,6,0)</f>
        <v>Virginia</v>
      </c>
      <c r="J559" s="25" t="str">
        <f>VLOOKUP(E559,Customers!$A$2:$I$1001,7,0)</f>
        <v>Ireland</v>
      </c>
      <c r="K559" s="23" t="str">
        <f>VLOOKUP(E559,Customers!$A$2:$I$1001,9,0)</f>
        <v>Yes</v>
      </c>
      <c r="L559" s="4" t="s">
        <v>137</v>
      </c>
      <c r="M559" s="4" t="str">
        <f>VLOOKUP(L559,Products!$A$2:$G$49,2,0)</f>
        <v>Excelsa</v>
      </c>
      <c r="N559" s="4" t="str">
        <f>VLOOKUP(L559,Products!$A$2:$G$49,3,0)</f>
        <v>Light</v>
      </c>
      <c r="O559" s="25">
        <v>4</v>
      </c>
      <c r="P559" s="5">
        <f>INDEX([1]products!$A$1:$G$49,MATCH([1]orders!$D559,[1]products!$A$1:$A$49,0),MATCH([1]orders!K$1,[1]products!$A$1:$G$1,0))</f>
        <v>1</v>
      </c>
      <c r="Q559" s="6">
        <f>INDEX([1]products!$A$1:$G$49,MATCH([1]orders!$D559,[1]products!$A$1:$A$49,0),MATCH([1]orders!L$1,[1]products!$A$1:$G$1,0))</f>
        <v>14.85</v>
      </c>
      <c r="R559" s="6">
        <f t="shared" si="40"/>
        <v>59.4</v>
      </c>
      <c r="S559">
        <f>VLOOKUP(L559,Products!$A$2:$G$49,7,0)</f>
        <v>1.6335</v>
      </c>
      <c r="T559">
        <f t="shared" si="43"/>
        <v>6.5339999999999998</v>
      </c>
      <c r="U559" s="33">
        <f t="shared" si="44"/>
        <v>11</v>
      </c>
    </row>
    <row r="560" spans="1:21" x14ac:dyDescent="0.25">
      <c r="A560" s="1" t="s">
        <v>1094</v>
      </c>
      <c r="B560" s="28">
        <v>44225</v>
      </c>
      <c r="C560" s="21" t="str">
        <f t="shared" si="41"/>
        <v>2021</v>
      </c>
      <c r="D560" s="19" t="str">
        <f t="shared" si="42"/>
        <v>January</v>
      </c>
      <c r="E560" s="3" t="s">
        <v>1095</v>
      </c>
      <c r="F560" s="3" t="str">
        <f>VLOOKUP(E560,Customers!$A$2:$I$1001,2,0)</f>
        <v>Kenton Wetherick</v>
      </c>
      <c r="G560" s="3" t="str">
        <f>VLOOKUP(E560,Customers!$A$2:$I$1001,3,0)</f>
        <v>UNKNOWN</v>
      </c>
      <c r="H560" s="3" t="str">
        <f>VLOOKUP(E560,Customers!$A$2:$I$1001,4,0)</f>
        <v>+1 (859) 628-7241</v>
      </c>
      <c r="I560" s="25" t="str">
        <f>VLOOKUP(E560,Customers!$A$2:$I$1001,6,0)</f>
        <v>Lexington</v>
      </c>
      <c r="J560" s="25" t="str">
        <f>VLOOKUP(E560,Customers!$A$2:$I$1001,7,0)</f>
        <v>United States</v>
      </c>
      <c r="K560" s="23" t="str">
        <f>VLOOKUP(E560,Customers!$A$2:$I$1001,9,0)</f>
        <v>Yes</v>
      </c>
      <c r="L560" s="4" t="s">
        <v>38</v>
      </c>
      <c r="M560" s="4" t="str">
        <f>VLOOKUP(L560,Products!$A$2:$G$49,2,0)</f>
        <v>Liberica</v>
      </c>
      <c r="N560" s="4" t="str">
        <f>VLOOKUP(L560,Products!$A$2:$G$49,3,0)</f>
        <v>Dark</v>
      </c>
      <c r="O560" s="25">
        <v>4</v>
      </c>
      <c r="P560" s="5">
        <f>INDEX([1]products!$A$1:$G$49,MATCH([1]orders!$D560,[1]products!$A$1:$A$49,0),MATCH([1]orders!K$1,[1]products!$A$1:$G$1,0))</f>
        <v>0.2</v>
      </c>
      <c r="Q560" s="6">
        <f>INDEX([1]products!$A$1:$G$49,MATCH([1]orders!$D560,[1]products!$A$1:$A$49,0),MATCH([1]orders!L$1,[1]products!$A$1:$G$1,0))</f>
        <v>3.8849999999999998</v>
      </c>
      <c r="R560" s="6">
        <f t="shared" si="40"/>
        <v>15.54</v>
      </c>
      <c r="S560">
        <f>VLOOKUP(L560,Products!$A$2:$G$49,7,0)</f>
        <v>0.50505</v>
      </c>
      <c r="T560">
        <f t="shared" si="43"/>
        <v>2.0202</v>
      </c>
      <c r="U560" s="33">
        <f t="shared" si="44"/>
        <v>13</v>
      </c>
    </row>
    <row r="561" spans="1:21" x14ac:dyDescent="0.25">
      <c r="A561" s="1" t="s">
        <v>1096</v>
      </c>
      <c r="B561" s="28">
        <v>44667</v>
      </c>
      <c r="C561" s="21" t="str">
        <f t="shared" si="41"/>
        <v>2022</v>
      </c>
      <c r="D561" s="19" t="str">
        <f t="shared" si="42"/>
        <v>April</v>
      </c>
      <c r="E561" s="3" t="s">
        <v>1097</v>
      </c>
      <c r="F561" s="3" t="str">
        <f>VLOOKUP(E561,Customers!$A$2:$I$1001,2,0)</f>
        <v>Reamonn Aynold</v>
      </c>
      <c r="G561" s="3" t="str">
        <f>VLOOKUP(E561,Customers!$A$2:$I$1001,3,0)</f>
        <v>raynoldfj@ustream.tv</v>
      </c>
      <c r="H561" s="3" t="str">
        <f>VLOOKUP(E561,Customers!$A$2:$I$1001,4,0)</f>
        <v>+1 (414) 429-0919</v>
      </c>
      <c r="I561" s="25" t="str">
        <f>VLOOKUP(E561,Customers!$A$2:$I$1001,6,0)</f>
        <v>Milwaukee</v>
      </c>
      <c r="J561" s="25" t="str">
        <f>VLOOKUP(E561,Customers!$A$2:$I$1001,7,0)</f>
        <v>United States</v>
      </c>
      <c r="K561" s="23" t="str">
        <f>VLOOKUP(E561,Customers!$A$2:$I$1001,9,0)</f>
        <v>Yes</v>
      </c>
      <c r="L561" s="4" t="s">
        <v>6</v>
      </c>
      <c r="M561" s="4" t="str">
        <f>VLOOKUP(L561,Products!$A$2:$G$49,2,0)</f>
        <v>Arabica</v>
      </c>
      <c r="N561" s="4" t="str">
        <f>VLOOKUP(L561,Products!$A$2:$G$49,3,0)</f>
        <v>Light</v>
      </c>
      <c r="O561" s="25">
        <v>3</v>
      </c>
      <c r="P561" s="5">
        <f>INDEX([1]products!$A$1:$G$49,MATCH([1]orders!$D561,[1]products!$A$1:$A$49,0),MATCH([1]orders!K$1,[1]products!$A$1:$G$1,0))</f>
        <v>1</v>
      </c>
      <c r="Q561" s="6">
        <f>INDEX([1]products!$A$1:$G$49,MATCH([1]orders!$D561,[1]products!$A$1:$A$49,0),MATCH([1]orders!L$1,[1]products!$A$1:$G$1,0))</f>
        <v>12.95</v>
      </c>
      <c r="R561" s="6">
        <f t="shared" si="40"/>
        <v>38.849999999999994</v>
      </c>
      <c r="S561">
        <f>VLOOKUP(L561,Products!$A$2:$G$49,7,0)</f>
        <v>1.1655</v>
      </c>
      <c r="T561">
        <f t="shared" si="43"/>
        <v>3.4965000000000002</v>
      </c>
      <c r="U561" s="33">
        <f t="shared" si="44"/>
        <v>9.0000000000000018</v>
      </c>
    </row>
    <row r="562" spans="1:21" x14ac:dyDescent="0.25">
      <c r="A562" s="1" t="s">
        <v>1098</v>
      </c>
      <c r="B562" s="28">
        <v>44401</v>
      </c>
      <c r="C562" s="21" t="str">
        <f t="shared" si="41"/>
        <v>2021</v>
      </c>
      <c r="D562" s="19" t="str">
        <f t="shared" si="42"/>
        <v>July</v>
      </c>
      <c r="E562" s="3" t="s">
        <v>1099</v>
      </c>
      <c r="F562" s="3" t="str">
        <f>VLOOKUP(E562,Customers!$A$2:$I$1001,2,0)</f>
        <v>Hatty Dovydenas</v>
      </c>
      <c r="G562" s="3" t="str">
        <f>VLOOKUP(E562,Customers!$A$2:$I$1001,3,0)</f>
        <v>UNKNOWN</v>
      </c>
      <c r="H562" s="3" t="str">
        <f>VLOOKUP(E562,Customers!$A$2:$I$1001,4,0)</f>
        <v>+1 (281) 416-9557</v>
      </c>
      <c r="I562" s="25" t="str">
        <f>VLOOKUP(E562,Customers!$A$2:$I$1001,6,0)</f>
        <v>Amarillo</v>
      </c>
      <c r="J562" s="25" t="str">
        <f>VLOOKUP(E562,Customers!$A$2:$I$1001,7,0)</f>
        <v>United States</v>
      </c>
      <c r="K562" s="23" t="str">
        <f>VLOOKUP(E562,Customers!$A$2:$I$1001,9,0)</f>
        <v>Yes</v>
      </c>
      <c r="L562" s="4" t="s">
        <v>112</v>
      </c>
      <c r="M562" s="4" t="str">
        <f>VLOOKUP(L562,Products!$A$2:$G$49,2,0)</f>
        <v>Excelsa</v>
      </c>
      <c r="N562" s="4" t="str">
        <f>VLOOKUP(L562,Products!$A$2:$G$49,3,0)</f>
        <v>Medium</v>
      </c>
      <c r="O562" s="25">
        <v>6</v>
      </c>
      <c r="P562" s="5">
        <f>INDEX([1]products!$A$1:$G$49,MATCH([1]orders!$D562,[1]products!$A$1:$A$49,0),MATCH([1]orders!K$1,[1]products!$A$1:$G$1,0))</f>
        <v>2.5</v>
      </c>
      <c r="Q562" s="6">
        <f>INDEX([1]products!$A$1:$G$49,MATCH([1]orders!$D562,[1]products!$A$1:$A$49,0),MATCH([1]orders!L$1,[1]products!$A$1:$G$1,0))</f>
        <v>31.624999999999996</v>
      </c>
      <c r="R562" s="6">
        <f t="shared" si="40"/>
        <v>189.74999999999997</v>
      </c>
      <c r="S562">
        <f>VLOOKUP(L562,Products!$A$2:$G$49,7,0)</f>
        <v>3.4787499999999998</v>
      </c>
      <c r="T562">
        <f t="shared" si="43"/>
        <v>20.872499999999999</v>
      </c>
      <c r="U562" s="33">
        <f t="shared" si="44"/>
        <v>11.000000000000002</v>
      </c>
    </row>
    <row r="563" spans="1:21" x14ac:dyDescent="0.25">
      <c r="A563" s="1" t="s">
        <v>1100</v>
      </c>
      <c r="B563" s="28">
        <v>43688</v>
      </c>
      <c r="C563" s="21" t="str">
        <f t="shared" si="41"/>
        <v>2019</v>
      </c>
      <c r="D563" s="19" t="str">
        <f t="shared" si="42"/>
        <v>August</v>
      </c>
      <c r="E563" s="3" t="s">
        <v>1101</v>
      </c>
      <c r="F563" s="3" t="str">
        <f>VLOOKUP(E563,Customers!$A$2:$I$1001,2,0)</f>
        <v>Nathaniel Bloxland</v>
      </c>
      <c r="G563" s="3" t="str">
        <f>VLOOKUP(E563,Customers!$A$2:$I$1001,3,0)</f>
        <v>UNKNOWN</v>
      </c>
      <c r="H563" s="3" t="str">
        <f>VLOOKUP(E563,Customers!$A$2:$I$1001,4,0)</f>
        <v>+353 (652) 208-7526</v>
      </c>
      <c r="I563" s="25" t="str">
        <f>VLOOKUP(E563,Customers!$A$2:$I$1001,6,0)</f>
        <v>Daingean</v>
      </c>
      <c r="J563" s="25" t="str">
        <f>VLOOKUP(E563,Customers!$A$2:$I$1001,7,0)</f>
        <v>Ireland</v>
      </c>
      <c r="K563" s="23" t="str">
        <f>VLOOKUP(E563,Customers!$A$2:$I$1001,9,0)</f>
        <v>Yes</v>
      </c>
      <c r="L563" s="4" t="s">
        <v>54</v>
      </c>
      <c r="M563" s="4" t="str">
        <f>VLOOKUP(L563,Products!$A$2:$G$49,2,0)</f>
        <v>Arabica</v>
      </c>
      <c r="N563" s="4" t="str">
        <f>VLOOKUP(L563,Products!$A$2:$G$49,3,0)</f>
        <v>Dark</v>
      </c>
      <c r="O563" s="25">
        <v>6</v>
      </c>
      <c r="P563" s="5">
        <f>INDEX([1]products!$A$1:$G$49,MATCH([1]orders!$D563,[1]products!$A$1:$A$49,0),MATCH([1]orders!K$1,[1]products!$A$1:$G$1,0))</f>
        <v>0.2</v>
      </c>
      <c r="Q563" s="6">
        <f>INDEX([1]products!$A$1:$G$49,MATCH([1]orders!$D563,[1]products!$A$1:$A$49,0),MATCH([1]orders!L$1,[1]products!$A$1:$G$1,0))</f>
        <v>2.9849999999999999</v>
      </c>
      <c r="R563" s="6">
        <f t="shared" si="40"/>
        <v>17.91</v>
      </c>
      <c r="S563">
        <f>VLOOKUP(L563,Products!$A$2:$G$49,7,0)</f>
        <v>0.26865</v>
      </c>
      <c r="T563">
        <f t="shared" si="43"/>
        <v>1.6118999999999999</v>
      </c>
      <c r="U563" s="33">
        <f t="shared" si="44"/>
        <v>9</v>
      </c>
    </row>
    <row r="564" spans="1:21" x14ac:dyDescent="0.25">
      <c r="A564" s="1" t="s">
        <v>1102</v>
      </c>
      <c r="B564" s="28">
        <v>43669</v>
      </c>
      <c r="C564" s="21" t="str">
        <f t="shared" si="41"/>
        <v>2019</v>
      </c>
      <c r="D564" s="19" t="str">
        <f t="shared" si="42"/>
        <v>July</v>
      </c>
      <c r="E564" s="3" t="s">
        <v>1103</v>
      </c>
      <c r="F564" s="3" t="str">
        <f>VLOOKUP(E564,Customers!$A$2:$I$1001,2,0)</f>
        <v>Brendan Grece</v>
      </c>
      <c r="G564" s="3" t="str">
        <f>VLOOKUP(E564,Customers!$A$2:$I$1001,3,0)</f>
        <v>bgrecefm@naver.com</v>
      </c>
      <c r="H564" s="3" t="str">
        <f>VLOOKUP(E564,Customers!$A$2:$I$1001,4,0)</f>
        <v>+44 (933) 508-3795</v>
      </c>
      <c r="I564" s="25" t="str">
        <f>VLOOKUP(E564,Customers!$A$2:$I$1001,6,0)</f>
        <v>Halton</v>
      </c>
      <c r="J564" s="25" t="str">
        <f>VLOOKUP(E564,Customers!$A$2:$I$1001,7,0)</f>
        <v>United Kingdom</v>
      </c>
      <c r="K564" s="23" t="str">
        <f>VLOOKUP(E564,Customers!$A$2:$I$1001,9,0)</f>
        <v>No</v>
      </c>
      <c r="L564" s="4" t="s">
        <v>19</v>
      </c>
      <c r="M564" s="4" t="str">
        <f>VLOOKUP(L564,Products!$A$2:$G$49,2,0)</f>
        <v>Liberica</v>
      </c>
      <c r="N564" s="4" t="str">
        <f>VLOOKUP(L564,Products!$A$2:$G$49,3,0)</f>
        <v>Light</v>
      </c>
      <c r="O564" s="25">
        <v>6</v>
      </c>
      <c r="P564" s="5">
        <f>INDEX([1]products!$A$1:$G$49,MATCH([1]orders!$D564,[1]products!$A$1:$A$49,0),MATCH([1]orders!K$1,[1]products!$A$1:$G$1,0))</f>
        <v>0.2</v>
      </c>
      <c r="Q564" s="6">
        <f>INDEX([1]products!$A$1:$G$49,MATCH([1]orders!$D564,[1]products!$A$1:$A$49,0),MATCH([1]orders!L$1,[1]products!$A$1:$G$1,0))</f>
        <v>4.7549999999999999</v>
      </c>
      <c r="R564" s="6">
        <f t="shared" si="40"/>
        <v>28.53</v>
      </c>
      <c r="S564">
        <f>VLOOKUP(L564,Products!$A$2:$G$49,7,0)</f>
        <v>0.61814999999999998</v>
      </c>
      <c r="T564">
        <f t="shared" si="43"/>
        <v>3.7088999999999999</v>
      </c>
      <c r="U564" s="33">
        <f t="shared" si="44"/>
        <v>12.999999999999998</v>
      </c>
    </row>
    <row r="565" spans="1:21" x14ac:dyDescent="0.25">
      <c r="A565" s="1" t="s">
        <v>1104</v>
      </c>
      <c r="B565" s="28">
        <v>43991</v>
      </c>
      <c r="C565" s="21" t="str">
        <f t="shared" si="41"/>
        <v>2020</v>
      </c>
      <c r="D565" s="19" t="str">
        <f t="shared" si="42"/>
        <v>June</v>
      </c>
      <c r="E565" s="3" t="s">
        <v>1105</v>
      </c>
      <c r="F565" s="3" t="str">
        <f>VLOOKUP(E565,Customers!$A$2:$I$1001,2,0)</f>
        <v>Don Flintiff</v>
      </c>
      <c r="G565" s="3" t="str">
        <f>VLOOKUP(E565,Customers!$A$2:$I$1001,3,0)</f>
        <v>dflintiffg1@e-recht24.de</v>
      </c>
      <c r="H565" s="3" t="str">
        <f>VLOOKUP(E565,Customers!$A$2:$I$1001,4,0)</f>
        <v>UNKNOWN</v>
      </c>
      <c r="I565" s="25" t="str">
        <f>VLOOKUP(E565,Customers!$A$2:$I$1001,6,0)</f>
        <v>London</v>
      </c>
      <c r="J565" s="25" t="str">
        <f>VLOOKUP(E565,Customers!$A$2:$I$1001,7,0)</f>
        <v>United Kingdom</v>
      </c>
      <c r="K565" s="23" t="str">
        <f>VLOOKUP(E565,Customers!$A$2:$I$1001,9,0)</f>
        <v>No</v>
      </c>
      <c r="L565" s="4" t="s">
        <v>9</v>
      </c>
      <c r="M565" s="4" t="str">
        <f>VLOOKUP(L565,Products!$A$2:$G$49,2,0)</f>
        <v>Excelsa</v>
      </c>
      <c r="N565" s="4" t="str">
        <f>VLOOKUP(L565,Products!$A$2:$G$49,3,0)</f>
        <v>Medium</v>
      </c>
      <c r="O565" s="25">
        <v>6</v>
      </c>
      <c r="P565" s="5">
        <f>INDEX([1]products!$A$1:$G$49,MATCH([1]orders!$D565,[1]products!$A$1:$A$49,0),MATCH([1]orders!K$1,[1]products!$A$1:$G$1,0))</f>
        <v>1</v>
      </c>
      <c r="Q565" s="6">
        <f>INDEX([1]products!$A$1:$G$49,MATCH([1]orders!$D565,[1]products!$A$1:$A$49,0),MATCH([1]orders!L$1,[1]products!$A$1:$G$1,0))</f>
        <v>13.75</v>
      </c>
      <c r="R565" s="6">
        <f t="shared" si="40"/>
        <v>82.5</v>
      </c>
      <c r="S565">
        <f>VLOOKUP(L565,Products!$A$2:$G$49,7,0)</f>
        <v>1.5125</v>
      </c>
      <c r="T565">
        <f t="shared" si="43"/>
        <v>9.0749999999999993</v>
      </c>
      <c r="U565" s="33">
        <f t="shared" si="44"/>
        <v>10.999999999999998</v>
      </c>
    </row>
    <row r="566" spans="1:21" x14ac:dyDescent="0.25">
      <c r="A566" s="1" t="s">
        <v>1106</v>
      </c>
      <c r="B566" s="28">
        <v>43883</v>
      </c>
      <c r="C566" s="21" t="str">
        <f t="shared" si="41"/>
        <v>2020</v>
      </c>
      <c r="D566" s="19" t="str">
        <f t="shared" si="42"/>
        <v>February</v>
      </c>
      <c r="E566" s="3" t="s">
        <v>1107</v>
      </c>
      <c r="F566" s="3" t="str">
        <f>VLOOKUP(E566,Customers!$A$2:$I$1001,2,0)</f>
        <v>Abbe Thys</v>
      </c>
      <c r="G566" s="3" t="str">
        <f>VLOOKUP(E566,Customers!$A$2:$I$1001,3,0)</f>
        <v>athysfo@cdc.gov</v>
      </c>
      <c r="H566" s="3" t="str">
        <f>VLOOKUP(E566,Customers!$A$2:$I$1001,4,0)</f>
        <v>+1 (865) 217-6208</v>
      </c>
      <c r="I566" s="25" t="str">
        <f>VLOOKUP(E566,Customers!$A$2:$I$1001,6,0)</f>
        <v>Knoxville</v>
      </c>
      <c r="J566" s="25" t="str">
        <f>VLOOKUP(E566,Customers!$A$2:$I$1001,7,0)</f>
        <v>United States</v>
      </c>
      <c r="K566" s="23" t="str">
        <f>VLOOKUP(E566,Customers!$A$2:$I$1001,9,0)</f>
        <v>No</v>
      </c>
      <c r="L566" s="4" t="s">
        <v>157</v>
      </c>
      <c r="M566" s="4" t="str">
        <f>VLOOKUP(L566,Products!$A$2:$G$49,2,0)</f>
        <v>Robusta</v>
      </c>
      <c r="N566" s="4" t="str">
        <f>VLOOKUP(L566,Products!$A$2:$G$49,3,0)</f>
        <v>Light</v>
      </c>
      <c r="O566" s="25">
        <v>2</v>
      </c>
      <c r="P566" s="5">
        <f>INDEX([1]products!$A$1:$G$49,MATCH([1]orders!$D566,[1]products!$A$1:$A$49,0),MATCH([1]orders!K$1,[1]products!$A$1:$G$1,0))</f>
        <v>0.5</v>
      </c>
      <c r="Q566" s="6">
        <f>INDEX([1]products!$A$1:$G$49,MATCH([1]orders!$D566,[1]products!$A$1:$A$49,0),MATCH([1]orders!L$1,[1]products!$A$1:$G$1,0))</f>
        <v>7.169999999999999</v>
      </c>
      <c r="R566" s="6">
        <f t="shared" si="40"/>
        <v>14.339999999999998</v>
      </c>
      <c r="S566">
        <f>VLOOKUP(L566,Products!$A$2:$G$49,7,0)</f>
        <v>0.43019999999999992</v>
      </c>
      <c r="T566">
        <f t="shared" si="43"/>
        <v>0.86039999999999983</v>
      </c>
      <c r="U566" s="33">
        <f t="shared" si="44"/>
        <v>6</v>
      </c>
    </row>
    <row r="567" spans="1:21" x14ac:dyDescent="0.25">
      <c r="A567" s="1" t="s">
        <v>1108</v>
      </c>
      <c r="B567" s="28">
        <v>44031</v>
      </c>
      <c r="C567" s="21" t="str">
        <f t="shared" si="41"/>
        <v>2020</v>
      </c>
      <c r="D567" s="19" t="str">
        <f t="shared" si="42"/>
        <v>July</v>
      </c>
      <c r="E567" s="3" t="s">
        <v>1109</v>
      </c>
      <c r="F567" s="3" t="str">
        <f>VLOOKUP(E567,Customers!$A$2:$I$1001,2,0)</f>
        <v>Jackquelin Chugg</v>
      </c>
      <c r="G567" s="3" t="str">
        <f>VLOOKUP(E567,Customers!$A$2:$I$1001,3,0)</f>
        <v>jchuggfp@about.me</v>
      </c>
      <c r="H567" s="3" t="str">
        <f>VLOOKUP(E567,Customers!$A$2:$I$1001,4,0)</f>
        <v>+1 (913) 466-8319</v>
      </c>
      <c r="I567" s="25" t="str">
        <f>VLOOKUP(E567,Customers!$A$2:$I$1001,6,0)</f>
        <v>Shawnee Mission</v>
      </c>
      <c r="J567" s="25" t="str">
        <f>VLOOKUP(E567,Customers!$A$2:$I$1001,7,0)</f>
        <v>United States</v>
      </c>
      <c r="K567" s="23" t="str">
        <f>VLOOKUP(E567,Customers!$A$2:$I$1001,9,0)</f>
        <v>No</v>
      </c>
      <c r="L567" s="4" t="s">
        <v>35</v>
      </c>
      <c r="M567" s="4" t="str">
        <f>VLOOKUP(L567,Products!$A$2:$G$49,2,0)</f>
        <v>Robusta</v>
      </c>
      <c r="N567" s="4" t="str">
        <f>VLOOKUP(L567,Products!$A$2:$G$49,3,0)</f>
        <v>Dark</v>
      </c>
      <c r="O567" s="25">
        <v>4</v>
      </c>
      <c r="P567" s="5">
        <f>INDEX([1]products!$A$1:$G$49,MATCH([1]orders!$D567,[1]products!$A$1:$A$49,0),MATCH([1]orders!K$1,[1]products!$A$1:$G$1,0))</f>
        <v>2.5</v>
      </c>
      <c r="Q567" s="6">
        <f>INDEX([1]products!$A$1:$G$49,MATCH([1]orders!$D567,[1]products!$A$1:$A$49,0),MATCH([1]orders!L$1,[1]products!$A$1:$G$1,0))</f>
        <v>20.584999999999997</v>
      </c>
      <c r="R567" s="6">
        <f t="shared" si="40"/>
        <v>82.339999999999989</v>
      </c>
      <c r="S567">
        <f>VLOOKUP(L567,Products!$A$2:$G$49,7,0)</f>
        <v>1.2350999999999999</v>
      </c>
      <c r="T567">
        <f t="shared" si="43"/>
        <v>4.9403999999999995</v>
      </c>
      <c r="U567" s="33">
        <f t="shared" si="44"/>
        <v>6.0000000000000009</v>
      </c>
    </row>
    <row r="568" spans="1:21" x14ac:dyDescent="0.25">
      <c r="A568" s="1" t="s">
        <v>1110</v>
      </c>
      <c r="B568" s="28">
        <v>44459</v>
      </c>
      <c r="C568" s="21" t="str">
        <f t="shared" si="41"/>
        <v>2021</v>
      </c>
      <c r="D568" s="19" t="str">
        <f t="shared" si="42"/>
        <v>September</v>
      </c>
      <c r="E568" s="3" t="s">
        <v>1111</v>
      </c>
      <c r="F568" s="3" t="str">
        <f>VLOOKUP(E568,Customers!$A$2:$I$1001,2,0)</f>
        <v>Audra Kelston</v>
      </c>
      <c r="G568" s="3" t="str">
        <f>VLOOKUP(E568,Customers!$A$2:$I$1001,3,0)</f>
        <v>akelstonfq@sakura.ne.jp</v>
      </c>
      <c r="H568" s="3" t="str">
        <f>VLOOKUP(E568,Customers!$A$2:$I$1001,4,0)</f>
        <v>+1 (954) 981-8804</v>
      </c>
      <c r="I568" s="25" t="str">
        <f>VLOOKUP(E568,Customers!$A$2:$I$1001,6,0)</f>
        <v>Fort Lauderdale</v>
      </c>
      <c r="J568" s="25" t="str">
        <f>VLOOKUP(E568,Customers!$A$2:$I$1001,7,0)</f>
        <v>United States</v>
      </c>
      <c r="K568" s="23" t="str">
        <f>VLOOKUP(E568,Customers!$A$2:$I$1001,9,0)</f>
        <v>Yes</v>
      </c>
      <c r="L568" s="4" t="s">
        <v>44</v>
      </c>
      <c r="M568" s="4" t="str">
        <f>VLOOKUP(L568,Products!$A$2:$G$49,2,0)</f>
        <v>Arabica</v>
      </c>
      <c r="N568" s="4" t="str">
        <f>VLOOKUP(L568,Products!$A$2:$G$49,3,0)</f>
        <v>Medium</v>
      </c>
      <c r="O568" s="25">
        <v>6</v>
      </c>
      <c r="P568" s="5">
        <f>INDEX([1]products!$A$1:$G$49,MATCH([1]orders!$D568,[1]products!$A$1:$A$49,0),MATCH([1]orders!K$1,[1]products!$A$1:$G$1,0))</f>
        <v>0.2</v>
      </c>
      <c r="Q568" s="6">
        <f>INDEX([1]products!$A$1:$G$49,MATCH([1]orders!$D568,[1]products!$A$1:$A$49,0),MATCH([1]orders!L$1,[1]products!$A$1:$G$1,0))</f>
        <v>3.375</v>
      </c>
      <c r="R568" s="6">
        <f t="shared" si="40"/>
        <v>20.25</v>
      </c>
      <c r="S568">
        <f>VLOOKUP(L568,Products!$A$2:$G$49,7,0)</f>
        <v>0.30374999999999996</v>
      </c>
      <c r="T568">
        <f t="shared" si="43"/>
        <v>1.8224999999999998</v>
      </c>
      <c r="U568" s="33">
        <f t="shared" si="44"/>
        <v>8.9999999999999982</v>
      </c>
    </row>
    <row r="569" spans="1:21" x14ac:dyDescent="0.25">
      <c r="A569" s="1" t="s">
        <v>1112</v>
      </c>
      <c r="B569" s="28">
        <v>44318</v>
      </c>
      <c r="C569" s="21" t="str">
        <f t="shared" si="41"/>
        <v>2021</v>
      </c>
      <c r="D569" s="19" t="str">
        <f t="shared" si="42"/>
        <v>May</v>
      </c>
      <c r="E569" s="3" t="s">
        <v>1113</v>
      </c>
      <c r="F569" s="3" t="str">
        <f>VLOOKUP(E569,Customers!$A$2:$I$1001,2,0)</f>
        <v>Elvina Angel</v>
      </c>
      <c r="G569" s="3" t="str">
        <f>VLOOKUP(E569,Customers!$A$2:$I$1001,3,0)</f>
        <v>UNKNOWN</v>
      </c>
      <c r="H569" s="3" t="str">
        <f>VLOOKUP(E569,Customers!$A$2:$I$1001,4,0)</f>
        <v>+353 (921) 742-1111</v>
      </c>
      <c r="I569" s="25" t="str">
        <f>VLOOKUP(E569,Customers!$A$2:$I$1001,6,0)</f>
        <v>Tralee</v>
      </c>
      <c r="J569" s="25" t="str">
        <f>VLOOKUP(E569,Customers!$A$2:$I$1001,7,0)</f>
        <v>Ireland</v>
      </c>
      <c r="K569" s="23" t="str">
        <f>VLOOKUP(E569,Customers!$A$2:$I$1001,9,0)</f>
        <v>No</v>
      </c>
      <c r="L569" s="4" t="s">
        <v>10</v>
      </c>
      <c r="M569" s="4" t="str">
        <f>VLOOKUP(L569,Products!$A$2:$G$49,2,0)</f>
        <v>Robusta</v>
      </c>
      <c r="N569" s="4" t="str">
        <f>VLOOKUP(L569,Products!$A$2:$G$49,3,0)</f>
        <v>Light</v>
      </c>
      <c r="O569" s="25">
        <v>6</v>
      </c>
      <c r="P569" s="5">
        <f>INDEX([1]products!$A$1:$G$49,MATCH([1]orders!$D569,[1]products!$A$1:$A$49,0),MATCH([1]orders!K$1,[1]products!$A$1:$G$1,0))</f>
        <v>2.5</v>
      </c>
      <c r="Q569" s="6">
        <f>INDEX([1]products!$A$1:$G$49,MATCH([1]orders!$D569,[1]products!$A$1:$A$49,0),MATCH([1]orders!L$1,[1]products!$A$1:$G$1,0))</f>
        <v>27.484999999999996</v>
      </c>
      <c r="R569" s="6">
        <f t="shared" si="40"/>
        <v>164.90999999999997</v>
      </c>
      <c r="S569">
        <f>VLOOKUP(L569,Products!$A$2:$G$49,7,0)</f>
        <v>1.6490999999999998</v>
      </c>
      <c r="T569">
        <f t="shared" si="43"/>
        <v>9.8945999999999987</v>
      </c>
      <c r="U569" s="33">
        <f t="shared" si="44"/>
        <v>6.0000000000000009</v>
      </c>
    </row>
    <row r="570" spans="1:21" x14ac:dyDescent="0.25">
      <c r="A570" s="1" t="s">
        <v>1114</v>
      </c>
      <c r="B570" s="28">
        <v>44526</v>
      </c>
      <c r="C570" s="21" t="str">
        <f t="shared" si="41"/>
        <v>2021</v>
      </c>
      <c r="D570" s="19" t="str">
        <f t="shared" si="42"/>
        <v>November</v>
      </c>
      <c r="E570" s="3" t="s">
        <v>1115</v>
      </c>
      <c r="F570" s="3" t="str">
        <f>VLOOKUP(E570,Customers!$A$2:$I$1001,2,0)</f>
        <v>Claiborne Mottram</v>
      </c>
      <c r="G570" s="3" t="str">
        <f>VLOOKUP(E570,Customers!$A$2:$I$1001,3,0)</f>
        <v>cmottramfs@harvard.edu</v>
      </c>
      <c r="H570" s="3" t="str">
        <f>VLOOKUP(E570,Customers!$A$2:$I$1001,4,0)</f>
        <v>+1 (512) 333-9861</v>
      </c>
      <c r="I570" s="25" t="str">
        <f>VLOOKUP(E570,Customers!$A$2:$I$1001,6,0)</f>
        <v>Austin</v>
      </c>
      <c r="J570" s="25" t="str">
        <f>VLOOKUP(E570,Customers!$A$2:$I$1001,7,0)</f>
        <v>United States</v>
      </c>
      <c r="K570" s="23" t="str">
        <f>VLOOKUP(E570,Customers!$A$2:$I$1001,9,0)</f>
        <v>Yes</v>
      </c>
      <c r="L570" s="4" t="s">
        <v>19</v>
      </c>
      <c r="M570" s="4" t="str">
        <f>VLOOKUP(L570,Products!$A$2:$G$49,2,0)</f>
        <v>Liberica</v>
      </c>
      <c r="N570" s="4" t="str">
        <f>VLOOKUP(L570,Products!$A$2:$G$49,3,0)</f>
        <v>Light</v>
      </c>
      <c r="O570" s="25">
        <v>4</v>
      </c>
      <c r="P570" s="5">
        <f>INDEX([1]products!$A$1:$G$49,MATCH([1]orders!$D570,[1]products!$A$1:$A$49,0),MATCH([1]orders!K$1,[1]products!$A$1:$G$1,0))</f>
        <v>0.2</v>
      </c>
      <c r="Q570" s="6">
        <f>INDEX([1]products!$A$1:$G$49,MATCH([1]orders!$D570,[1]products!$A$1:$A$49,0),MATCH([1]orders!L$1,[1]products!$A$1:$G$1,0))</f>
        <v>4.7549999999999999</v>
      </c>
      <c r="R570" s="6">
        <f t="shared" si="40"/>
        <v>19.02</v>
      </c>
      <c r="S570">
        <f>VLOOKUP(L570,Products!$A$2:$G$49,7,0)</f>
        <v>0.61814999999999998</v>
      </c>
      <c r="T570">
        <f t="shared" si="43"/>
        <v>2.4725999999999999</v>
      </c>
      <c r="U570" s="33">
        <f t="shared" si="44"/>
        <v>13</v>
      </c>
    </row>
    <row r="571" spans="1:21" x14ac:dyDescent="0.25">
      <c r="A571" s="1" t="s">
        <v>1116</v>
      </c>
      <c r="B571" s="28">
        <v>43879</v>
      </c>
      <c r="C571" s="21" t="str">
        <f t="shared" si="41"/>
        <v>2020</v>
      </c>
      <c r="D571" s="19" t="str">
        <f t="shared" si="42"/>
        <v>February</v>
      </c>
      <c r="E571" s="3" t="s">
        <v>1105</v>
      </c>
      <c r="F571" s="3" t="str">
        <f>VLOOKUP(E571,Customers!$A$2:$I$1001,2,0)</f>
        <v>Don Flintiff</v>
      </c>
      <c r="G571" s="3" t="str">
        <f>VLOOKUP(E571,Customers!$A$2:$I$1001,3,0)</f>
        <v>dflintiffg1@e-recht24.de</v>
      </c>
      <c r="H571" s="3" t="str">
        <f>VLOOKUP(E571,Customers!$A$2:$I$1001,4,0)</f>
        <v>UNKNOWN</v>
      </c>
      <c r="I571" s="25" t="str">
        <f>VLOOKUP(E571,Customers!$A$2:$I$1001,6,0)</f>
        <v>London</v>
      </c>
      <c r="J571" s="25" t="str">
        <f>VLOOKUP(E571,Customers!$A$2:$I$1001,7,0)</f>
        <v>United Kingdom</v>
      </c>
      <c r="K571" s="23" t="str">
        <f>VLOOKUP(E571,Customers!$A$2:$I$1001,9,0)</f>
        <v>No</v>
      </c>
      <c r="L571" s="4" t="s">
        <v>118</v>
      </c>
      <c r="M571" s="4" t="str">
        <f>VLOOKUP(L571,Products!$A$2:$G$49,2,0)</f>
        <v>Arabica</v>
      </c>
      <c r="N571" s="4" t="str">
        <f>VLOOKUP(L571,Products!$A$2:$G$49,3,0)</f>
        <v>Dark</v>
      </c>
      <c r="O571" s="25">
        <v>6</v>
      </c>
      <c r="P571" s="5">
        <f>INDEX([1]products!$A$1:$G$49,MATCH([1]orders!$D571,[1]products!$A$1:$A$49,0),MATCH([1]orders!K$1,[1]products!$A$1:$G$1,0))</f>
        <v>2.5</v>
      </c>
      <c r="Q571" s="6">
        <f>INDEX([1]products!$A$1:$G$49,MATCH([1]orders!$D571,[1]products!$A$1:$A$49,0),MATCH([1]orders!L$1,[1]products!$A$1:$G$1,0))</f>
        <v>22.884999999999998</v>
      </c>
      <c r="R571" s="6">
        <f t="shared" si="40"/>
        <v>137.31</v>
      </c>
      <c r="S571">
        <f>VLOOKUP(L571,Products!$A$2:$G$49,7,0)</f>
        <v>2.0596499999999995</v>
      </c>
      <c r="T571">
        <f t="shared" si="43"/>
        <v>12.357899999999997</v>
      </c>
      <c r="U571" s="33">
        <f t="shared" si="44"/>
        <v>8.9999999999999982</v>
      </c>
    </row>
    <row r="572" spans="1:21" x14ac:dyDescent="0.25">
      <c r="A572" s="1" t="s">
        <v>1117</v>
      </c>
      <c r="B572" s="28">
        <v>43928</v>
      </c>
      <c r="C572" s="21" t="str">
        <f t="shared" si="41"/>
        <v>2020</v>
      </c>
      <c r="D572" s="19" t="str">
        <f t="shared" si="42"/>
        <v>April</v>
      </c>
      <c r="E572" s="3" t="s">
        <v>1118</v>
      </c>
      <c r="F572" s="3" t="str">
        <f>VLOOKUP(E572,Customers!$A$2:$I$1001,2,0)</f>
        <v>Donalt Sangwin</v>
      </c>
      <c r="G572" s="3" t="str">
        <f>VLOOKUP(E572,Customers!$A$2:$I$1001,3,0)</f>
        <v>dsangwinfu@weebly.com</v>
      </c>
      <c r="H572" s="3" t="str">
        <f>VLOOKUP(E572,Customers!$A$2:$I$1001,4,0)</f>
        <v>+1 (301) 879-4079</v>
      </c>
      <c r="I572" s="25" t="str">
        <f>VLOOKUP(E572,Customers!$A$2:$I$1001,6,0)</f>
        <v>Hyattsville</v>
      </c>
      <c r="J572" s="25" t="str">
        <f>VLOOKUP(E572,Customers!$A$2:$I$1001,7,0)</f>
        <v>United States</v>
      </c>
      <c r="K572" s="23" t="str">
        <f>VLOOKUP(E572,Customers!$A$2:$I$1001,9,0)</f>
        <v>No</v>
      </c>
      <c r="L572" s="4" t="s">
        <v>67</v>
      </c>
      <c r="M572" s="4" t="str">
        <f>VLOOKUP(L572,Products!$A$2:$G$49,2,0)</f>
        <v>Arabica</v>
      </c>
      <c r="N572" s="4" t="str">
        <f>VLOOKUP(L572,Products!$A$2:$G$49,3,0)</f>
        <v>Medium</v>
      </c>
      <c r="O572" s="25">
        <v>4</v>
      </c>
      <c r="P572" s="5">
        <f>INDEX([1]products!$A$1:$G$49,MATCH([1]orders!$D572,[1]products!$A$1:$A$49,0),MATCH([1]orders!K$1,[1]products!$A$1:$G$1,0))</f>
        <v>0.5</v>
      </c>
      <c r="Q572" s="6">
        <f>INDEX([1]products!$A$1:$G$49,MATCH([1]orders!$D572,[1]products!$A$1:$A$49,0),MATCH([1]orders!L$1,[1]products!$A$1:$G$1,0))</f>
        <v>6.75</v>
      </c>
      <c r="R572" s="6">
        <f t="shared" si="40"/>
        <v>27</v>
      </c>
      <c r="S572">
        <f>VLOOKUP(L572,Products!$A$2:$G$49,7,0)</f>
        <v>0.60749999999999993</v>
      </c>
      <c r="T572">
        <f t="shared" si="43"/>
        <v>2.4299999999999997</v>
      </c>
      <c r="U572" s="33">
        <f t="shared" si="44"/>
        <v>8.9999999999999982</v>
      </c>
    </row>
    <row r="573" spans="1:21" x14ac:dyDescent="0.25">
      <c r="A573" s="1" t="s">
        <v>1119</v>
      </c>
      <c r="B573" s="28">
        <v>44592</v>
      </c>
      <c r="C573" s="21" t="str">
        <f t="shared" si="41"/>
        <v>2022</v>
      </c>
      <c r="D573" s="19" t="str">
        <f t="shared" si="42"/>
        <v>January</v>
      </c>
      <c r="E573" s="3" t="s">
        <v>1120</v>
      </c>
      <c r="F573" s="3" t="str">
        <f>VLOOKUP(E573,Customers!$A$2:$I$1001,2,0)</f>
        <v>Elizabet Aizikowitz</v>
      </c>
      <c r="G573" s="3" t="str">
        <f>VLOOKUP(E573,Customers!$A$2:$I$1001,3,0)</f>
        <v>eaizikowitzfv@virginia.edu</v>
      </c>
      <c r="H573" s="3" t="str">
        <f>VLOOKUP(E573,Customers!$A$2:$I$1001,4,0)</f>
        <v>+44 (148) 635-3706</v>
      </c>
      <c r="I573" s="25" t="str">
        <f>VLOOKUP(E573,Customers!$A$2:$I$1001,6,0)</f>
        <v>Ashley</v>
      </c>
      <c r="J573" s="25" t="str">
        <f>VLOOKUP(E573,Customers!$A$2:$I$1001,7,0)</f>
        <v>United Kingdom</v>
      </c>
      <c r="K573" s="23" t="str">
        <f>VLOOKUP(E573,Customers!$A$2:$I$1001,9,0)</f>
        <v>No</v>
      </c>
      <c r="L573" s="4" t="s">
        <v>176</v>
      </c>
      <c r="M573" s="4" t="str">
        <f>VLOOKUP(L573,Products!$A$2:$G$49,2,0)</f>
        <v>Excelsa</v>
      </c>
      <c r="N573" s="4" t="str">
        <f>VLOOKUP(L573,Products!$A$2:$G$49,3,0)</f>
        <v>Light</v>
      </c>
      <c r="O573" s="25">
        <v>4</v>
      </c>
      <c r="P573" s="5">
        <f>INDEX([1]products!$A$1:$G$49,MATCH([1]orders!$D573,[1]products!$A$1:$A$49,0),MATCH([1]orders!K$1,[1]products!$A$1:$G$1,0))</f>
        <v>0.5</v>
      </c>
      <c r="Q573" s="6">
        <f>INDEX([1]products!$A$1:$G$49,MATCH([1]orders!$D573,[1]products!$A$1:$A$49,0),MATCH([1]orders!L$1,[1]products!$A$1:$G$1,0))</f>
        <v>8.91</v>
      </c>
      <c r="R573" s="6">
        <f t="shared" si="40"/>
        <v>35.64</v>
      </c>
      <c r="S573">
        <f>VLOOKUP(L573,Products!$A$2:$G$49,7,0)</f>
        <v>0.98009999999999997</v>
      </c>
      <c r="T573">
        <f t="shared" si="43"/>
        <v>3.9203999999999999</v>
      </c>
      <c r="U573" s="33">
        <f t="shared" si="44"/>
        <v>11</v>
      </c>
    </row>
    <row r="574" spans="1:21" x14ac:dyDescent="0.25">
      <c r="A574" s="1" t="s">
        <v>1121</v>
      </c>
      <c r="B574" s="28">
        <v>43515</v>
      </c>
      <c r="C574" s="21" t="str">
        <f t="shared" si="41"/>
        <v>2019</v>
      </c>
      <c r="D574" s="19" t="str">
        <f t="shared" si="42"/>
        <v>February</v>
      </c>
      <c r="E574" s="3" t="s">
        <v>1122</v>
      </c>
      <c r="F574" s="3" t="str">
        <f>VLOOKUP(E574,Customers!$A$2:$I$1001,2,0)</f>
        <v>Herbie Peppard</v>
      </c>
      <c r="G574" s="3" t="str">
        <f>VLOOKUP(E574,Customers!$A$2:$I$1001,3,0)</f>
        <v>UNKNOWN</v>
      </c>
      <c r="H574" s="3" t="str">
        <f>VLOOKUP(E574,Customers!$A$2:$I$1001,4,0)</f>
        <v>UNKNOWN</v>
      </c>
      <c r="I574" s="25" t="str">
        <f>VLOOKUP(E574,Customers!$A$2:$I$1001,6,0)</f>
        <v>Pasadena</v>
      </c>
      <c r="J574" s="25" t="str">
        <f>VLOOKUP(E574,Customers!$A$2:$I$1001,7,0)</f>
        <v>United States</v>
      </c>
      <c r="K574" s="23" t="str">
        <f>VLOOKUP(E574,Customers!$A$2:$I$1001,9,0)</f>
        <v>Yes</v>
      </c>
      <c r="L574" s="4" t="s">
        <v>54</v>
      </c>
      <c r="M574" s="4" t="str">
        <f>VLOOKUP(L574,Products!$A$2:$G$49,2,0)</f>
        <v>Arabica</v>
      </c>
      <c r="N574" s="4" t="str">
        <f>VLOOKUP(L574,Products!$A$2:$G$49,3,0)</f>
        <v>Dark</v>
      </c>
      <c r="O574" s="25">
        <v>2</v>
      </c>
      <c r="P574" s="5">
        <f>INDEX([1]products!$A$1:$G$49,MATCH([1]orders!$D574,[1]products!$A$1:$A$49,0),MATCH([1]orders!K$1,[1]products!$A$1:$G$1,0))</f>
        <v>0.2</v>
      </c>
      <c r="Q574" s="6">
        <f>INDEX([1]products!$A$1:$G$49,MATCH([1]orders!$D574,[1]products!$A$1:$A$49,0),MATCH([1]orders!L$1,[1]products!$A$1:$G$1,0))</f>
        <v>2.9849999999999999</v>
      </c>
      <c r="R574" s="6">
        <f t="shared" si="40"/>
        <v>5.97</v>
      </c>
      <c r="S574">
        <f>VLOOKUP(L574,Products!$A$2:$G$49,7,0)</f>
        <v>0.26865</v>
      </c>
      <c r="T574">
        <f t="shared" si="43"/>
        <v>0.5373</v>
      </c>
      <c r="U574" s="33">
        <f t="shared" si="44"/>
        <v>9.0000000000000018</v>
      </c>
    </row>
    <row r="575" spans="1:21" x14ac:dyDescent="0.25">
      <c r="A575" s="1" t="s">
        <v>1123</v>
      </c>
      <c r="B575" s="28">
        <v>43781</v>
      </c>
      <c r="C575" s="21" t="str">
        <f t="shared" si="41"/>
        <v>2019</v>
      </c>
      <c r="D575" s="19" t="str">
        <f t="shared" si="42"/>
        <v>November</v>
      </c>
      <c r="E575" s="3" t="s">
        <v>1124</v>
      </c>
      <c r="F575" s="3" t="str">
        <f>VLOOKUP(E575,Customers!$A$2:$I$1001,2,0)</f>
        <v>Cornie Venour</v>
      </c>
      <c r="G575" s="3" t="str">
        <f>VLOOKUP(E575,Customers!$A$2:$I$1001,3,0)</f>
        <v>cvenourfx@ask.com</v>
      </c>
      <c r="H575" s="3" t="str">
        <f>VLOOKUP(E575,Customers!$A$2:$I$1001,4,0)</f>
        <v>+1 (318) 578-8039</v>
      </c>
      <c r="I575" s="25" t="str">
        <f>VLOOKUP(E575,Customers!$A$2:$I$1001,6,0)</f>
        <v>Shreveport</v>
      </c>
      <c r="J575" s="25" t="str">
        <f>VLOOKUP(E575,Customers!$A$2:$I$1001,7,0)</f>
        <v>United States</v>
      </c>
      <c r="K575" s="23" t="str">
        <f>VLOOKUP(E575,Customers!$A$2:$I$1001,9,0)</f>
        <v>No</v>
      </c>
      <c r="L575" s="4" t="s">
        <v>61</v>
      </c>
      <c r="M575" s="4" t="str">
        <f>VLOOKUP(L575,Products!$A$2:$G$49,2,0)</f>
        <v>Arabica</v>
      </c>
      <c r="N575" s="4" t="str">
        <f>VLOOKUP(L575,Products!$A$2:$G$49,3,0)</f>
        <v>Medium</v>
      </c>
      <c r="O575" s="25">
        <v>6</v>
      </c>
      <c r="P575" s="5">
        <f>INDEX([1]products!$A$1:$G$49,MATCH([1]orders!$D575,[1]products!$A$1:$A$49,0),MATCH([1]orders!K$1,[1]products!$A$1:$G$1,0))</f>
        <v>1</v>
      </c>
      <c r="Q575" s="6">
        <f>INDEX([1]products!$A$1:$G$49,MATCH([1]orders!$D575,[1]products!$A$1:$A$49,0),MATCH([1]orders!L$1,[1]products!$A$1:$G$1,0))</f>
        <v>11.25</v>
      </c>
      <c r="R575" s="6">
        <f t="shared" si="40"/>
        <v>67.5</v>
      </c>
      <c r="S575">
        <f>VLOOKUP(L575,Products!$A$2:$G$49,7,0)</f>
        <v>1.0125</v>
      </c>
      <c r="T575">
        <f t="shared" si="43"/>
        <v>6.0749999999999993</v>
      </c>
      <c r="U575" s="33">
        <f t="shared" si="44"/>
        <v>8.9999999999999982</v>
      </c>
    </row>
    <row r="576" spans="1:21" x14ac:dyDescent="0.25">
      <c r="A576" s="1" t="s">
        <v>1125</v>
      </c>
      <c r="B576" s="28">
        <v>44697</v>
      </c>
      <c r="C576" s="21" t="str">
        <f t="shared" si="41"/>
        <v>2022</v>
      </c>
      <c r="D576" s="19" t="str">
        <f t="shared" si="42"/>
        <v>May</v>
      </c>
      <c r="E576" s="3" t="s">
        <v>1126</v>
      </c>
      <c r="F576" s="3" t="str">
        <f>VLOOKUP(E576,Customers!$A$2:$I$1001,2,0)</f>
        <v>Maggy Harby</v>
      </c>
      <c r="G576" s="3" t="str">
        <f>VLOOKUP(E576,Customers!$A$2:$I$1001,3,0)</f>
        <v>mharbyfy@163.com</v>
      </c>
      <c r="H576" s="3" t="str">
        <f>VLOOKUP(E576,Customers!$A$2:$I$1001,4,0)</f>
        <v>UNKNOWN</v>
      </c>
      <c r="I576" s="25" t="str">
        <f>VLOOKUP(E576,Customers!$A$2:$I$1001,6,0)</f>
        <v>Pensacola</v>
      </c>
      <c r="J576" s="25" t="str">
        <f>VLOOKUP(E576,Customers!$A$2:$I$1001,7,0)</f>
        <v>United States</v>
      </c>
      <c r="K576" s="23" t="str">
        <f>VLOOKUP(E576,Customers!$A$2:$I$1001,9,0)</f>
        <v>Yes</v>
      </c>
      <c r="L576" s="4" t="s">
        <v>182</v>
      </c>
      <c r="M576" s="4" t="str">
        <f>VLOOKUP(L576,Products!$A$2:$G$49,2,0)</f>
        <v>Robusta</v>
      </c>
      <c r="N576" s="4" t="str">
        <f>VLOOKUP(L576,Products!$A$2:$G$49,3,0)</f>
        <v>Light</v>
      </c>
      <c r="O576" s="25">
        <v>6</v>
      </c>
      <c r="P576" s="5">
        <f>INDEX([1]products!$A$1:$G$49,MATCH([1]orders!$D576,[1]products!$A$1:$A$49,0),MATCH([1]orders!K$1,[1]products!$A$1:$G$1,0))</f>
        <v>0.2</v>
      </c>
      <c r="Q576" s="6">
        <f>INDEX([1]products!$A$1:$G$49,MATCH([1]orders!$D576,[1]products!$A$1:$A$49,0),MATCH([1]orders!L$1,[1]products!$A$1:$G$1,0))</f>
        <v>3.5849999999999995</v>
      </c>
      <c r="R576" s="6">
        <f t="shared" si="40"/>
        <v>21.509999999999998</v>
      </c>
      <c r="S576">
        <f>VLOOKUP(L576,Products!$A$2:$G$49,7,0)</f>
        <v>0.21509999999999996</v>
      </c>
      <c r="T576">
        <f t="shared" si="43"/>
        <v>1.2905999999999997</v>
      </c>
      <c r="U576" s="33">
        <f t="shared" si="44"/>
        <v>5.9999999999999991</v>
      </c>
    </row>
    <row r="577" spans="1:21" x14ac:dyDescent="0.25">
      <c r="A577" s="1" t="s">
        <v>1127</v>
      </c>
      <c r="B577" s="28">
        <v>44239</v>
      </c>
      <c r="C577" s="21" t="str">
        <f t="shared" si="41"/>
        <v>2021</v>
      </c>
      <c r="D577" s="19" t="str">
        <f t="shared" si="42"/>
        <v>February</v>
      </c>
      <c r="E577" s="3" t="s">
        <v>1128</v>
      </c>
      <c r="F577" s="3" t="str">
        <f>VLOOKUP(E577,Customers!$A$2:$I$1001,2,0)</f>
        <v>Reggie Thickpenny</v>
      </c>
      <c r="G577" s="3" t="str">
        <f>VLOOKUP(E577,Customers!$A$2:$I$1001,3,0)</f>
        <v>rthickpennyfz@cafepress.com</v>
      </c>
      <c r="H577" s="3" t="str">
        <f>VLOOKUP(E577,Customers!$A$2:$I$1001,4,0)</f>
        <v>+1 (213) 234-9242</v>
      </c>
      <c r="I577" s="25" t="str">
        <f>VLOOKUP(E577,Customers!$A$2:$I$1001,6,0)</f>
        <v>Los Angeles</v>
      </c>
      <c r="J577" s="25" t="str">
        <f>VLOOKUP(E577,Customers!$A$2:$I$1001,7,0)</f>
        <v>United States</v>
      </c>
      <c r="K577" s="23" t="str">
        <f>VLOOKUP(E577,Customers!$A$2:$I$1001,9,0)</f>
        <v>No</v>
      </c>
      <c r="L577" s="4" t="s">
        <v>197</v>
      </c>
      <c r="M577" s="4" t="str">
        <f>VLOOKUP(L577,Products!$A$2:$G$49,2,0)</f>
        <v>Liberica</v>
      </c>
      <c r="N577" s="4" t="str">
        <f>VLOOKUP(L577,Products!$A$2:$G$49,3,0)</f>
        <v>Medium</v>
      </c>
      <c r="O577" s="25">
        <v>2</v>
      </c>
      <c r="P577" s="5">
        <f>INDEX([1]products!$A$1:$G$49,MATCH([1]orders!$D577,[1]products!$A$1:$A$49,0),MATCH([1]orders!K$1,[1]products!$A$1:$G$1,0))</f>
        <v>2.5</v>
      </c>
      <c r="Q577" s="6">
        <f>INDEX([1]products!$A$1:$G$49,MATCH([1]orders!$D577,[1]products!$A$1:$A$49,0),MATCH([1]orders!L$1,[1]products!$A$1:$G$1,0))</f>
        <v>33.464999999999996</v>
      </c>
      <c r="R577" s="6">
        <f t="shared" si="40"/>
        <v>66.929999999999993</v>
      </c>
      <c r="S577">
        <f>VLOOKUP(L577,Products!$A$2:$G$49,7,0)</f>
        <v>4.3504499999999995</v>
      </c>
      <c r="T577">
        <f t="shared" si="43"/>
        <v>8.700899999999999</v>
      </c>
      <c r="U577" s="33">
        <f t="shared" si="44"/>
        <v>13</v>
      </c>
    </row>
    <row r="578" spans="1:21" x14ac:dyDescent="0.25">
      <c r="A578" s="1" t="s">
        <v>1129</v>
      </c>
      <c r="B578" s="28">
        <v>44290</v>
      </c>
      <c r="C578" s="21" t="str">
        <f t="shared" si="41"/>
        <v>2021</v>
      </c>
      <c r="D578" s="19" t="str">
        <f t="shared" si="42"/>
        <v>April</v>
      </c>
      <c r="E578" s="3" t="s">
        <v>1130</v>
      </c>
      <c r="F578" s="3" t="str">
        <f>VLOOKUP(E578,Customers!$A$2:$I$1001,2,0)</f>
        <v>Phyllys Ormerod</v>
      </c>
      <c r="G578" s="3" t="str">
        <f>VLOOKUP(E578,Customers!$A$2:$I$1001,3,0)</f>
        <v>pormerodg0@redcross.org</v>
      </c>
      <c r="H578" s="3" t="str">
        <f>VLOOKUP(E578,Customers!$A$2:$I$1001,4,0)</f>
        <v>+1 (919) 491-2772</v>
      </c>
      <c r="I578" s="25" t="str">
        <f>VLOOKUP(E578,Customers!$A$2:$I$1001,6,0)</f>
        <v>Durham</v>
      </c>
      <c r="J578" s="25" t="str">
        <f>VLOOKUP(E578,Customers!$A$2:$I$1001,7,0)</f>
        <v>United States</v>
      </c>
      <c r="K578" s="23" t="str">
        <f>VLOOKUP(E578,Customers!$A$2:$I$1001,9,0)</f>
        <v>No</v>
      </c>
      <c r="L578" s="4" t="s">
        <v>54</v>
      </c>
      <c r="M578" s="4" t="str">
        <f>VLOOKUP(L578,Products!$A$2:$G$49,2,0)</f>
        <v>Arabica</v>
      </c>
      <c r="N578" s="4" t="str">
        <f>VLOOKUP(L578,Products!$A$2:$G$49,3,0)</f>
        <v>Dark</v>
      </c>
      <c r="O578" s="25">
        <v>6</v>
      </c>
      <c r="P578" s="5">
        <f>INDEX([1]products!$A$1:$G$49,MATCH([1]orders!$D578,[1]products!$A$1:$A$49,0),MATCH([1]orders!K$1,[1]products!$A$1:$G$1,0))</f>
        <v>0.2</v>
      </c>
      <c r="Q578" s="6">
        <f>INDEX([1]products!$A$1:$G$49,MATCH([1]orders!$D578,[1]products!$A$1:$A$49,0),MATCH([1]orders!L$1,[1]products!$A$1:$G$1,0))</f>
        <v>2.9849999999999999</v>
      </c>
      <c r="R578" s="6">
        <f t="shared" ref="R578:R641" si="45">O578*Q578</f>
        <v>17.91</v>
      </c>
      <c r="S578">
        <f>VLOOKUP(L578,Products!$A$2:$G$49,7,0)</f>
        <v>0.26865</v>
      </c>
      <c r="T578">
        <f t="shared" si="43"/>
        <v>1.6118999999999999</v>
      </c>
      <c r="U578" s="33">
        <f t="shared" si="44"/>
        <v>9</v>
      </c>
    </row>
    <row r="579" spans="1:21" x14ac:dyDescent="0.25">
      <c r="A579" s="1" t="s">
        <v>1131</v>
      </c>
      <c r="B579" s="28">
        <v>44410</v>
      </c>
      <c r="C579" s="21" t="str">
        <f t="shared" ref="C579:C642" si="46">TEXT(B579,"yyyy")</f>
        <v>2021</v>
      </c>
      <c r="D579" s="19" t="str">
        <f t="shared" ref="D579:D642" si="47">TEXT(B579,"mmmm")</f>
        <v>August</v>
      </c>
      <c r="E579" s="3" t="s">
        <v>1105</v>
      </c>
      <c r="F579" s="3" t="str">
        <f>VLOOKUP(E579,Customers!$A$2:$I$1001,2,0)</f>
        <v>Don Flintiff</v>
      </c>
      <c r="G579" s="3" t="str">
        <f>VLOOKUP(E579,Customers!$A$2:$I$1001,3,0)</f>
        <v>dflintiffg1@e-recht24.de</v>
      </c>
      <c r="H579" s="3" t="str">
        <f>VLOOKUP(E579,Customers!$A$2:$I$1001,4,0)</f>
        <v>UNKNOWN</v>
      </c>
      <c r="I579" s="25" t="str">
        <f>VLOOKUP(E579,Customers!$A$2:$I$1001,6,0)</f>
        <v>London</v>
      </c>
      <c r="J579" s="25" t="str">
        <f>VLOOKUP(E579,Customers!$A$2:$I$1001,7,0)</f>
        <v>United Kingdom</v>
      </c>
      <c r="K579" s="23" t="str">
        <f>VLOOKUP(E579,Customers!$A$2:$I$1001,9,0)</f>
        <v>No</v>
      </c>
      <c r="L579" s="4" t="s">
        <v>96</v>
      </c>
      <c r="M579" s="4" t="str">
        <f>VLOOKUP(L579,Products!$A$2:$G$49,2,0)</f>
        <v>Liberica</v>
      </c>
      <c r="N579" s="4" t="str">
        <f>VLOOKUP(L579,Products!$A$2:$G$49,3,0)</f>
        <v>Medium</v>
      </c>
      <c r="O579" s="25">
        <v>4</v>
      </c>
      <c r="P579" s="5">
        <f>INDEX([1]products!$A$1:$G$49,MATCH([1]orders!$D579,[1]products!$A$1:$A$49,0),MATCH([1]orders!K$1,[1]products!$A$1:$G$1,0))</f>
        <v>1</v>
      </c>
      <c r="Q579" s="6">
        <f>INDEX([1]products!$A$1:$G$49,MATCH([1]orders!$D579,[1]products!$A$1:$A$49,0),MATCH([1]orders!L$1,[1]products!$A$1:$G$1,0))</f>
        <v>14.55</v>
      </c>
      <c r="R579" s="6">
        <f t="shared" si="45"/>
        <v>58.2</v>
      </c>
      <c r="S579">
        <f>VLOOKUP(L579,Products!$A$2:$G$49,7,0)</f>
        <v>1.8915000000000002</v>
      </c>
      <c r="T579">
        <f t="shared" ref="T579:T642" si="48">O579*S579</f>
        <v>7.5660000000000007</v>
      </c>
      <c r="U579" s="33">
        <f t="shared" ref="U579:U642" si="49">T579/R579*100</f>
        <v>13</v>
      </c>
    </row>
    <row r="580" spans="1:21" x14ac:dyDescent="0.25">
      <c r="A580" s="1" t="s">
        <v>1132</v>
      </c>
      <c r="B580" s="28">
        <v>44720</v>
      </c>
      <c r="C580" s="21" t="str">
        <f t="shared" si="46"/>
        <v>2022</v>
      </c>
      <c r="D580" s="19" t="str">
        <f t="shared" si="47"/>
        <v>June</v>
      </c>
      <c r="E580" s="3" t="s">
        <v>1133</v>
      </c>
      <c r="F580" s="3" t="str">
        <f>VLOOKUP(E580,Customers!$A$2:$I$1001,2,0)</f>
        <v>Tymon Zanetti</v>
      </c>
      <c r="G580" s="3" t="str">
        <f>VLOOKUP(E580,Customers!$A$2:$I$1001,3,0)</f>
        <v>tzanettig2@gravatar.com</v>
      </c>
      <c r="H580" s="3" t="str">
        <f>VLOOKUP(E580,Customers!$A$2:$I$1001,4,0)</f>
        <v>+353 (351) 897-2630</v>
      </c>
      <c r="I580" s="25" t="str">
        <f>VLOOKUP(E580,Customers!$A$2:$I$1001,6,0)</f>
        <v>Loughrea</v>
      </c>
      <c r="J580" s="25" t="str">
        <f>VLOOKUP(E580,Customers!$A$2:$I$1001,7,0)</f>
        <v>Ireland</v>
      </c>
      <c r="K580" s="23" t="str">
        <f>VLOOKUP(E580,Customers!$A$2:$I$1001,9,0)</f>
        <v>No</v>
      </c>
      <c r="L580" s="4" t="s">
        <v>254</v>
      </c>
      <c r="M580" s="4" t="str">
        <f>VLOOKUP(L580,Products!$A$2:$G$49,2,0)</f>
        <v>Excelsa</v>
      </c>
      <c r="N580" s="4" t="str">
        <f>VLOOKUP(L580,Products!$A$2:$G$49,3,0)</f>
        <v>Light</v>
      </c>
      <c r="O580" s="25">
        <v>3</v>
      </c>
      <c r="P580" s="5">
        <f>INDEX([1]products!$A$1:$G$49,MATCH([1]orders!$D580,[1]products!$A$1:$A$49,0),MATCH([1]orders!K$1,[1]products!$A$1:$G$1,0))</f>
        <v>0.2</v>
      </c>
      <c r="Q580" s="6">
        <f>INDEX([1]products!$A$1:$G$49,MATCH([1]orders!$D580,[1]products!$A$1:$A$49,0),MATCH([1]orders!L$1,[1]products!$A$1:$G$1,0))</f>
        <v>4.4550000000000001</v>
      </c>
      <c r="R580" s="6">
        <f t="shared" si="45"/>
        <v>13.365</v>
      </c>
      <c r="S580">
        <f>VLOOKUP(L580,Products!$A$2:$G$49,7,0)</f>
        <v>0.49004999999999999</v>
      </c>
      <c r="T580">
        <f t="shared" si="48"/>
        <v>1.4701499999999998</v>
      </c>
      <c r="U580" s="33">
        <f t="shared" si="49"/>
        <v>10.999999999999998</v>
      </c>
    </row>
    <row r="581" spans="1:21" x14ac:dyDescent="0.25">
      <c r="A581" s="1" t="s">
        <v>1132</v>
      </c>
      <c r="B581" s="28">
        <v>44720</v>
      </c>
      <c r="C581" s="21" t="str">
        <f t="shared" si="46"/>
        <v>2022</v>
      </c>
      <c r="D581" s="19" t="str">
        <f t="shared" si="47"/>
        <v>June</v>
      </c>
      <c r="E581" s="3" t="s">
        <v>1133</v>
      </c>
      <c r="F581" s="3" t="str">
        <f>VLOOKUP(E581,Customers!$A$2:$I$1001,2,0)</f>
        <v>Tymon Zanetti</v>
      </c>
      <c r="G581" s="3" t="str">
        <f>VLOOKUP(E581,Customers!$A$2:$I$1001,3,0)</f>
        <v>tzanettig2@gravatar.com</v>
      </c>
      <c r="H581" s="3" t="str">
        <f>VLOOKUP(E581,Customers!$A$2:$I$1001,4,0)</f>
        <v>+353 (351) 897-2630</v>
      </c>
      <c r="I581" s="25" t="str">
        <f>VLOOKUP(E581,Customers!$A$2:$I$1001,6,0)</f>
        <v>Loughrea</v>
      </c>
      <c r="J581" s="25" t="str">
        <f>VLOOKUP(E581,Customers!$A$2:$I$1001,7,0)</f>
        <v>Ireland</v>
      </c>
      <c r="K581" s="23" t="str">
        <f>VLOOKUP(E581,Customers!$A$2:$I$1001,9,0)</f>
        <v>No</v>
      </c>
      <c r="L581" s="4" t="s">
        <v>67</v>
      </c>
      <c r="M581" s="4" t="str">
        <f>VLOOKUP(L581,Products!$A$2:$G$49,2,0)</f>
        <v>Arabica</v>
      </c>
      <c r="N581" s="4" t="str">
        <f>VLOOKUP(L581,Products!$A$2:$G$49,3,0)</f>
        <v>Medium</v>
      </c>
      <c r="O581" s="25">
        <v>5</v>
      </c>
      <c r="P581" s="5">
        <f>INDEX([1]products!$A$1:$G$49,MATCH([1]orders!$D581,[1]products!$A$1:$A$49,0),MATCH([1]orders!K$1,[1]products!$A$1:$G$1,0))</f>
        <v>0.5</v>
      </c>
      <c r="Q581" s="6">
        <f>INDEX([1]products!$A$1:$G$49,MATCH([1]orders!$D581,[1]products!$A$1:$A$49,0),MATCH([1]orders!L$1,[1]products!$A$1:$G$1,0))</f>
        <v>6.75</v>
      </c>
      <c r="R581" s="6">
        <f t="shared" si="45"/>
        <v>33.75</v>
      </c>
      <c r="S581">
        <f>VLOOKUP(L581,Products!$A$2:$G$49,7,0)</f>
        <v>0.60749999999999993</v>
      </c>
      <c r="T581">
        <f t="shared" si="48"/>
        <v>3.0374999999999996</v>
      </c>
      <c r="U581" s="33">
        <f t="shared" si="49"/>
        <v>8.9999999999999982</v>
      </c>
    </row>
    <row r="582" spans="1:21" x14ac:dyDescent="0.25">
      <c r="A582" s="1" t="s">
        <v>1134</v>
      </c>
      <c r="B582" s="28">
        <v>43965</v>
      </c>
      <c r="C582" s="21" t="str">
        <f t="shared" si="46"/>
        <v>2020</v>
      </c>
      <c r="D582" s="19" t="str">
        <f t="shared" si="47"/>
        <v>May</v>
      </c>
      <c r="E582" s="3" t="s">
        <v>1135</v>
      </c>
      <c r="F582" s="3" t="str">
        <f>VLOOKUP(E582,Customers!$A$2:$I$1001,2,0)</f>
        <v>Reinaldos Kirtley</v>
      </c>
      <c r="G582" s="3" t="str">
        <f>VLOOKUP(E582,Customers!$A$2:$I$1001,3,0)</f>
        <v>rkirtleyg4@hatena.ne.jp</v>
      </c>
      <c r="H582" s="3" t="str">
        <f>VLOOKUP(E582,Customers!$A$2:$I$1001,4,0)</f>
        <v>+1 (626) 635-6367</v>
      </c>
      <c r="I582" s="25" t="str">
        <f>VLOOKUP(E582,Customers!$A$2:$I$1001,6,0)</f>
        <v>Whittier</v>
      </c>
      <c r="J582" s="25" t="str">
        <f>VLOOKUP(E582,Customers!$A$2:$I$1001,7,0)</f>
        <v>United States</v>
      </c>
      <c r="K582" s="23" t="str">
        <f>VLOOKUP(E582,Customers!$A$2:$I$1001,9,0)</f>
        <v>Yes</v>
      </c>
      <c r="L582" s="4" t="s">
        <v>137</v>
      </c>
      <c r="M582" s="4" t="str">
        <f>VLOOKUP(L582,Products!$A$2:$G$49,2,0)</f>
        <v>Excelsa</v>
      </c>
      <c r="N582" s="4" t="str">
        <f>VLOOKUP(L582,Products!$A$2:$G$49,3,0)</f>
        <v>Light</v>
      </c>
      <c r="O582" s="25">
        <v>3</v>
      </c>
      <c r="P582" s="5">
        <f>INDEX([1]products!$A$1:$G$49,MATCH([1]orders!$D582,[1]products!$A$1:$A$49,0),MATCH([1]orders!K$1,[1]products!$A$1:$G$1,0))</f>
        <v>1</v>
      </c>
      <c r="Q582" s="6">
        <f>INDEX([1]products!$A$1:$G$49,MATCH([1]orders!$D582,[1]products!$A$1:$A$49,0),MATCH([1]orders!L$1,[1]products!$A$1:$G$1,0))</f>
        <v>14.85</v>
      </c>
      <c r="R582" s="6">
        <f t="shared" si="45"/>
        <v>44.55</v>
      </c>
      <c r="S582">
        <f>VLOOKUP(L582,Products!$A$2:$G$49,7,0)</f>
        <v>1.6335</v>
      </c>
      <c r="T582">
        <f t="shared" si="48"/>
        <v>4.9005000000000001</v>
      </c>
      <c r="U582" s="33">
        <f t="shared" si="49"/>
        <v>11.000000000000002</v>
      </c>
    </row>
    <row r="583" spans="1:21" x14ac:dyDescent="0.25">
      <c r="A583" s="1" t="s">
        <v>1136</v>
      </c>
      <c r="B583" s="28">
        <v>44190</v>
      </c>
      <c r="C583" s="21" t="str">
        <f t="shared" si="46"/>
        <v>2020</v>
      </c>
      <c r="D583" s="19" t="str">
        <f t="shared" si="47"/>
        <v>December</v>
      </c>
      <c r="E583" s="3" t="s">
        <v>1137</v>
      </c>
      <c r="F583" s="3" t="str">
        <f>VLOOKUP(E583,Customers!$A$2:$I$1001,2,0)</f>
        <v>Carney Clemencet</v>
      </c>
      <c r="G583" s="3" t="str">
        <f>VLOOKUP(E583,Customers!$A$2:$I$1001,3,0)</f>
        <v>cclemencetg5@weather.com</v>
      </c>
      <c r="H583" s="3" t="str">
        <f>VLOOKUP(E583,Customers!$A$2:$I$1001,4,0)</f>
        <v>UNKNOWN</v>
      </c>
      <c r="I583" s="25" t="str">
        <f>VLOOKUP(E583,Customers!$A$2:$I$1001,6,0)</f>
        <v>Birmingham</v>
      </c>
      <c r="J583" s="25" t="str">
        <f>VLOOKUP(E583,Customers!$A$2:$I$1001,7,0)</f>
        <v>United Kingdom</v>
      </c>
      <c r="K583" s="23" t="str">
        <f>VLOOKUP(E583,Customers!$A$2:$I$1001,9,0)</f>
        <v>Yes</v>
      </c>
      <c r="L583" s="4" t="s">
        <v>176</v>
      </c>
      <c r="M583" s="4" t="str">
        <f>VLOOKUP(L583,Products!$A$2:$G$49,2,0)</f>
        <v>Excelsa</v>
      </c>
      <c r="N583" s="4" t="str">
        <f>VLOOKUP(L583,Products!$A$2:$G$49,3,0)</f>
        <v>Light</v>
      </c>
      <c r="O583" s="25">
        <v>5</v>
      </c>
      <c r="P583" s="5">
        <f>INDEX([1]products!$A$1:$G$49,MATCH([1]orders!$D583,[1]products!$A$1:$A$49,0),MATCH([1]orders!K$1,[1]products!$A$1:$G$1,0))</f>
        <v>0.5</v>
      </c>
      <c r="Q583" s="6">
        <f>INDEX([1]products!$A$1:$G$49,MATCH([1]orders!$D583,[1]products!$A$1:$A$49,0),MATCH([1]orders!L$1,[1]products!$A$1:$G$1,0))</f>
        <v>8.91</v>
      </c>
      <c r="R583" s="6">
        <f t="shared" si="45"/>
        <v>44.55</v>
      </c>
      <c r="S583">
        <f>VLOOKUP(L583,Products!$A$2:$G$49,7,0)</f>
        <v>0.98009999999999997</v>
      </c>
      <c r="T583">
        <f t="shared" si="48"/>
        <v>4.9005000000000001</v>
      </c>
      <c r="U583" s="33">
        <f t="shared" si="49"/>
        <v>11.000000000000002</v>
      </c>
    </row>
    <row r="584" spans="1:21" x14ac:dyDescent="0.25">
      <c r="A584" s="1" t="s">
        <v>1138</v>
      </c>
      <c r="B584" s="28">
        <v>44382</v>
      </c>
      <c r="C584" s="21" t="str">
        <f t="shared" si="46"/>
        <v>2021</v>
      </c>
      <c r="D584" s="19" t="str">
        <f t="shared" si="47"/>
        <v>July</v>
      </c>
      <c r="E584" s="3" t="s">
        <v>1139</v>
      </c>
      <c r="F584" s="3" t="str">
        <f>VLOOKUP(E584,Customers!$A$2:$I$1001,2,0)</f>
        <v>Russell Donet</v>
      </c>
      <c r="G584" s="3" t="str">
        <f>VLOOKUP(E584,Customers!$A$2:$I$1001,3,0)</f>
        <v>rdonetg6@oakley.com</v>
      </c>
      <c r="H584" s="3" t="str">
        <f>VLOOKUP(E584,Customers!$A$2:$I$1001,4,0)</f>
        <v>+1 (804) 583-2067</v>
      </c>
      <c r="I584" s="25" t="str">
        <f>VLOOKUP(E584,Customers!$A$2:$I$1001,6,0)</f>
        <v>Richmond</v>
      </c>
      <c r="J584" s="25" t="str">
        <f>VLOOKUP(E584,Customers!$A$2:$I$1001,7,0)</f>
        <v>United States</v>
      </c>
      <c r="K584" s="23" t="str">
        <f>VLOOKUP(E584,Customers!$A$2:$I$1001,9,0)</f>
        <v>No</v>
      </c>
      <c r="L584" s="4" t="s">
        <v>245</v>
      </c>
      <c r="M584" s="4" t="str">
        <f>VLOOKUP(L584,Products!$A$2:$G$49,2,0)</f>
        <v>Excelsa</v>
      </c>
      <c r="N584" s="4" t="str">
        <f>VLOOKUP(L584,Products!$A$2:$G$49,3,0)</f>
        <v>Dark</v>
      </c>
      <c r="O584" s="25">
        <v>5</v>
      </c>
      <c r="P584" s="5">
        <f>INDEX([1]products!$A$1:$G$49,MATCH([1]orders!$D584,[1]products!$A$1:$A$49,0),MATCH([1]orders!K$1,[1]products!$A$1:$G$1,0))</f>
        <v>1</v>
      </c>
      <c r="Q584" s="6">
        <f>INDEX([1]products!$A$1:$G$49,MATCH([1]orders!$D584,[1]products!$A$1:$A$49,0),MATCH([1]orders!L$1,[1]products!$A$1:$G$1,0))</f>
        <v>12.15</v>
      </c>
      <c r="R584" s="6">
        <f t="shared" si="45"/>
        <v>60.75</v>
      </c>
      <c r="S584">
        <f>VLOOKUP(L584,Products!$A$2:$G$49,7,0)</f>
        <v>1.3365</v>
      </c>
      <c r="T584">
        <f t="shared" si="48"/>
        <v>6.6825000000000001</v>
      </c>
      <c r="U584" s="33">
        <f t="shared" si="49"/>
        <v>11</v>
      </c>
    </row>
    <row r="585" spans="1:21" x14ac:dyDescent="0.25">
      <c r="A585" s="1" t="s">
        <v>1140</v>
      </c>
      <c r="B585" s="28">
        <v>43538</v>
      </c>
      <c r="C585" s="21" t="str">
        <f t="shared" si="46"/>
        <v>2019</v>
      </c>
      <c r="D585" s="19" t="str">
        <f t="shared" si="47"/>
        <v>March</v>
      </c>
      <c r="E585" s="3" t="s">
        <v>1141</v>
      </c>
      <c r="F585" s="3" t="str">
        <f>VLOOKUP(E585,Customers!$A$2:$I$1001,2,0)</f>
        <v>Sidney Gawen</v>
      </c>
      <c r="G585" s="3" t="str">
        <f>VLOOKUP(E585,Customers!$A$2:$I$1001,3,0)</f>
        <v>sgaweng7@creativecommons.org</v>
      </c>
      <c r="H585" s="3" t="str">
        <f>VLOOKUP(E585,Customers!$A$2:$I$1001,4,0)</f>
        <v>+1 (571) 317-3089</v>
      </c>
      <c r="I585" s="25" t="str">
        <f>VLOOKUP(E585,Customers!$A$2:$I$1001,6,0)</f>
        <v>Sterling</v>
      </c>
      <c r="J585" s="25" t="str">
        <f>VLOOKUP(E585,Customers!$A$2:$I$1001,7,0)</f>
        <v>United States</v>
      </c>
      <c r="K585" s="23" t="str">
        <f>VLOOKUP(E585,Customers!$A$2:$I$1001,9,0)</f>
        <v>Yes</v>
      </c>
      <c r="L585" s="4" t="s">
        <v>182</v>
      </c>
      <c r="M585" s="4" t="str">
        <f>VLOOKUP(L585,Products!$A$2:$G$49,2,0)</f>
        <v>Robusta</v>
      </c>
      <c r="N585" s="4" t="str">
        <f>VLOOKUP(L585,Products!$A$2:$G$49,3,0)</f>
        <v>Light</v>
      </c>
      <c r="O585" s="25">
        <v>1</v>
      </c>
      <c r="P585" s="5">
        <f>INDEX([1]products!$A$1:$G$49,MATCH([1]orders!$D585,[1]products!$A$1:$A$49,0),MATCH([1]orders!K$1,[1]products!$A$1:$G$1,0))</f>
        <v>0.2</v>
      </c>
      <c r="Q585" s="6">
        <f>INDEX([1]products!$A$1:$G$49,MATCH([1]orders!$D585,[1]products!$A$1:$A$49,0),MATCH([1]orders!L$1,[1]products!$A$1:$G$1,0))</f>
        <v>3.5849999999999995</v>
      </c>
      <c r="R585" s="6">
        <f t="shared" si="45"/>
        <v>3.5849999999999995</v>
      </c>
      <c r="S585">
        <f>VLOOKUP(L585,Products!$A$2:$G$49,7,0)</f>
        <v>0.21509999999999996</v>
      </c>
      <c r="T585">
        <f t="shared" si="48"/>
        <v>0.21509999999999996</v>
      </c>
      <c r="U585" s="33">
        <f t="shared" si="49"/>
        <v>6</v>
      </c>
    </row>
    <row r="586" spans="1:21" x14ac:dyDescent="0.25">
      <c r="A586" s="1" t="s">
        <v>1142</v>
      </c>
      <c r="B586" s="28">
        <v>44262</v>
      </c>
      <c r="C586" s="21" t="str">
        <f t="shared" si="46"/>
        <v>2021</v>
      </c>
      <c r="D586" s="19" t="str">
        <f t="shared" si="47"/>
        <v>March</v>
      </c>
      <c r="E586" s="3" t="s">
        <v>1143</v>
      </c>
      <c r="F586" s="3" t="str">
        <f>VLOOKUP(E586,Customers!$A$2:$I$1001,2,0)</f>
        <v>Rickey Readie</v>
      </c>
      <c r="G586" s="3" t="str">
        <f>VLOOKUP(E586,Customers!$A$2:$I$1001,3,0)</f>
        <v>rreadieg8@guardian.co.uk</v>
      </c>
      <c r="H586" s="3" t="str">
        <f>VLOOKUP(E586,Customers!$A$2:$I$1001,4,0)</f>
        <v>+1 (775) 993-8273</v>
      </c>
      <c r="I586" s="25" t="str">
        <f>VLOOKUP(E586,Customers!$A$2:$I$1001,6,0)</f>
        <v>Carson City</v>
      </c>
      <c r="J586" s="25" t="str">
        <f>VLOOKUP(E586,Customers!$A$2:$I$1001,7,0)</f>
        <v>United States</v>
      </c>
      <c r="K586" s="23" t="str">
        <f>VLOOKUP(E586,Customers!$A$2:$I$1001,9,0)</f>
        <v>No</v>
      </c>
      <c r="L586" s="4" t="s">
        <v>182</v>
      </c>
      <c r="M586" s="4" t="str">
        <f>VLOOKUP(L586,Products!$A$2:$G$49,2,0)</f>
        <v>Robusta</v>
      </c>
      <c r="N586" s="4" t="str">
        <f>VLOOKUP(L586,Products!$A$2:$G$49,3,0)</f>
        <v>Light</v>
      </c>
      <c r="O586" s="25">
        <v>6</v>
      </c>
      <c r="P586" s="5">
        <f>INDEX([1]products!$A$1:$G$49,MATCH([1]orders!$D586,[1]products!$A$1:$A$49,0),MATCH([1]orders!K$1,[1]products!$A$1:$G$1,0))</f>
        <v>0.2</v>
      </c>
      <c r="Q586" s="6">
        <f>INDEX([1]products!$A$1:$G$49,MATCH([1]orders!$D586,[1]products!$A$1:$A$49,0),MATCH([1]orders!L$1,[1]products!$A$1:$G$1,0))</f>
        <v>3.5849999999999995</v>
      </c>
      <c r="R586" s="6">
        <f t="shared" si="45"/>
        <v>21.509999999999998</v>
      </c>
      <c r="S586">
        <f>VLOOKUP(L586,Products!$A$2:$G$49,7,0)</f>
        <v>0.21509999999999996</v>
      </c>
      <c r="T586">
        <f t="shared" si="48"/>
        <v>1.2905999999999997</v>
      </c>
      <c r="U586" s="33">
        <f t="shared" si="49"/>
        <v>5.9999999999999991</v>
      </c>
    </row>
    <row r="587" spans="1:21" x14ac:dyDescent="0.25">
      <c r="A587" s="1" t="s">
        <v>1144</v>
      </c>
      <c r="B587" s="28">
        <v>44505</v>
      </c>
      <c r="C587" s="21" t="str">
        <f t="shared" si="46"/>
        <v>2021</v>
      </c>
      <c r="D587" s="19" t="str">
        <f t="shared" si="47"/>
        <v>November</v>
      </c>
      <c r="E587" s="3" t="s">
        <v>1145</v>
      </c>
      <c r="F587" s="3" t="str">
        <f>VLOOKUP(E587,Customers!$A$2:$I$1001,2,0)</f>
        <v>Cody Verissimo</v>
      </c>
      <c r="G587" s="3" t="str">
        <f>VLOOKUP(E587,Customers!$A$2:$I$1001,3,0)</f>
        <v>cverissimogh@theglobeandmail.com</v>
      </c>
      <c r="H587" s="3" t="str">
        <f>VLOOKUP(E587,Customers!$A$2:$I$1001,4,0)</f>
        <v>UNKNOWN</v>
      </c>
      <c r="I587" s="25" t="str">
        <f>VLOOKUP(E587,Customers!$A$2:$I$1001,6,0)</f>
        <v>Upton</v>
      </c>
      <c r="J587" s="25" t="str">
        <f>VLOOKUP(E587,Customers!$A$2:$I$1001,7,0)</f>
        <v>United Kingdom</v>
      </c>
      <c r="K587" s="23" t="str">
        <f>VLOOKUP(E587,Customers!$A$2:$I$1001,9,0)</f>
        <v>Yes</v>
      </c>
      <c r="L587" s="4" t="s">
        <v>3</v>
      </c>
      <c r="M587" s="4" t="str">
        <f>VLOOKUP(L587,Products!$A$2:$G$49,2,0)</f>
        <v>Excelsa</v>
      </c>
      <c r="N587" s="4" t="str">
        <f>VLOOKUP(L587,Products!$A$2:$G$49,3,0)</f>
        <v>Medium</v>
      </c>
      <c r="O587" s="25">
        <v>2</v>
      </c>
      <c r="P587" s="5">
        <f>INDEX([1]products!$A$1:$G$49,MATCH([1]orders!$D587,[1]products!$A$1:$A$49,0),MATCH([1]orders!K$1,[1]products!$A$1:$G$1,0))</f>
        <v>0.5</v>
      </c>
      <c r="Q587" s="6">
        <f>INDEX([1]products!$A$1:$G$49,MATCH([1]orders!$D587,[1]products!$A$1:$A$49,0),MATCH([1]orders!L$1,[1]products!$A$1:$G$1,0))</f>
        <v>8.25</v>
      </c>
      <c r="R587" s="6">
        <f t="shared" si="45"/>
        <v>16.5</v>
      </c>
      <c r="S587">
        <f>VLOOKUP(L587,Products!$A$2:$G$49,7,0)</f>
        <v>0.90749999999999997</v>
      </c>
      <c r="T587">
        <f t="shared" si="48"/>
        <v>1.8149999999999999</v>
      </c>
      <c r="U587" s="33">
        <f t="shared" si="49"/>
        <v>11</v>
      </c>
    </row>
    <row r="588" spans="1:21" x14ac:dyDescent="0.25">
      <c r="A588" s="1" t="s">
        <v>1146</v>
      </c>
      <c r="B588" s="28">
        <v>43867</v>
      </c>
      <c r="C588" s="21" t="str">
        <f t="shared" si="46"/>
        <v>2020</v>
      </c>
      <c r="D588" s="19" t="str">
        <f t="shared" si="47"/>
        <v>February</v>
      </c>
      <c r="E588" s="3" t="s">
        <v>1147</v>
      </c>
      <c r="F588" s="3" t="str">
        <f>VLOOKUP(E588,Customers!$A$2:$I$1001,2,0)</f>
        <v>Zilvia Claisse</v>
      </c>
      <c r="G588" s="3" t="str">
        <f>VLOOKUP(E588,Customers!$A$2:$I$1001,3,0)</f>
        <v>UNKNOWN</v>
      </c>
      <c r="H588" s="3" t="str">
        <f>VLOOKUP(E588,Customers!$A$2:$I$1001,4,0)</f>
        <v>+1 (612) 477-9298</v>
      </c>
      <c r="I588" s="25" t="str">
        <f>VLOOKUP(E588,Customers!$A$2:$I$1001,6,0)</f>
        <v>Saint Paul</v>
      </c>
      <c r="J588" s="25" t="str">
        <f>VLOOKUP(E588,Customers!$A$2:$I$1001,7,0)</f>
        <v>United States</v>
      </c>
      <c r="K588" s="23" t="str">
        <f>VLOOKUP(E588,Customers!$A$2:$I$1001,9,0)</f>
        <v>No</v>
      </c>
      <c r="L588" s="4" t="s">
        <v>10</v>
      </c>
      <c r="M588" s="4" t="str">
        <f>VLOOKUP(L588,Products!$A$2:$G$49,2,0)</f>
        <v>Robusta</v>
      </c>
      <c r="N588" s="4" t="str">
        <f>VLOOKUP(L588,Products!$A$2:$G$49,3,0)</f>
        <v>Light</v>
      </c>
      <c r="O588" s="25">
        <v>3</v>
      </c>
      <c r="P588" s="5">
        <f>INDEX([1]products!$A$1:$G$49,MATCH([1]orders!$D588,[1]products!$A$1:$A$49,0),MATCH([1]orders!K$1,[1]products!$A$1:$G$1,0))</f>
        <v>2.5</v>
      </c>
      <c r="Q588" s="6">
        <f>INDEX([1]products!$A$1:$G$49,MATCH([1]orders!$D588,[1]products!$A$1:$A$49,0),MATCH([1]orders!L$1,[1]products!$A$1:$G$1,0))</f>
        <v>27.484999999999996</v>
      </c>
      <c r="R588" s="6">
        <f t="shared" si="45"/>
        <v>82.454999999999984</v>
      </c>
      <c r="S588">
        <f>VLOOKUP(L588,Products!$A$2:$G$49,7,0)</f>
        <v>1.6490999999999998</v>
      </c>
      <c r="T588">
        <f t="shared" si="48"/>
        <v>4.9472999999999994</v>
      </c>
      <c r="U588" s="33">
        <f t="shared" si="49"/>
        <v>6.0000000000000009</v>
      </c>
    </row>
    <row r="589" spans="1:21" x14ac:dyDescent="0.25">
      <c r="A589" s="1" t="s">
        <v>1148</v>
      </c>
      <c r="B589" s="28">
        <v>44267</v>
      </c>
      <c r="C589" s="21" t="str">
        <f t="shared" si="46"/>
        <v>2021</v>
      </c>
      <c r="D589" s="19" t="str">
        <f t="shared" si="47"/>
        <v>March</v>
      </c>
      <c r="E589" s="3" t="s">
        <v>1149</v>
      </c>
      <c r="F589" s="3" t="str">
        <f>VLOOKUP(E589,Customers!$A$2:$I$1001,2,0)</f>
        <v>Bar O' Mahony</v>
      </c>
      <c r="G589" s="3" t="str">
        <f>VLOOKUP(E589,Customers!$A$2:$I$1001,3,0)</f>
        <v>bogb@elpais.com</v>
      </c>
      <c r="H589" s="3" t="str">
        <f>VLOOKUP(E589,Customers!$A$2:$I$1001,4,0)</f>
        <v>UNKNOWN</v>
      </c>
      <c r="I589" s="25" t="str">
        <f>VLOOKUP(E589,Customers!$A$2:$I$1001,6,0)</f>
        <v>Huntsville</v>
      </c>
      <c r="J589" s="25" t="str">
        <f>VLOOKUP(E589,Customers!$A$2:$I$1001,7,0)</f>
        <v>United States</v>
      </c>
      <c r="K589" s="23" t="str">
        <f>VLOOKUP(E589,Customers!$A$2:$I$1001,9,0)</f>
        <v>Yes</v>
      </c>
      <c r="L589" s="4" t="s">
        <v>123</v>
      </c>
      <c r="M589" s="4" t="str">
        <f>VLOOKUP(L589,Products!$A$2:$G$49,2,0)</f>
        <v>Liberica</v>
      </c>
      <c r="N589" s="4" t="str">
        <f>VLOOKUP(L589,Products!$A$2:$G$49,3,0)</f>
        <v>Dark</v>
      </c>
      <c r="O589" s="25">
        <v>1</v>
      </c>
      <c r="P589" s="5">
        <f>INDEX([1]products!$A$1:$G$49,MATCH([1]orders!$D589,[1]products!$A$1:$A$49,0),MATCH([1]orders!K$1,[1]products!$A$1:$G$1,0))</f>
        <v>0.5</v>
      </c>
      <c r="Q589" s="6">
        <f>INDEX([1]products!$A$1:$G$49,MATCH([1]orders!$D589,[1]products!$A$1:$A$49,0),MATCH([1]orders!L$1,[1]products!$A$1:$G$1,0))</f>
        <v>7.77</v>
      </c>
      <c r="R589" s="6">
        <f t="shared" si="45"/>
        <v>7.77</v>
      </c>
      <c r="S589">
        <f>VLOOKUP(L589,Products!$A$2:$G$49,7,0)</f>
        <v>1.0101</v>
      </c>
      <c r="T589">
        <f t="shared" si="48"/>
        <v>1.0101</v>
      </c>
      <c r="U589" s="33">
        <f t="shared" si="49"/>
        <v>13</v>
      </c>
    </row>
    <row r="590" spans="1:21" x14ac:dyDescent="0.25">
      <c r="A590" s="1" t="s">
        <v>1150</v>
      </c>
      <c r="B590" s="28">
        <v>44046</v>
      </c>
      <c r="C590" s="21" t="str">
        <f t="shared" si="46"/>
        <v>2020</v>
      </c>
      <c r="D590" s="19" t="str">
        <f t="shared" si="47"/>
        <v>August</v>
      </c>
      <c r="E590" s="3" t="s">
        <v>1151</v>
      </c>
      <c r="F590" s="3" t="str">
        <f>VLOOKUP(E590,Customers!$A$2:$I$1001,2,0)</f>
        <v>Valenka Stansbury</v>
      </c>
      <c r="G590" s="3" t="str">
        <f>VLOOKUP(E590,Customers!$A$2:$I$1001,3,0)</f>
        <v>vstansburygc@unblog.fr</v>
      </c>
      <c r="H590" s="3" t="str">
        <f>VLOOKUP(E590,Customers!$A$2:$I$1001,4,0)</f>
        <v>+1 (915) 530-3435</v>
      </c>
      <c r="I590" s="25" t="str">
        <f>VLOOKUP(E590,Customers!$A$2:$I$1001,6,0)</f>
        <v>El Paso</v>
      </c>
      <c r="J590" s="25" t="str">
        <f>VLOOKUP(E590,Customers!$A$2:$I$1001,7,0)</f>
        <v>United States</v>
      </c>
      <c r="K590" s="23" t="str">
        <f>VLOOKUP(E590,Customers!$A$2:$I$1001,9,0)</f>
        <v>Yes</v>
      </c>
      <c r="L590" s="4" t="s">
        <v>22</v>
      </c>
      <c r="M590" s="4" t="str">
        <f>VLOOKUP(L590,Products!$A$2:$G$49,2,0)</f>
        <v>Robusta</v>
      </c>
      <c r="N590" s="4" t="str">
        <f>VLOOKUP(L590,Products!$A$2:$G$49,3,0)</f>
        <v>Medium</v>
      </c>
      <c r="O590" s="25">
        <v>2</v>
      </c>
      <c r="P590" s="5">
        <f>INDEX([1]products!$A$1:$G$49,MATCH([1]orders!$D590,[1]products!$A$1:$A$49,0),MATCH([1]orders!K$1,[1]products!$A$1:$G$1,0))</f>
        <v>0.5</v>
      </c>
      <c r="Q590" s="6">
        <f>INDEX([1]products!$A$1:$G$49,MATCH([1]orders!$D590,[1]products!$A$1:$A$49,0),MATCH([1]orders!L$1,[1]products!$A$1:$G$1,0))</f>
        <v>5.97</v>
      </c>
      <c r="R590" s="6">
        <f t="shared" si="45"/>
        <v>11.94</v>
      </c>
      <c r="S590">
        <f>VLOOKUP(L590,Products!$A$2:$G$49,7,0)</f>
        <v>0.35819999999999996</v>
      </c>
      <c r="T590">
        <f t="shared" si="48"/>
        <v>0.71639999999999993</v>
      </c>
      <c r="U590" s="33">
        <f t="shared" si="49"/>
        <v>6</v>
      </c>
    </row>
    <row r="591" spans="1:21" x14ac:dyDescent="0.25">
      <c r="A591" s="1" t="s">
        <v>1152</v>
      </c>
      <c r="B591" s="28">
        <v>43671</v>
      </c>
      <c r="C591" s="21" t="str">
        <f t="shared" si="46"/>
        <v>2019</v>
      </c>
      <c r="D591" s="19" t="str">
        <f t="shared" si="47"/>
        <v>July</v>
      </c>
      <c r="E591" s="3" t="s">
        <v>1153</v>
      </c>
      <c r="F591" s="3" t="str">
        <f>VLOOKUP(E591,Customers!$A$2:$I$1001,2,0)</f>
        <v>Daniel Heinonen</v>
      </c>
      <c r="G591" s="3" t="str">
        <f>VLOOKUP(E591,Customers!$A$2:$I$1001,3,0)</f>
        <v>dheinonengd@printfriendly.com</v>
      </c>
      <c r="H591" s="3" t="str">
        <f>VLOOKUP(E591,Customers!$A$2:$I$1001,4,0)</f>
        <v>UNKNOWN</v>
      </c>
      <c r="I591" s="25" t="str">
        <f>VLOOKUP(E591,Customers!$A$2:$I$1001,6,0)</f>
        <v>Decatur</v>
      </c>
      <c r="J591" s="25" t="str">
        <f>VLOOKUP(E591,Customers!$A$2:$I$1001,7,0)</f>
        <v>United States</v>
      </c>
      <c r="K591" s="23" t="str">
        <f>VLOOKUP(E591,Customers!$A$2:$I$1001,9,0)</f>
        <v>No</v>
      </c>
      <c r="L591" s="4" t="s">
        <v>30</v>
      </c>
      <c r="M591" s="4" t="str">
        <f>VLOOKUP(L591,Products!$A$2:$G$49,2,0)</f>
        <v>Excelsa</v>
      </c>
      <c r="N591" s="4" t="str">
        <f>VLOOKUP(L591,Products!$A$2:$G$49,3,0)</f>
        <v>Light</v>
      </c>
      <c r="O591" s="25">
        <v>6</v>
      </c>
      <c r="P591" s="5">
        <f>INDEX([1]products!$A$1:$G$49,MATCH([1]orders!$D591,[1]products!$A$1:$A$49,0),MATCH([1]orders!K$1,[1]products!$A$1:$G$1,0))</f>
        <v>2.5</v>
      </c>
      <c r="Q591" s="6">
        <f>INDEX([1]products!$A$1:$G$49,MATCH([1]orders!$D591,[1]products!$A$1:$A$49,0),MATCH([1]orders!L$1,[1]products!$A$1:$G$1,0))</f>
        <v>34.154999999999994</v>
      </c>
      <c r="R591" s="6">
        <f t="shared" si="45"/>
        <v>204.92999999999995</v>
      </c>
      <c r="S591">
        <f>VLOOKUP(L591,Products!$A$2:$G$49,7,0)</f>
        <v>3.7570499999999996</v>
      </c>
      <c r="T591">
        <f t="shared" si="48"/>
        <v>22.542299999999997</v>
      </c>
      <c r="U591" s="33">
        <f t="shared" si="49"/>
        <v>11.000000000000002</v>
      </c>
    </row>
    <row r="592" spans="1:21" x14ac:dyDescent="0.25">
      <c r="A592" s="1" t="s">
        <v>1154</v>
      </c>
      <c r="B592" s="28">
        <v>43950</v>
      </c>
      <c r="C592" s="21" t="str">
        <f t="shared" si="46"/>
        <v>2020</v>
      </c>
      <c r="D592" s="19" t="str">
        <f t="shared" si="47"/>
        <v>April</v>
      </c>
      <c r="E592" s="3" t="s">
        <v>1155</v>
      </c>
      <c r="F592" s="3" t="str">
        <f>VLOOKUP(E592,Customers!$A$2:$I$1001,2,0)</f>
        <v>Jewelle Shenton</v>
      </c>
      <c r="G592" s="3" t="str">
        <f>VLOOKUP(E592,Customers!$A$2:$I$1001,3,0)</f>
        <v>jshentonge@google.com.hk</v>
      </c>
      <c r="H592" s="3" t="str">
        <f>VLOOKUP(E592,Customers!$A$2:$I$1001,4,0)</f>
        <v>+1 (650) 712-0135</v>
      </c>
      <c r="I592" s="25" t="str">
        <f>VLOOKUP(E592,Customers!$A$2:$I$1001,6,0)</f>
        <v>Orange</v>
      </c>
      <c r="J592" s="25" t="str">
        <f>VLOOKUP(E592,Customers!$A$2:$I$1001,7,0)</f>
        <v>United States</v>
      </c>
      <c r="K592" s="23" t="str">
        <f>VLOOKUP(E592,Customers!$A$2:$I$1001,9,0)</f>
        <v>Yes</v>
      </c>
      <c r="L592" s="4" t="s">
        <v>112</v>
      </c>
      <c r="M592" s="4" t="str">
        <f>VLOOKUP(L592,Products!$A$2:$G$49,2,0)</f>
        <v>Excelsa</v>
      </c>
      <c r="N592" s="4" t="str">
        <f>VLOOKUP(L592,Products!$A$2:$G$49,3,0)</f>
        <v>Medium</v>
      </c>
      <c r="O592" s="25">
        <v>2</v>
      </c>
      <c r="P592" s="5">
        <f>INDEX([1]products!$A$1:$G$49,MATCH([1]orders!$D592,[1]products!$A$1:$A$49,0),MATCH([1]orders!K$1,[1]products!$A$1:$G$1,0))</f>
        <v>2.5</v>
      </c>
      <c r="Q592" s="6">
        <f>INDEX([1]products!$A$1:$G$49,MATCH([1]orders!$D592,[1]products!$A$1:$A$49,0),MATCH([1]orders!L$1,[1]products!$A$1:$G$1,0))</f>
        <v>31.624999999999996</v>
      </c>
      <c r="R592" s="6">
        <f t="shared" si="45"/>
        <v>63.249999999999993</v>
      </c>
      <c r="S592">
        <f>VLOOKUP(L592,Products!$A$2:$G$49,7,0)</f>
        <v>3.4787499999999998</v>
      </c>
      <c r="T592">
        <f t="shared" si="48"/>
        <v>6.9574999999999996</v>
      </c>
      <c r="U592" s="33">
        <f t="shared" si="49"/>
        <v>11</v>
      </c>
    </row>
    <row r="593" spans="1:21" x14ac:dyDescent="0.25">
      <c r="A593" s="1" t="s">
        <v>1156</v>
      </c>
      <c r="B593" s="28">
        <v>43587</v>
      </c>
      <c r="C593" s="21" t="str">
        <f t="shared" si="46"/>
        <v>2019</v>
      </c>
      <c r="D593" s="19" t="str">
        <f t="shared" si="47"/>
        <v>May</v>
      </c>
      <c r="E593" s="3" t="s">
        <v>1157</v>
      </c>
      <c r="F593" s="3" t="str">
        <f>VLOOKUP(E593,Customers!$A$2:$I$1001,2,0)</f>
        <v>Jennifer Wilkisson</v>
      </c>
      <c r="G593" s="3" t="str">
        <f>VLOOKUP(E593,Customers!$A$2:$I$1001,3,0)</f>
        <v>jwilkissongf@nba.com</v>
      </c>
      <c r="H593" s="3" t="str">
        <f>VLOOKUP(E593,Customers!$A$2:$I$1001,4,0)</f>
        <v>UNKNOWN</v>
      </c>
      <c r="I593" s="25" t="str">
        <f>VLOOKUP(E593,Customers!$A$2:$I$1001,6,0)</f>
        <v>Huntington Beach</v>
      </c>
      <c r="J593" s="25" t="str">
        <f>VLOOKUP(E593,Customers!$A$2:$I$1001,7,0)</f>
        <v>United States</v>
      </c>
      <c r="K593" s="23" t="str">
        <f>VLOOKUP(E593,Customers!$A$2:$I$1001,9,0)</f>
        <v>Yes</v>
      </c>
      <c r="L593" s="4" t="s">
        <v>101</v>
      </c>
      <c r="M593" s="4" t="str">
        <f>VLOOKUP(L593,Products!$A$2:$G$49,2,0)</f>
        <v>Robusta</v>
      </c>
      <c r="N593" s="4" t="str">
        <f>VLOOKUP(L593,Products!$A$2:$G$49,3,0)</f>
        <v>Dark</v>
      </c>
      <c r="O593" s="25">
        <v>3</v>
      </c>
      <c r="P593" s="5">
        <f>INDEX([1]products!$A$1:$G$49,MATCH([1]orders!$D593,[1]products!$A$1:$A$49,0),MATCH([1]orders!K$1,[1]products!$A$1:$G$1,0))</f>
        <v>0.2</v>
      </c>
      <c r="Q593" s="6">
        <f>INDEX([1]products!$A$1:$G$49,MATCH([1]orders!$D593,[1]products!$A$1:$A$49,0),MATCH([1]orders!L$1,[1]products!$A$1:$G$1,0))</f>
        <v>2.6849999999999996</v>
      </c>
      <c r="R593" s="6">
        <f t="shared" si="45"/>
        <v>8.0549999999999997</v>
      </c>
      <c r="S593">
        <f>VLOOKUP(L593,Products!$A$2:$G$49,7,0)</f>
        <v>0.16109999999999997</v>
      </c>
      <c r="T593">
        <f t="shared" si="48"/>
        <v>0.4832999999999999</v>
      </c>
      <c r="U593" s="33">
        <f t="shared" si="49"/>
        <v>5.9999999999999991</v>
      </c>
    </row>
    <row r="594" spans="1:21" x14ac:dyDescent="0.25">
      <c r="A594" s="1" t="s">
        <v>1158</v>
      </c>
      <c r="B594" s="28">
        <v>44437</v>
      </c>
      <c r="C594" s="21" t="str">
        <f t="shared" si="46"/>
        <v>2021</v>
      </c>
      <c r="D594" s="19" t="str">
        <f t="shared" si="47"/>
        <v>August</v>
      </c>
      <c r="E594" s="3" t="s">
        <v>1159</v>
      </c>
      <c r="F594" s="3" t="str">
        <f>VLOOKUP(E594,Customers!$A$2:$I$1001,2,0)</f>
        <v>Kylie Mowat</v>
      </c>
      <c r="G594" s="3" t="str">
        <f>VLOOKUP(E594,Customers!$A$2:$I$1001,3,0)</f>
        <v>UNKNOWN</v>
      </c>
      <c r="H594" s="3" t="str">
        <f>VLOOKUP(E594,Customers!$A$2:$I$1001,4,0)</f>
        <v>+1 (206) 275-3973</v>
      </c>
      <c r="I594" s="25" t="str">
        <f>VLOOKUP(E594,Customers!$A$2:$I$1001,6,0)</f>
        <v>Milwaukee</v>
      </c>
      <c r="J594" s="25" t="str">
        <f>VLOOKUP(E594,Customers!$A$2:$I$1001,7,0)</f>
        <v>United States</v>
      </c>
      <c r="K594" s="23" t="str">
        <f>VLOOKUP(E594,Customers!$A$2:$I$1001,9,0)</f>
        <v>No</v>
      </c>
      <c r="L594" s="4" t="s">
        <v>171</v>
      </c>
      <c r="M594" s="4" t="str">
        <f>VLOOKUP(L594,Products!$A$2:$G$49,2,0)</f>
        <v>Arabica</v>
      </c>
      <c r="N594" s="4" t="str">
        <f>VLOOKUP(L594,Products!$A$2:$G$49,3,0)</f>
        <v>Medium</v>
      </c>
      <c r="O594" s="25">
        <v>2</v>
      </c>
      <c r="P594" s="5">
        <f>INDEX([1]products!$A$1:$G$49,MATCH([1]orders!$D594,[1]products!$A$1:$A$49,0),MATCH([1]orders!K$1,[1]products!$A$1:$G$1,0))</f>
        <v>2.5</v>
      </c>
      <c r="Q594" s="6">
        <f>INDEX([1]products!$A$1:$G$49,MATCH([1]orders!$D594,[1]products!$A$1:$A$49,0),MATCH([1]orders!L$1,[1]products!$A$1:$G$1,0))</f>
        <v>25.874999999999996</v>
      </c>
      <c r="R594" s="6">
        <f t="shared" si="45"/>
        <v>51.749999999999993</v>
      </c>
      <c r="S594">
        <f>VLOOKUP(L594,Products!$A$2:$G$49,7,0)</f>
        <v>2.3287499999999994</v>
      </c>
      <c r="T594">
        <f t="shared" si="48"/>
        <v>4.6574999999999989</v>
      </c>
      <c r="U594" s="33">
        <f t="shared" si="49"/>
        <v>9</v>
      </c>
    </row>
    <row r="595" spans="1:21" x14ac:dyDescent="0.25">
      <c r="A595" s="1" t="s">
        <v>1160</v>
      </c>
      <c r="B595" s="28">
        <v>43903</v>
      </c>
      <c r="C595" s="21" t="str">
        <f t="shared" si="46"/>
        <v>2020</v>
      </c>
      <c r="D595" s="19" t="str">
        <f t="shared" si="47"/>
        <v>March</v>
      </c>
      <c r="E595" s="3" t="s">
        <v>1145</v>
      </c>
      <c r="F595" s="3" t="str">
        <f>VLOOKUP(E595,Customers!$A$2:$I$1001,2,0)</f>
        <v>Cody Verissimo</v>
      </c>
      <c r="G595" s="3" t="str">
        <f>VLOOKUP(E595,Customers!$A$2:$I$1001,3,0)</f>
        <v>cverissimogh@theglobeandmail.com</v>
      </c>
      <c r="H595" s="3" t="str">
        <f>VLOOKUP(E595,Customers!$A$2:$I$1001,4,0)</f>
        <v>UNKNOWN</v>
      </c>
      <c r="I595" s="25" t="str">
        <f>VLOOKUP(E595,Customers!$A$2:$I$1001,6,0)</f>
        <v>Upton</v>
      </c>
      <c r="J595" s="25" t="str">
        <f>VLOOKUP(E595,Customers!$A$2:$I$1001,7,0)</f>
        <v>United Kingdom</v>
      </c>
      <c r="K595" s="23" t="str">
        <f>VLOOKUP(E595,Customers!$A$2:$I$1001,9,0)</f>
        <v>Yes</v>
      </c>
      <c r="L595" s="4" t="s">
        <v>530</v>
      </c>
      <c r="M595" s="4" t="str">
        <f>VLOOKUP(L595,Products!$A$2:$G$49,2,0)</f>
        <v>Excelsa</v>
      </c>
      <c r="N595" s="4" t="str">
        <f>VLOOKUP(L595,Products!$A$2:$G$49,3,0)</f>
        <v>Dark</v>
      </c>
      <c r="O595" s="25">
        <v>1</v>
      </c>
      <c r="P595" s="5">
        <f>INDEX([1]products!$A$1:$G$49,MATCH([1]orders!$D595,[1]products!$A$1:$A$49,0),MATCH([1]orders!K$1,[1]products!$A$1:$G$1,0))</f>
        <v>2.5</v>
      </c>
      <c r="Q595" s="6">
        <f>INDEX([1]products!$A$1:$G$49,MATCH([1]orders!$D595,[1]products!$A$1:$A$49,0),MATCH([1]orders!L$1,[1]products!$A$1:$G$1,0))</f>
        <v>27.945</v>
      </c>
      <c r="R595" s="6">
        <f t="shared" si="45"/>
        <v>27.945</v>
      </c>
      <c r="S595">
        <f>VLOOKUP(L595,Products!$A$2:$G$49,7,0)</f>
        <v>3.07395</v>
      </c>
      <c r="T595">
        <f t="shared" si="48"/>
        <v>3.07395</v>
      </c>
      <c r="U595" s="33">
        <f t="shared" si="49"/>
        <v>11</v>
      </c>
    </row>
    <row r="596" spans="1:21" x14ac:dyDescent="0.25">
      <c r="A596" s="1" t="s">
        <v>1161</v>
      </c>
      <c r="B596" s="28">
        <v>43512</v>
      </c>
      <c r="C596" s="21" t="str">
        <f t="shared" si="46"/>
        <v>2019</v>
      </c>
      <c r="D596" s="19" t="str">
        <f t="shared" si="47"/>
        <v>February</v>
      </c>
      <c r="E596" s="3" t="s">
        <v>1162</v>
      </c>
      <c r="F596" s="3" t="str">
        <f>VLOOKUP(E596,Customers!$A$2:$I$1001,2,0)</f>
        <v>Gabriel Starcks</v>
      </c>
      <c r="G596" s="3" t="str">
        <f>VLOOKUP(E596,Customers!$A$2:$I$1001,3,0)</f>
        <v>gstarcksgi@abc.net.au</v>
      </c>
      <c r="H596" s="3" t="str">
        <f>VLOOKUP(E596,Customers!$A$2:$I$1001,4,0)</f>
        <v>+1 (423) 903-3146</v>
      </c>
      <c r="I596" s="25" t="str">
        <f>VLOOKUP(E596,Customers!$A$2:$I$1001,6,0)</f>
        <v>Chattanooga</v>
      </c>
      <c r="J596" s="25" t="str">
        <f>VLOOKUP(E596,Customers!$A$2:$I$1001,7,0)</f>
        <v>United States</v>
      </c>
      <c r="K596" s="23" t="str">
        <f>VLOOKUP(E596,Customers!$A$2:$I$1001,9,0)</f>
        <v>No</v>
      </c>
      <c r="L596" s="4" t="s">
        <v>204</v>
      </c>
      <c r="M596" s="4" t="str">
        <f>VLOOKUP(L596,Products!$A$2:$G$49,2,0)</f>
        <v>Arabica</v>
      </c>
      <c r="N596" s="4" t="str">
        <f>VLOOKUP(L596,Products!$A$2:$G$49,3,0)</f>
        <v>Light</v>
      </c>
      <c r="O596" s="25">
        <v>2</v>
      </c>
      <c r="P596" s="5">
        <f>INDEX([1]products!$A$1:$G$49,MATCH([1]orders!$D596,[1]products!$A$1:$A$49,0),MATCH([1]orders!K$1,[1]products!$A$1:$G$1,0))</f>
        <v>2.5</v>
      </c>
      <c r="Q596" s="6">
        <f>INDEX([1]products!$A$1:$G$49,MATCH([1]orders!$D596,[1]products!$A$1:$A$49,0),MATCH([1]orders!L$1,[1]products!$A$1:$G$1,0))</f>
        <v>29.784999999999997</v>
      </c>
      <c r="R596" s="6">
        <f t="shared" si="45"/>
        <v>59.569999999999993</v>
      </c>
      <c r="S596">
        <f>VLOOKUP(L596,Products!$A$2:$G$49,7,0)</f>
        <v>2.6806499999999995</v>
      </c>
      <c r="T596">
        <f t="shared" si="48"/>
        <v>5.3612999999999991</v>
      </c>
      <c r="U596" s="33">
        <f t="shared" si="49"/>
        <v>9</v>
      </c>
    </row>
    <row r="597" spans="1:21" x14ac:dyDescent="0.25">
      <c r="A597" s="1" t="s">
        <v>1163</v>
      </c>
      <c r="B597" s="28">
        <v>44527</v>
      </c>
      <c r="C597" s="21" t="str">
        <f t="shared" si="46"/>
        <v>2021</v>
      </c>
      <c r="D597" s="19" t="str">
        <f t="shared" si="47"/>
        <v>November</v>
      </c>
      <c r="E597" s="3" t="s">
        <v>1164</v>
      </c>
      <c r="F597" s="3" t="str">
        <f>VLOOKUP(E597,Customers!$A$2:$I$1001,2,0)</f>
        <v>Darby Dummer</v>
      </c>
      <c r="G597" s="3" t="str">
        <f>VLOOKUP(E597,Customers!$A$2:$I$1001,3,0)</f>
        <v>UNKNOWN</v>
      </c>
      <c r="H597" s="3" t="str">
        <f>VLOOKUP(E597,Customers!$A$2:$I$1001,4,0)</f>
        <v>UNKNOWN</v>
      </c>
      <c r="I597" s="25" t="str">
        <f>VLOOKUP(E597,Customers!$A$2:$I$1001,6,0)</f>
        <v>Manchester</v>
      </c>
      <c r="J597" s="25" t="str">
        <f>VLOOKUP(E597,Customers!$A$2:$I$1001,7,0)</f>
        <v>United Kingdom</v>
      </c>
      <c r="K597" s="23" t="str">
        <f>VLOOKUP(E597,Customers!$A$2:$I$1001,9,0)</f>
        <v>No</v>
      </c>
      <c r="L597" s="4" t="s">
        <v>137</v>
      </c>
      <c r="M597" s="4" t="str">
        <f>VLOOKUP(L597,Products!$A$2:$G$49,2,0)</f>
        <v>Excelsa</v>
      </c>
      <c r="N597" s="4" t="str">
        <f>VLOOKUP(L597,Products!$A$2:$G$49,3,0)</f>
        <v>Light</v>
      </c>
      <c r="O597" s="25">
        <v>1</v>
      </c>
      <c r="P597" s="5">
        <f>INDEX([1]products!$A$1:$G$49,MATCH([1]orders!$D597,[1]products!$A$1:$A$49,0),MATCH([1]orders!K$1,[1]products!$A$1:$G$1,0))</f>
        <v>1</v>
      </c>
      <c r="Q597" s="6">
        <f>INDEX([1]products!$A$1:$G$49,MATCH([1]orders!$D597,[1]products!$A$1:$A$49,0),MATCH([1]orders!L$1,[1]products!$A$1:$G$1,0))</f>
        <v>14.85</v>
      </c>
      <c r="R597" s="6">
        <f t="shared" si="45"/>
        <v>14.85</v>
      </c>
      <c r="S597">
        <f>VLOOKUP(L597,Products!$A$2:$G$49,7,0)</f>
        <v>1.6335</v>
      </c>
      <c r="T597">
        <f t="shared" si="48"/>
        <v>1.6335</v>
      </c>
      <c r="U597" s="33">
        <f t="shared" si="49"/>
        <v>11</v>
      </c>
    </row>
    <row r="598" spans="1:21" x14ac:dyDescent="0.25">
      <c r="A598" s="1" t="s">
        <v>1165</v>
      </c>
      <c r="B598" s="28">
        <v>44523</v>
      </c>
      <c r="C598" s="21" t="str">
        <f t="shared" si="46"/>
        <v>2021</v>
      </c>
      <c r="D598" s="19" t="str">
        <f t="shared" si="47"/>
        <v>November</v>
      </c>
      <c r="E598" s="3" t="s">
        <v>1166</v>
      </c>
      <c r="F598" s="3" t="str">
        <f>VLOOKUP(E598,Customers!$A$2:$I$1001,2,0)</f>
        <v>Kienan Scholard</v>
      </c>
      <c r="G598" s="3" t="str">
        <f>VLOOKUP(E598,Customers!$A$2:$I$1001,3,0)</f>
        <v>kscholardgk@sbwire.com</v>
      </c>
      <c r="H598" s="3" t="str">
        <f>VLOOKUP(E598,Customers!$A$2:$I$1001,4,0)</f>
        <v>+1 (614) 199-9032</v>
      </c>
      <c r="I598" s="25" t="str">
        <f>VLOOKUP(E598,Customers!$A$2:$I$1001,6,0)</f>
        <v>Columbus</v>
      </c>
      <c r="J598" s="25" t="str">
        <f>VLOOKUP(E598,Customers!$A$2:$I$1001,7,0)</f>
        <v>United States</v>
      </c>
      <c r="K598" s="23" t="str">
        <f>VLOOKUP(E598,Customers!$A$2:$I$1001,9,0)</f>
        <v>No</v>
      </c>
      <c r="L598" s="4" t="s">
        <v>67</v>
      </c>
      <c r="M598" s="4" t="str">
        <f>VLOOKUP(L598,Products!$A$2:$G$49,2,0)</f>
        <v>Arabica</v>
      </c>
      <c r="N598" s="4" t="str">
        <f>VLOOKUP(L598,Products!$A$2:$G$49,3,0)</f>
        <v>Medium</v>
      </c>
      <c r="O598" s="25">
        <v>5</v>
      </c>
      <c r="P598" s="5">
        <f>INDEX([1]products!$A$1:$G$49,MATCH([1]orders!$D598,[1]products!$A$1:$A$49,0),MATCH([1]orders!K$1,[1]products!$A$1:$G$1,0))</f>
        <v>0.5</v>
      </c>
      <c r="Q598" s="6">
        <f>INDEX([1]products!$A$1:$G$49,MATCH([1]orders!$D598,[1]products!$A$1:$A$49,0),MATCH([1]orders!L$1,[1]products!$A$1:$G$1,0))</f>
        <v>6.75</v>
      </c>
      <c r="R598" s="6">
        <f t="shared" si="45"/>
        <v>33.75</v>
      </c>
      <c r="S598">
        <f>VLOOKUP(L598,Products!$A$2:$G$49,7,0)</f>
        <v>0.60749999999999993</v>
      </c>
      <c r="T598">
        <f t="shared" si="48"/>
        <v>3.0374999999999996</v>
      </c>
      <c r="U598" s="33">
        <f t="shared" si="49"/>
        <v>8.9999999999999982</v>
      </c>
    </row>
    <row r="599" spans="1:21" x14ac:dyDescent="0.25">
      <c r="A599" s="1" t="s">
        <v>1167</v>
      </c>
      <c r="B599" s="28">
        <v>44532</v>
      </c>
      <c r="C599" s="21" t="str">
        <f t="shared" si="46"/>
        <v>2021</v>
      </c>
      <c r="D599" s="19" t="str">
        <f t="shared" si="47"/>
        <v>December</v>
      </c>
      <c r="E599" s="3" t="s">
        <v>1168</v>
      </c>
      <c r="F599" s="3" t="str">
        <f>VLOOKUP(E599,Customers!$A$2:$I$1001,2,0)</f>
        <v>Bo Kindley</v>
      </c>
      <c r="G599" s="3" t="str">
        <f>VLOOKUP(E599,Customers!$A$2:$I$1001,3,0)</f>
        <v>bkindleygl@wikimedia.org</v>
      </c>
      <c r="H599" s="3" t="str">
        <f>VLOOKUP(E599,Customers!$A$2:$I$1001,4,0)</f>
        <v>+1 (650) 799-2315</v>
      </c>
      <c r="I599" s="25" t="str">
        <f>VLOOKUP(E599,Customers!$A$2:$I$1001,6,0)</f>
        <v>Pasadena</v>
      </c>
      <c r="J599" s="25" t="str">
        <f>VLOOKUP(E599,Customers!$A$2:$I$1001,7,0)</f>
        <v>United States</v>
      </c>
      <c r="K599" s="23" t="str">
        <f>VLOOKUP(E599,Customers!$A$2:$I$1001,9,0)</f>
        <v>Yes</v>
      </c>
      <c r="L599" s="4" t="s">
        <v>104</v>
      </c>
      <c r="M599" s="4" t="str">
        <f>VLOOKUP(L599,Products!$A$2:$G$49,2,0)</f>
        <v>Liberica</v>
      </c>
      <c r="N599" s="4" t="str">
        <f>VLOOKUP(L599,Products!$A$2:$G$49,3,0)</f>
        <v>Light</v>
      </c>
      <c r="O599" s="25">
        <v>4</v>
      </c>
      <c r="P599" s="5">
        <f>INDEX([1]products!$A$1:$G$49,MATCH([1]orders!$D599,[1]products!$A$1:$A$49,0),MATCH([1]orders!K$1,[1]products!$A$1:$G$1,0))</f>
        <v>2.5</v>
      </c>
      <c r="Q599" s="6">
        <f>INDEX([1]products!$A$1:$G$49,MATCH([1]orders!$D599,[1]products!$A$1:$A$49,0),MATCH([1]orders!L$1,[1]products!$A$1:$G$1,0))</f>
        <v>36.454999999999998</v>
      </c>
      <c r="R599" s="6">
        <f t="shared" si="45"/>
        <v>145.82</v>
      </c>
      <c r="S599">
        <f>VLOOKUP(L599,Products!$A$2:$G$49,7,0)</f>
        <v>4.7391499999999995</v>
      </c>
      <c r="T599">
        <f t="shared" si="48"/>
        <v>18.956599999999998</v>
      </c>
      <c r="U599" s="33">
        <f t="shared" si="49"/>
        <v>13</v>
      </c>
    </row>
    <row r="600" spans="1:21" x14ac:dyDescent="0.25">
      <c r="A600" s="1" t="s">
        <v>1169</v>
      </c>
      <c r="B600" s="28">
        <v>43471</v>
      </c>
      <c r="C600" s="21" t="str">
        <f t="shared" si="46"/>
        <v>2019</v>
      </c>
      <c r="D600" s="19" t="str">
        <f t="shared" si="47"/>
        <v>January</v>
      </c>
      <c r="E600" s="3" t="s">
        <v>1170</v>
      </c>
      <c r="F600" s="3" t="str">
        <f>VLOOKUP(E600,Customers!$A$2:$I$1001,2,0)</f>
        <v>Krissie Hammett</v>
      </c>
      <c r="G600" s="3" t="str">
        <f>VLOOKUP(E600,Customers!$A$2:$I$1001,3,0)</f>
        <v>khammettgm@dmoz.org</v>
      </c>
      <c r="H600" s="3" t="str">
        <f>VLOOKUP(E600,Customers!$A$2:$I$1001,4,0)</f>
        <v>+1 (415) 825-4799</v>
      </c>
      <c r="I600" s="25" t="str">
        <f>VLOOKUP(E600,Customers!$A$2:$I$1001,6,0)</f>
        <v>San Francisco</v>
      </c>
      <c r="J600" s="25" t="str">
        <f>VLOOKUP(E600,Customers!$A$2:$I$1001,7,0)</f>
        <v>United States</v>
      </c>
      <c r="K600" s="23" t="str">
        <f>VLOOKUP(E600,Customers!$A$2:$I$1001,9,0)</f>
        <v>Yes</v>
      </c>
      <c r="L600" s="4" t="s">
        <v>162</v>
      </c>
      <c r="M600" s="4" t="str">
        <f>VLOOKUP(L600,Products!$A$2:$G$49,2,0)</f>
        <v>Robusta</v>
      </c>
      <c r="N600" s="4" t="str">
        <f>VLOOKUP(L600,Products!$A$2:$G$49,3,0)</f>
        <v>Medium</v>
      </c>
      <c r="O600" s="25">
        <v>4</v>
      </c>
      <c r="P600" s="5">
        <f>INDEX([1]products!$A$1:$G$49,MATCH([1]orders!$D600,[1]products!$A$1:$A$49,0),MATCH([1]orders!K$1,[1]products!$A$1:$G$1,0))</f>
        <v>0.2</v>
      </c>
      <c r="Q600" s="6">
        <f>INDEX([1]products!$A$1:$G$49,MATCH([1]orders!$D600,[1]products!$A$1:$A$49,0),MATCH([1]orders!L$1,[1]products!$A$1:$G$1,0))</f>
        <v>2.9849999999999999</v>
      </c>
      <c r="R600" s="6">
        <f t="shared" si="45"/>
        <v>11.94</v>
      </c>
      <c r="S600">
        <f>VLOOKUP(L600,Products!$A$2:$G$49,7,0)</f>
        <v>0.17909999999999998</v>
      </c>
      <c r="T600">
        <f t="shared" si="48"/>
        <v>0.71639999999999993</v>
      </c>
      <c r="U600" s="33">
        <f t="shared" si="49"/>
        <v>6</v>
      </c>
    </row>
    <row r="601" spans="1:21" x14ac:dyDescent="0.25">
      <c r="A601" s="1" t="s">
        <v>1171</v>
      </c>
      <c r="B601" s="28">
        <v>44321</v>
      </c>
      <c r="C601" s="21" t="str">
        <f t="shared" si="46"/>
        <v>2021</v>
      </c>
      <c r="D601" s="19" t="str">
        <f t="shared" si="47"/>
        <v>May</v>
      </c>
      <c r="E601" s="3" t="s">
        <v>1172</v>
      </c>
      <c r="F601" s="3" t="str">
        <f>VLOOKUP(E601,Customers!$A$2:$I$1001,2,0)</f>
        <v>Alisha Hulburt</v>
      </c>
      <c r="G601" s="3" t="str">
        <f>VLOOKUP(E601,Customers!$A$2:$I$1001,3,0)</f>
        <v>ahulburtgn@fda.gov</v>
      </c>
      <c r="H601" s="3" t="str">
        <f>VLOOKUP(E601,Customers!$A$2:$I$1001,4,0)</f>
        <v>UNKNOWN</v>
      </c>
      <c r="I601" s="25" t="str">
        <f>VLOOKUP(E601,Customers!$A$2:$I$1001,6,0)</f>
        <v>Shreveport</v>
      </c>
      <c r="J601" s="25" t="str">
        <f>VLOOKUP(E601,Customers!$A$2:$I$1001,7,0)</f>
        <v>United States</v>
      </c>
      <c r="K601" s="23" t="str">
        <f>VLOOKUP(E601,Customers!$A$2:$I$1001,9,0)</f>
        <v>Yes</v>
      </c>
      <c r="L601" s="4" t="s">
        <v>54</v>
      </c>
      <c r="M601" s="4" t="str">
        <f>VLOOKUP(L601,Products!$A$2:$G$49,2,0)</f>
        <v>Arabica</v>
      </c>
      <c r="N601" s="4" t="str">
        <f>VLOOKUP(L601,Products!$A$2:$G$49,3,0)</f>
        <v>Dark</v>
      </c>
      <c r="O601" s="25">
        <v>4</v>
      </c>
      <c r="P601" s="5">
        <f>INDEX([1]products!$A$1:$G$49,MATCH([1]orders!$D601,[1]products!$A$1:$A$49,0),MATCH([1]orders!K$1,[1]products!$A$1:$G$1,0))</f>
        <v>0.2</v>
      </c>
      <c r="Q601" s="6">
        <f>INDEX([1]products!$A$1:$G$49,MATCH([1]orders!$D601,[1]products!$A$1:$A$49,0),MATCH([1]orders!L$1,[1]products!$A$1:$G$1,0))</f>
        <v>2.9849999999999999</v>
      </c>
      <c r="R601" s="6">
        <f t="shared" si="45"/>
        <v>11.94</v>
      </c>
      <c r="S601">
        <f>VLOOKUP(L601,Products!$A$2:$G$49,7,0)</f>
        <v>0.26865</v>
      </c>
      <c r="T601">
        <f t="shared" si="48"/>
        <v>1.0746</v>
      </c>
      <c r="U601" s="33">
        <f t="shared" si="49"/>
        <v>9.0000000000000018</v>
      </c>
    </row>
    <row r="602" spans="1:21" x14ac:dyDescent="0.25">
      <c r="A602" s="1" t="s">
        <v>1173</v>
      </c>
      <c r="B602" s="28">
        <v>44492</v>
      </c>
      <c r="C602" s="21" t="str">
        <f t="shared" si="46"/>
        <v>2021</v>
      </c>
      <c r="D602" s="19" t="str">
        <f t="shared" si="47"/>
        <v>October</v>
      </c>
      <c r="E602" s="3" t="s">
        <v>1174</v>
      </c>
      <c r="F602" s="3" t="str">
        <f>VLOOKUP(E602,Customers!$A$2:$I$1001,2,0)</f>
        <v>Peyter Lauritzen</v>
      </c>
      <c r="G602" s="3" t="str">
        <f>VLOOKUP(E602,Customers!$A$2:$I$1001,3,0)</f>
        <v>plauritzengo@photobucket.com</v>
      </c>
      <c r="H602" s="3" t="str">
        <f>VLOOKUP(E602,Customers!$A$2:$I$1001,4,0)</f>
        <v>+1 (215) 308-0788</v>
      </c>
      <c r="I602" s="25" t="str">
        <f>VLOOKUP(E602,Customers!$A$2:$I$1001,6,0)</f>
        <v>Philadelphia</v>
      </c>
      <c r="J602" s="25" t="str">
        <f>VLOOKUP(E602,Customers!$A$2:$I$1001,7,0)</f>
        <v>United States</v>
      </c>
      <c r="K602" s="23" t="str">
        <f>VLOOKUP(E602,Customers!$A$2:$I$1001,9,0)</f>
        <v>No</v>
      </c>
      <c r="L602" s="4" t="s">
        <v>123</v>
      </c>
      <c r="M602" s="4" t="str">
        <f>VLOOKUP(L602,Products!$A$2:$G$49,2,0)</f>
        <v>Liberica</v>
      </c>
      <c r="N602" s="4" t="str">
        <f>VLOOKUP(L602,Products!$A$2:$G$49,3,0)</f>
        <v>Dark</v>
      </c>
      <c r="O602" s="25">
        <v>1</v>
      </c>
      <c r="P602" s="5">
        <f>INDEX([1]products!$A$1:$G$49,MATCH([1]orders!$D602,[1]products!$A$1:$A$49,0),MATCH([1]orders!K$1,[1]products!$A$1:$G$1,0))</f>
        <v>0.5</v>
      </c>
      <c r="Q602" s="6">
        <f>INDEX([1]products!$A$1:$G$49,MATCH([1]orders!$D602,[1]products!$A$1:$A$49,0),MATCH([1]orders!L$1,[1]products!$A$1:$G$1,0))</f>
        <v>7.77</v>
      </c>
      <c r="R602" s="6">
        <f t="shared" si="45"/>
        <v>7.77</v>
      </c>
      <c r="S602">
        <f>VLOOKUP(L602,Products!$A$2:$G$49,7,0)</f>
        <v>1.0101</v>
      </c>
      <c r="T602">
        <f t="shared" si="48"/>
        <v>1.0101</v>
      </c>
      <c r="U602" s="33">
        <f t="shared" si="49"/>
        <v>13</v>
      </c>
    </row>
    <row r="603" spans="1:21" x14ac:dyDescent="0.25">
      <c r="A603" s="1" t="s">
        <v>1175</v>
      </c>
      <c r="B603" s="28">
        <v>43815</v>
      </c>
      <c r="C603" s="21" t="str">
        <f t="shared" si="46"/>
        <v>2019</v>
      </c>
      <c r="D603" s="19" t="str">
        <f t="shared" si="47"/>
        <v>December</v>
      </c>
      <c r="E603" s="3" t="s">
        <v>1176</v>
      </c>
      <c r="F603" s="3" t="str">
        <f>VLOOKUP(E603,Customers!$A$2:$I$1001,2,0)</f>
        <v>Aurelia Burgwin</v>
      </c>
      <c r="G603" s="3" t="str">
        <f>VLOOKUP(E603,Customers!$A$2:$I$1001,3,0)</f>
        <v>aburgwingp@redcross.org</v>
      </c>
      <c r="H603" s="3" t="str">
        <f>VLOOKUP(E603,Customers!$A$2:$I$1001,4,0)</f>
        <v>+1 (314) 407-3962</v>
      </c>
      <c r="I603" s="25" t="str">
        <f>VLOOKUP(E603,Customers!$A$2:$I$1001,6,0)</f>
        <v>Migrate</v>
      </c>
      <c r="J603" s="25" t="str">
        <f>VLOOKUP(E603,Customers!$A$2:$I$1001,7,0)</f>
        <v>United States</v>
      </c>
      <c r="K603" s="23" t="str">
        <f>VLOOKUP(E603,Customers!$A$2:$I$1001,9,0)</f>
        <v>Yes</v>
      </c>
      <c r="L603" s="4" t="s">
        <v>10</v>
      </c>
      <c r="M603" s="4" t="str">
        <f>VLOOKUP(L603,Products!$A$2:$G$49,2,0)</f>
        <v>Robusta</v>
      </c>
      <c r="N603" s="4" t="str">
        <f>VLOOKUP(L603,Products!$A$2:$G$49,3,0)</f>
        <v>Light</v>
      </c>
      <c r="O603" s="25">
        <v>4</v>
      </c>
      <c r="P603" s="5">
        <f>INDEX([1]products!$A$1:$G$49,MATCH([1]orders!$D603,[1]products!$A$1:$A$49,0),MATCH([1]orders!K$1,[1]products!$A$1:$G$1,0))</f>
        <v>2.5</v>
      </c>
      <c r="Q603" s="6">
        <f>INDEX([1]products!$A$1:$G$49,MATCH([1]orders!$D603,[1]products!$A$1:$A$49,0),MATCH([1]orders!L$1,[1]products!$A$1:$G$1,0))</f>
        <v>27.484999999999996</v>
      </c>
      <c r="R603" s="6">
        <f t="shared" si="45"/>
        <v>109.93999999999998</v>
      </c>
      <c r="S603">
        <f>VLOOKUP(L603,Products!$A$2:$G$49,7,0)</f>
        <v>1.6490999999999998</v>
      </c>
      <c r="T603">
        <f t="shared" si="48"/>
        <v>6.5963999999999992</v>
      </c>
      <c r="U603" s="33">
        <f t="shared" si="49"/>
        <v>6.0000000000000009</v>
      </c>
    </row>
    <row r="604" spans="1:21" x14ac:dyDescent="0.25">
      <c r="A604" s="1" t="s">
        <v>1177</v>
      </c>
      <c r="B604" s="28">
        <v>43603</v>
      </c>
      <c r="C604" s="21" t="str">
        <f t="shared" si="46"/>
        <v>2019</v>
      </c>
      <c r="D604" s="19" t="str">
        <f t="shared" si="47"/>
        <v>May</v>
      </c>
      <c r="E604" s="3" t="s">
        <v>1178</v>
      </c>
      <c r="F604" s="3" t="str">
        <f>VLOOKUP(E604,Customers!$A$2:$I$1001,2,0)</f>
        <v>Emalee Rolin</v>
      </c>
      <c r="G604" s="3" t="str">
        <f>VLOOKUP(E604,Customers!$A$2:$I$1001,3,0)</f>
        <v>erolingq@google.fr</v>
      </c>
      <c r="H604" s="3" t="str">
        <f>VLOOKUP(E604,Customers!$A$2:$I$1001,4,0)</f>
        <v>+1 (419) 597-8743</v>
      </c>
      <c r="I604" s="25" t="str">
        <f>VLOOKUP(E604,Customers!$A$2:$I$1001,6,0)</f>
        <v>Toledo</v>
      </c>
      <c r="J604" s="25" t="str">
        <f>VLOOKUP(E604,Customers!$A$2:$I$1001,7,0)</f>
        <v>United States</v>
      </c>
      <c r="K604" s="23" t="str">
        <f>VLOOKUP(E604,Customers!$A$2:$I$1001,9,0)</f>
        <v>Yes</v>
      </c>
      <c r="L604" s="4" t="s">
        <v>254</v>
      </c>
      <c r="M604" s="4" t="str">
        <f>VLOOKUP(L604,Products!$A$2:$G$49,2,0)</f>
        <v>Excelsa</v>
      </c>
      <c r="N604" s="4" t="str">
        <f>VLOOKUP(L604,Products!$A$2:$G$49,3,0)</f>
        <v>Light</v>
      </c>
      <c r="O604" s="25">
        <v>5</v>
      </c>
      <c r="P604" s="5">
        <f>INDEX([1]products!$A$1:$G$49,MATCH([1]orders!$D604,[1]products!$A$1:$A$49,0),MATCH([1]orders!K$1,[1]products!$A$1:$G$1,0))</f>
        <v>0.2</v>
      </c>
      <c r="Q604" s="6">
        <f>INDEX([1]products!$A$1:$G$49,MATCH([1]orders!$D604,[1]products!$A$1:$A$49,0),MATCH([1]orders!L$1,[1]products!$A$1:$G$1,0))</f>
        <v>4.4550000000000001</v>
      </c>
      <c r="R604" s="6">
        <f t="shared" si="45"/>
        <v>22.274999999999999</v>
      </c>
      <c r="S604">
        <f>VLOOKUP(L604,Products!$A$2:$G$49,7,0)</f>
        <v>0.49004999999999999</v>
      </c>
      <c r="T604">
        <f t="shared" si="48"/>
        <v>2.45025</v>
      </c>
      <c r="U604" s="33">
        <f t="shared" si="49"/>
        <v>11.000000000000002</v>
      </c>
    </row>
    <row r="605" spans="1:21" x14ac:dyDescent="0.25">
      <c r="A605" s="1" t="s">
        <v>1179</v>
      </c>
      <c r="B605" s="28">
        <v>43660</v>
      </c>
      <c r="C605" s="21" t="str">
        <f t="shared" si="46"/>
        <v>2019</v>
      </c>
      <c r="D605" s="19" t="str">
        <f t="shared" si="47"/>
        <v>July</v>
      </c>
      <c r="E605" s="3" t="s">
        <v>1180</v>
      </c>
      <c r="F605" s="3" t="str">
        <f>VLOOKUP(E605,Customers!$A$2:$I$1001,2,0)</f>
        <v>Donavon Fowle</v>
      </c>
      <c r="G605" s="3" t="str">
        <f>VLOOKUP(E605,Customers!$A$2:$I$1001,3,0)</f>
        <v>dfowlegr@epa.gov</v>
      </c>
      <c r="H605" s="3" t="str">
        <f>VLOOKUP(E605,Customers!$A$2:$I$1001,4,0)</f>
        <v>UNKNOWN</v>
      </c>
      <c r="I605" s="25" t="str">
        <f>VLOOKUP(E605,Customers!$A$2:$I$1001,6,0)</f>
        <v>Colorado Springs</v>
      </c>
      <c r="J605" s="25" t="str">
        <f>VLOOKUP(E605,Customers!$A$2:$I$1001,7,0)</f>
        <v>United States</v>
      </c>
      <c r="K605" s="23" t="str">
        <f>VLOOKUP(E605,Customers!$A$2:$I$1001,9,0)</f>
        <v>No</v>
      </c>
      <c r="L605" s="4" t="s">
        <v>162</v>
      </c>
      <c r="M605" s="4" t="str">
        <f>VLOOKUP(L605,Products!$A$2:$G$49,2,0)</f>
        <v>Robusta</v>
      </c>
      <c r="N605" s="4" t="str">
        <f>VLOOKUP(L605,Products!$A$2:$G$49,3,0)</f>
        <v>Medium</v>
      </c>
      <c r="O605" s="25">
        <v>3</v>
      </c>
      <c r="P605" s="5">
        <f>INDEX([1]products!$A$1:$G$49,MATCH([1]orders!$D605,[1]products!$A$1:$A$49,0),MATCH([1]orders!K$1,[1]products!$A$1:$G$1,0))</f>
        <v>0.2</v>
      </c>
      <c r="Q605" s="6">
        <f>INDEX([1]products!$A$1:$G$49,MATCH([1]orders!$D605,[1]products!$A$1:$A$49,0),MATCH([1]orders!L$1,[1]products!$A$1:$G$1,0))</f>
        <v>2.9849999999999999</v>
      </c>
      <c r="R605" s="6">
        <f t="shared" si="45"/>
        <v>8.9550000000000001</v>
      </c>
      <c r="S605">
        <f>VLOOKUP(L605,Products!$A$2:$G$49,7,0)</f>
        <v>0.17909999999999998</v>
      </c>
      <c r="T605">
        <f t="shared" si="48"/>
        <v>0.53729999999999989</v>
      </c>
      <c r="U605" s="33">
        <f t="shared" si="49"/>
        <v>5.9999999999999982</v>
      </c>
    </row>
    <row r="606" spans="1:21" x14ac:dyDescent="0.25">
      <c r="A606" s="1" t="s">
        <v>1181</v>
      </c>
      <c r="B606" s="28">
        <v>44148</v>
      </c>
      <c r="C606" s="21" t="str">
        <f t="shared" si="46"/>
        <v>2020</v>
      </c>
      <c r="D606" s="19" t="str">
        <f t="shared" si="47"/>
        <v>November</v>
      </c>
      <c r="E606" s="3" t="s">
        <v>1182</v>
      </c>
      <c r="F606" s="3" t="str">
        <f>VLOOKUP(E606,Customers!$A$2:$I$1001,2,0)</f>
        <v>Jorge Bettison</v>
      </c>
      <c r="G606" s="3" t="str">
        <f>VLOOKUP(E606,Customers!$A$2:$I$1001,3,0)</f>
        <v>UNKNOWN</v>
      </c>
      <c r="H606" s="3" t="str">
        <f>VLOOKUP(E606,Customers!$A$2:$I$1001,4,0)</f>
        <v>+353 (782) 457-9198</v>
      </c>
      <c r="I606" s="25" t="str">
        <f>VLOOKUP(E606,Customers!$A$2:$I$1001,6,0)</f>
        <v>Longwood</v>
      </c>
      <c r="J606" s="25" t="str">
        <f>VLOOKUP(E606,Customers!$A$2:$I$1001,7,0)</f>
        <v>Ireland</v>
      </c>
      <c r="K606" s="23" t="str">
        <f>VLOOKUP(E606,Customers!$A$2:$I$1001,9,0)</f>
        <v>No</v>
      </c>
      <c r="L606" s="4" t="s">
        <v>109</v>
      </c>
      <c r="M606" s="4" t="str">
        <f>VLOOKUP(L606,Products!$A$2:$G$49,2,0)</f>
        <v>Liberica</v>
      </c>
      <c r="N606" s="4" t="str">
        <f>VLOOKUP(L606,Products!$A$2:$G$49,3,0)</f>
        <v>Dark</v>
      </c>
      <c r="O606" s="25">
        <v>4</v>
      </c>
      <c r="P606" s="5">
        <f>INDEX([1]products!$A$1:$G$49,MATCH([1]orders!$D606,[1]products!$A$1:$A$49,0),MATCH([1]orders!K$1,[1]products!$A$1:$G$1,0))</f>
        <v>2.5</v>
      </c>
      <c r="Q606" s="6">
        <f>INDEX([1]products!$A$1:$G$49,MATCH([1]orders!$D606,[1]products!$A$1:$A$49,0),MATCH([1]orders!L$1,[1]products!$A$1:$G$1,0))</f>
        <v>29.784999999999997</v>
      </c>
      <c r="R606" s="6">
        <f t="shared" si="45"/>
        <v>119.13999999999999</v>
      </c>
      <c r="S606">
        <f>VLOOKUP(L606,Products!$A$2:$G$49,7,0)</f>
        <v>3.8720499999999998</v>
      </c>
      <c r="T606">
        <f t="shared" si="48"/>
        <v>15.488199999999999</v>
      </c>
      <c r="U606" s="33">
        <f t="shared" si="49"/>
        <v>13</v>
      </c>
    </row>
    <row r="607" spans="1:21" x14ac:dyDescent="0.25">
      <c r="A607" s="1" t="s">
        <v>1183</v>
      </c>
      <c r="B607" s="28">
        <v>44028</v>
      </c>
      <c r="C607" s="21" t="str">
        <f t="shared" si="46"/>
        <v>2020</v>
      </c>
      <c r="D607" s="19" t="str">
        <f t="shared" si="47"/>
        <v>July</v>
      </c>
      <c r="E607" s="3" t="s">
        <v>1184</v>
      </c>
      <c r="F607" s="3" t="str">
        <f>VLOOKUP(E607,Customers!$A$2:$I$1001,2,0)</f>
        <v>Wang Powlesland</v>
      </c>
      <c r="G607" s="3" t="str">
        <f>VLOOKUP(E607,Customers!$A$2:$I$1001,3,0)</f>
        <v>wpowleslandgt@soundcloud.com</v>
      </c>
      <c r="H607" s="3" t="str">
        <f>VLOOKUP(E607,Customers!$A$2:$I$1001,4,0)</f>
        <v>+1 (412) 453-4798</v>
      </c>
      <c r="I607" s="25" t="str">
        <f>VLOOKUP(E607,Customers!$A$2:$I$1001,6,0)</f>
        <v>Pittsburgh</v>
      </c>
      <c r="J607" s="25" t="str">
        <f>VLOOKUP(E607,Customers!$A$2:$I$1001,7,0)</f>
        <v>United States</v>
      </c>
      <c r="K607" s="23" t="str">
        <f>VLOOKUP(E607,Customers!$A$2:$I$1001,9,0)</f>
        <v>Yes</v>
      </c>
      <c r="L607" s="4" t="s">
        <v>204</v>
      </c>
      <c r="M607" s="4" t="str">
        <f>VLOOKUP(L607,Products!$A$2:$G$49,2,0)</f>
        <v>Arabica</v>
      </c>
      <c r="N607" s="4" t="str">
        <f>VLOOKUP(L607,Products!$A$2:$G$49,3,0)</f>
        <v>Light</v>
      </c>
      <c r="O607" s="25">
        <v>5</v>
      </c>
      <c r="P607" s="5">
        <f>INDEX([1]products!$A$1:$G$49,MATCH([1]orders!$D607,[1]products!$A$1:$A$49,0),MATCH([1]orders!K$1,[1]products!$A$1:$G$1,0))</f>
        <v>2.5</v>
      </c>
      <c r="Q607" s="6">
        <f>INDEX([1]products!$A$1:$G$49,MATCH([1]orders!$D607,[1]products!$A$1:$A$49,0),MATCH([1]orders!L$1,[1]products!$A$1:$G$1,0))</f>
        <v>29.784999999999997</v>
      </c>
      <c r="R607" s="6">
        <f t="shared" si="45"/>
        <v>148.92499999999998</v>
      </c>
      <c r="S607">
        <f>VLOOKUP(L607,Products!$A$2:$G$49,7,0)</f>
        <v>2.6806499999999995</v>
      </c>
      <c r="T607">
        <f t="shared" si="48"/>
        <v>13.403249999999998</v>
      </c>
      <c r="U607" s="33">
        <f t="shared" si="49"/>
        <v>9</v>
      </c>
    </row>
    <row r="608" spans="1:21" x14ac:dyDescent="0.25">
      <c r="A608" s="1" t="s">
        <v>1185</v>
      </c>
      <c r="B608" s="28">
        <v>44138</v>
      </c>
      <c r="C608" s="21" t="str">
        <f t="shared" si="46"/>
        <v>2020</v>
      </c>
      <c r="D608" s="19" t="str">
        <f t="shared" si="47"/>
        <v>November</v>
      </c>
      <c r="E608" s="3" t="s">
        <v>1145</v>
      </c>
      <c r="F608" s="3" t="str">
        <f>VLOOKUP(E608,Customers!$A$2:$I$1001,2,0)</f>
        <v>Cody Verissimo</v>
      </c>
      <c r="G608" s="3" t="str">
        <f>VLOOKUP(E608,Customers!$A$2:$I$1001,3,0)</f>
        <v>cverissimogh@theglobeandmail.com</v>
      </c>
      <c r="H608" s="3" t="str">
        <f>VLOOKUP(E608,Customers!$A$2:$I$1001,4,0)</f>
        <v>UNKNOWN</v>
      </c>
      <c r="I608" s="25" t="str">
        <f>VLOOKUP(E608,Customers!$A$2:$I$1001,6,0)</f>
        <v>Upton</v>
      </c>
      <c r="J608" s="25" t="str">
        <f>VLOOKUP(E608,Customers!$A$2:$I$1001,7,0)</f>
        <v>United Kingdom</v>
      </c>
      <c r="K608" s="23" t="str">
        <f>VLOOKUP(E608,Customers!$A$2:$I$1001,9,0)</f>
        <v>Yes</v>
      </c>
      <c r="L608" s="4" t="s">
        <v>104</v>
      </c>
      <c r="M608" s="4" t="str">
        <f>VLOOKUP(L608,Products!$A$2:$G$49,2,0)</f>
        <v>Liberica</v>
      </c>
      <c r="N608" s="4" t="str">
        <f>VLOOKUP(L608,Products!$A$2:$G$49,3,0)</f>
        <v>Light</v>
      </c>
      <c r="O608" s="25">
        <v>3</v>
      </c>
      <c r="P608" s="5">
        <f>INDEX([1]products!$A$1:$G$49,MATCH([1]orders!$D608,[1]products!$A$1:$A$49,0),MATCH([1]orders!K$1,[1]products!$A$1:$G$1,0))</f>
        <v>2.5</v>
      </c>
      <c r="Q608" s="6">
        <f>INDEX([1]products!$A$1:$G$49,MATCH([1]orders!$D608,[1]products!$A$1:$A$49,0),MATCH([1]orders!L$1,[1]products!$A$1:$G$1,0))</f>
        <v>36.454999999999998</v>
      </c>
      <c r="R608" s="6">
        <f t="shared" si="45"/>
        <v>109.36499999999999</v>
      </c>
      <c r="S608">
        <f>VLOOKUP(L608,Products!$A$2:$G$49,7,0)</f>
        <v>4.7391499999999995</v>
      </c>
      <c r="T608">
        <f t="shared" si="48"/>
        <v>14.217449999999999</v>
      </c>
      <c r="U608" s="33">
        <f t="shared" si="49"/>
        <v>13</v>
      </c>
    </row>
    <row r="609" spans="1:21" x14ac:dyDescent="0.25">
      <c r="A609" s="1" t="s">
        <v>1186</v>
      </c>
      <c r="B609" s="28">
        <v>44640</v>
      </c>
      <c r="C609" s="21" t="str">
        <f t="shared" si="46"/>
        <v>2022</v>
      </c>
      <c r="D609" s="19" t="str">
        <f t="shared" si="47"/>
        <v>March</v>
      </c>
      <c r="E609" s="3" t="s">
        <v>1187</v>
      </c>
      <c r="F609" s="3" t="str">
        <f>VLOOKUP(E609,Customers!$A$2:$I$1001,2,0)</f>
        <v>Laurence Ellingham</v>
      </c>
      <c r="G609" s="3" t="str">
        <f>VLOOKUP(E609,Customers!$A$2:$I$1001,3,0)</f>
        <v>lellinghamgv@sciencedaily.com</v>
      </c>
      <c r="H609" s="3" t="str">
        <f>VLOOKUP(E609,Customers!$A$2:$I$1001,4,0)</f>
        <v>+1 (318) 670-8027</v>
      </c>
      <c r="I609" s="25" t="str">
        <f>VLOOKUP(E609,Customers!$A$2:$I$1001,6,0)</f>
        <v>Shreveport</v>
      </c>
      <c r="J609" s="25" t="str">
        <f>VLOOKUP(E609,Customers!$A$2:$I$1001,7,0)</f>
        <v>United States</v>
      </c>
      <c r="K609" s="23" t="str">
        <f>VLOOKUP(E609,Customers!$A$2:$I$1001,9,0)</f>
        <v>Yes</v>
      </c>
      <c r="L609" s="4" t="s">
        <v>51</v>
      </c>
      <c r="M609" s="4" t="str">
        <f>VLOOKUP(L609,Products!$A$2:$G$49,2,0)</f>
        <v>Excelsa</v>
      </c>
      <c r="N609" s="4" t="str">
        <f>VLOOKUP(L609,Products!$A$2:$G$49,3,0)</f>
        <v>Dark</v>
      </c>
      <c r="O609" s="25">
        <v>1</v>
      </c>
      <c r="P609" s="5">
        <f>INDEX([1]products!$A$1:$G$49,MATCH([1]orders!$D609,[1]products!$A$1:$A$49,0),MATCH([1]orders!K$1,[1]products!$A$1:$G$1,0))</f>
        <v>0.2</v>
      </c>
      <c r="Q609" s="6">
        <f>INDEX([1]products!$A$1:$G$49,MATCH([1]orders!$D609,[1]products!$A$1:$A$49,0),MATCH([1]orders!L$1,[1]products!$A$1:$G$1,0))</f>
        <v>3.645</v>
      </c>
      <c r="R609" s="6">
        <f t="shared" si="45"/>
        <v>3.645</v>
      </c>
      <c r="S609">
        <f>VLOOKUP(L609,Products!$A$2:$G$49,7,0)</f>
        <v>0.40095000000000003</v>
      </c>
      <c r="T609">
        <f t="shared" si="48"/>
        <v>0.40095000000000003</v>
      </c>
      <c r="U609" s="33">
        <f t="shared" si="49"/>
        <v>11</v>
      </c>
    </row>
    <row r="610" spans="1:21" x14ac:dyDescent="0.25">
      <c r="A610" s="1" t="s">
        <v>1188</v>
      </c>
      <c r="B610" s="28">
        <v>44608</v>
      </c>
      <c r="C610" s="21" t="str">
        <f t="shared" si="46"/>
        <v>2022</v>
      </c>
      <c r="D610" s="19" t="str">
        <f t="shared" si="47"/>
        <v>February</v>
      </c>
      <c r="E610" s="3" t="s">
        <v>1189</v>
      </c>
      <c r="F610" s="3" t="str">
        <f>VLOOKUP(E610,Customers!$A$2:$I$1001,2,0)</f>
        <v>Billy Neiland</v>
      </c>
      <c r="G610" s="3" t="str">
        <f>VLOOKUP(E610,Customers!$A$2:$I$1001,3,0)</f>
        <v>UNKNOWN</v>
      </c>
      <c r="H610" s="3" t="str">
        <f>VLOOKUP(E610,Customers!$A$2:$I$1001,4,0)</f>
        <v>UNKNOWN</v>
      </c>
      <c r="I610" s="25" t="str">
        <f>VLOOKUP(E610,Customers!$A$2:$I$1001,6,0)</f>
        <v>Cleveland</v>
      </c>
      <c r="J610" s="25" t="str">
        <f>VLOOKUP(E610,Customers!$A$2:$I$1001,7,0)</f>
        <v>United States</v>
      </c>
      <c r="K610" s="23" t="str">
        <f>VLOOKUP(E610,Customers!$A$2:$I$1001,9,0)</f>
        <v>No</v>
      </c>
      <c r="L610" s="4" t="s">
        <v>530</v>
      </c>
      <c r="M610" s="4" t="str">
        <f>VLOOKUP(L610,Products!$A$2:$G$49,2,0)</f>
        <v>Excelsa</v>
      </c>
      <c r="N610" s="4" t="str">
        <f>VLOOKUP(L610,Products!$A$2:$G$49,3,0)</f>
        <v>Dark</v>
      </c>
      <c r="O610" s="25">
        <v>2</v>
      </c>
      <c r="P610" s="5">
        <f>INDEX([1]products!$A$1:$G$49,MATCH([1]orders!$D610,[1]products!$A$1:$A$49,0),MATCH([1]orders!K$1,[1]products!$A$1:$G$1,0))</f>
        <v>2.5</v>
      </c>
      <c r="Q610" s="6">
        <f>INDEX([1]products!$A$1:$G$49,MATCH([1]orders!$D610,[1]products!$A$1:$A$49,0),MATCH([1]orders!L$1,[1]products!$A$1:$G$1,0))</f>
        <v>27.945</v>
      </c>
      <c r="R610" s="6">
        <f t="shared" si="45"/>
        <v>55.89</v>
      </c>
      <c r="S610">
        <f>VLOOKUP(L610,Products!$A$2:$G$49,7,0)</f>
        <v>3.07395</v>
      </c>
      <c r="T610">
        <f t="shared" si="48"/>
        <v>6.1478999999999999</v>
      </c>
      <c r="U610" s="33">
        <f t="shared" si="49"/>
        <v>11</v>
      </c>
    </row>
    <row r="611" spans="1:21" x14ac:dyDescent="0.25">
      <c r="A611" s="1" t="s">
        <v>1190</v>
      </c>
      <c r="B611" s="28">
        <v>44147</v>
      </c>
      <c r="C611" s="21" t="str">
        <f t="shared" si="46"/>
        <v>2020</v>
      </c>
      <c r="D611" s="19" t="str">
        <f t="shared" si="47"/>
        <v>November</v>
      </c>
      <c r="E611" s="3" t="s">
        <v>1191</v>
      </c>
      <c r="F611" s="3" t="str">
        <f>VLOOKUP(E611,Customers!$A$2:$I$1001,2,0)</f>
        <v>Ancell Fendt</v>
      </c>
      <c r="G611" s="3" t="str">
        <f>VLOOKUP(E611,Customers!$A$2:$I$1001,3,0)</f>
        <v>afendtgx@forbes.com</v>
      </c>
      <c r="H611" s="3" t="str">
        <f>VLOOKUP(E611,Customers!$A$2:$I$1001,4,0)</f>
        <v>+1 (414) 811-7606</v>
      </c>
      <c r="I611" s="25" t="str">
        <f>VLOOKUP(E611,Customers!$A$2:$I$1001,6,0)</f>
        <v>Milwaukee</v>
      </c>
      <c r="J611" s="25" t="str">
        <f>VLOOKUP(E611,Customers!$A$2:$I$1001,7,0)</f>
        <v>United States</v>
      </c>
      <c r="K611" s="23" t="str">
        <f>VLOOKUP(E611,Customers!$A$2:$I$1001,9,0)</f>
        <v>Yes</v>
      </c>
      <c r="L611" s="4" t="s">
        <v>77</v>
      </c>
      <c r="M611" s="4" t="str">
        <f>VLOOKUP(L611,Products!$A$2:$G$49,2,0)</f>
        <v>Liberica</v>
      </c>
      <c r="N611" s="4" t="str">
        <f>VLOOKUP(L611,Products!$A$2:$G$49,3,0)</f>
        <v>Medium</v>
      </c>
      <c r="O611" s="25">
        <v>6</v>
      </c>
      <c r="P611" s="5">
        <f>INDEX([1]products!$A$1:$G$49,MATCH([1]orders!$D611,[1]products!$A$1:$A$49,0),MATCH([1]orders!K$1,[1]products!$A$1:$G$1,0))</f>
        <v>0.2</v>
      </c>
      <c r="Q611" s="6">
        <f>INDEX([1]products!$A$1:$G$49,MATCH([1]orders!$D611,[1]products!$A$1:$A$49,0),MATCH([1]orders!L$1,[1]products!$A$1:$G$1,0))</f>
        <v>4.3650000000000002</v>
      </c>
      <c r="R611" s="6">
        <f t="shared" si="45"/>
        <v>26.19</v>
      </c>
      <c r="S611">
        <f>VLOOKUP(L611,Products!$A$2:$G$49,7,0)</f>
        <v>0.56745000000000001</v>
      </c>
      <c r="T611">
        <f t="shared" si="48"/>
        <v>3.4047000000000001</v>
      </c>
      <c r="U611" s="33">
        <f t="shared" si="49"/>
        <v>13</v>
      </c>
    </row>
    <row r="612" spans="1:21" x14ac:dyDescent="0.25">
      <c r="A612" s="1" t="s">
        <v>1192</v>
      </c>
      <c r="B612" s="28">
        <v>43743</v>
      </c>
      <c r="C612" s="21" t="str">
        <f t="shared" si="46"/>
        <v>2019</v>
      </c>
      <c r="D612" s="19" t="str">
        <f t="shared" si="47"/>
        <v>October</v>
      </c>
      <c r="E612" s="3" t="s">
        <v>1193</v>
      </c>
      <c r="F612" s="3" t="str">
        <f>VLOOKUP(E612,Customers!$A$2:$I$1001,2,0)</f>
        <v>Angelia Cleyburn</v>
      </c>
      <c r="G612" s="3" t="str">
        <f>VLOOKUP(E612,Customers!$A$2:$I$1001,3,0)</f>
        <v>acleyburngy@lycos.com</v>
      </c>
      <c r="H612" s="3" t="str">
        <f>VLOOKUP(E612,Customers!$A$2:$I$1001,4,0)</f>
        <v>+1 (754) 355-3802</v>
      </c>
      <c r="I612" s="25" t="str">
        <f>VLOOKUP(E612,Customers!$A$2:$I$1001,6,0)</f>
        <v>Fort Lauderdale</v>
      </c>
      <c r="J612" s="25" t="str">
        <f>VLOOKUP(E612,Customers!$A$2:$I$1001,7,0)</f>
        <v>United States</v>
      </c>
      <c r="K612" s="23" t="str">
        <f>VLOOKUP(E612,Customers!$A$2:$I$1001,9,0)</f>
        <v>No</v>
      </c>
      <c r="L612" s="4" t="s">
        <v>2</v>
      </c>
      <c r="M612" s="4" t="str">
        <f>VLOOKUP(L612,Products!$A$2:$G$49,2,0)</f>
        <v>Robusta</v>
      </c>
      <c r="N612" s="4" t="str">
        <f>VLOOKUP(L612,Products!$A$2:$G$49,3,0)</f>
        <v>Medium</v>
      </c>
      <c r="O612" s="25">
        <v>4</v>
      </c>
      <c r="P612" s="5">
        <f>INDEX([1]products!$A$1:$G$49,MATCH([1]orders!$D612,[1]products!$A$1:$A$49,0),MATCH([1]orders!K$1,[1]products!$A$1:$G$1,0))</f>
        <v>1</v>
      </c>
      <c r="Q612" s="6">
        <f>INDEX([1]products!$A$1:$G$49,MATCH([1]orders!$D612,[1]products!$A$1:$A$49,0),MATCH([1]orders!L$1,[1]products!$A$1:$G$1,0))</f>
        <v>9.9499999999999993</v>
      </c>
      <c r="R612" s="6">
        <f t="shared" si="45"/>
        <v>39.799999999999997</v>
      </c>
      <c r="S612">
        <f>VLOOKUP(L612,Products!$A$2:$G$49,7,0)</f>
        <v>0.59699999999999998</v>
      </c>
      <c r="T612">
        <f t="shared" si="48"/>
        <v>2.3879999999999999</v>
      </c>
      <c r="U612" s="33">
        <f t="shared" si="49"/>
        <v>6.0000000000000009</v>
      </c>
    </row>
    <row r="613" spans="1:21" x14ac:dyDescent="0.25">
      <c r="A613" s="1" t="s">
        <v>1194</v>
      </c>
      <c r="B613" s="28">
        <v>43739</v>
      </c>
      <c r="C613" s="21" t="str">
        <f t="shared" si="46"/>
        <v>2019</v>
      </c>
      <c r="D613" s="19" t="str">
        <f t="shared" si="47"/>
        <v>October</v>
      </c>
      <c r="E613" s="3" t="s">
        <v>1195</v>
      </c>
      <c r="F613" s="3" t="str">
        <f>VLOOKUP(E613,Customers!$A$2:$I$1001,2,0)</f>
        <v>Temple Castiglione</v>
      </c>
      <c r="G613" s="3" t="str">
        <f>VLOOKUP(E613,Customers!$A$2:$I$1001,3,0)</f>
        <v>tcastiglionegz@xing.com</v>
      </c>
      <c r="H613" s="3" t="str">
        <f>VLOOKUP(E613,Customers!$A$2:$I$1001,4,0)</f>
        <v>+1 (318) 820-6128</v>
      </c>
      <c r="I613" s="25" t="str">
        <f>VLOOKUP(E613,Customers!$A$2:$I$1001,6,0)</f>
        <v>Shreveport</v>
      </c>
      <c r="J613" s="25" t="str">
        <f>VLOOKUP(E613,Customers!$A$2:$I$1001,7,0)</f>
        <v>United States</v>
      </c>
      <c r="K613" s="23" t="str">
        <f>VLOOKUP(E613,Customers!$A$2:$I$1001,9,0)</f>
        <v>No</v>
      </c>
      <c r="L613" s="4" t="s">
        <v>30</v>
      </c>
      <c r="M613" s="4" t="str">
        <f>VLOOKUP(L613,Products!$A$2:$G$49,2,0)</f>
        <v>Excelsa</v>
      </c>
      <c r="N613" s="4" t="str">
        <f>VLOOKUP(L613,Products!$A$2:$G$49,3,0)</f>
        <v>Light</v>
      </c>
      <c r="O613" s="25">
        <v>2</v>
      </c>
      <c r="P613" s="5">
        <f>INDEX([1]products!$A$1:$G$49,MATCH([1]orders!$D613,[1]products!$A$1:$A$49,0),MATCH([1]orders!K$1,[1]products!$A$1:$G$1,0))</f>
        <v>2.5</v>
      </c>
      <c r="Q613" s="6">
        <f>INDEX([1]products!$A$1:$G$49,MATCH([1]orders!$D613,[1]products!$A$1:$A$49,0),MATCH([1]orders!L$1,[1]products!$A$1:$G$1,0))</f>
        <v>34.154999999999994</v>
      </c>
      <c r="R613" s="6">
        <f t="shared" si="45"/>
        <v>68.309999999999988</v>
      </c>
      <c r="S613">
        <f>VLOOKUP(L613,Products!$A$2:$G$49,7,0)</f>
        <v>3.7570499999999996</v>
      </c>
      <c r="T613">
        <f t="shared" si="48"/>
        <v>7.5140999999999991</v>
      </c>
      <c r="U613" s="33">
        <f t="shared" si="49"/>
        <v>11</v>
      </c>
    </row>
    <row r="614" spans="1:21" x14ac:dyDescent="0.25">
      <c r="A614" s="1" t="s">
        <v>1196</v>
      </c>
      <c r="B614" s="28">
        <v>43896</v>
      </c>
      <c r="C614" s="21" t="str">
        <f t="shared" si="46"/>
        <v>2020</v>
      </c>
      <c r="D614" s="19" t="str">
        <f t="shared" si="47"/>
        <v>March</v>
      </c>
      <c r="E614" s="3" t="s">
        <v>1197</v>
      </c>
      <c r="F614" s="3" t="str">
        <f>VLOOKUP(E614,Customers!$A$2:$I$1001,2,0)</f>
        <v>Betti Lacasa</v>
      </c>
      <c r="G614" s="3" t="str">
        <f>VLOOKUP(E614,Customers!$A$2:$I$1001,3,0)</f>
        <v>UNKNOWN</v>
      </c>
      <c r="H614" s="3" t="str">
        <f>VLOOKUP(E614,Customers!$A$2:$I$1001,4,0)</f>
        <v>+353 (930) 704-1778</v>
      </c>
      <c r="I614" s="25" t="str">
        <f>VLOOKUP(E614,Customers!$A$2:$I$1001,6,0)</f>
        <v>Beaumont</v>
      </c>
      <c r="J614" s="25" t="str">
        <f>VLOOKUP(E614,Customers!$A$2:$I$1001,7,0)</f>
        <v>Ireland</v>
      </c>
      <c r="K614" s="23" t="str">
        <f>VLOOKUP(E614,Customers!$A$2:$I$1001,9,0)</f>
        <v>No</v>
      </c>
      <c r="L614" s="4" t="s">
        <v>44</v>
      </c>
      <c r="M614" s="4" t="str">
        <f>VLOOKUP(L614,Products!$A$2:$G$49,2,0)</f>
        <v>Arabica</v>
      </c>
      <c r="N614" s="4" t="str">
        <f>VLOOKUP(L614,Products!$A$2:$G$49,3,0)</f>
        <v>Medium</v>
      </c>
      <c r="O614" s="25">
        <v>4</v>
      </c>
      <c r="P614" s="5">
        <f>INDEX([1]products!$A$1:$G$49,MATCH([1]orders!$D614,[1]products!$A$1:$A$49,0),MATCH([1]orders!K$1,[1]products!$A$1:$G$1,0))</f>
        <v>0.2</v>
      </c>
      <c r="Q614" s="6">
        <f>INDEX([1]products!$A$1:$G$49,MATCH([1]orders!$D614,[1]products!$A$1:$A$49,0),MATCH([1]orders!L$1,[1]products!$A$1:$G$1,0))</f>
        <v>3.375</v>
      </c>
      <c r="R614" s="6">
        <f t="shared" si="45"/>
        <v>13.5</v>
      </c>
      <c r="S614">
        <f>VLOOKUP(L614,Products!$A$2:$G$49,7,0)</f>
        <v>0.30374999999999996</v>
      </c>
      <c r="T614">
        <f t="shared" si="48"/>
        <v>1.2149999999999999</v>
      </c>
      <c r="U614" s="33">
        <f t="shared" si="49"/>
        <v>8.9999999999999982</v>
      </c>
    </row>
    <row r="615" spans="1:21" x14ac:dyDescent="0.25">
      <c r="A615" s="1" t="s">
        <v>1198</v>
      </c>
      <c r="B615" s="28">
        <v>43761</v>
      </c>
      <c r="C615" s="21" t="str">
        <f t="shared" si="46"/>
        <v>2019</v>
      </c>
      <c r="D615" s="19" t="str">
        <f t="shared" si="47"/>
        <v>October</v>
      </c>
      <c r="E615" s="3" t="s">
        <v>1199</v>
      </c>
      <c r="F615" s="3" t="str">
        <f>VLOOKUP(E615,Customers!$A$2:$I$1001,2,0)</f>
        <v>Gunilla Lynch</v>
      </c>
      <c r="G615" s="3" t="str">
        <f>VLOOKUP(E615,Customers!$A$2:$I$1001,3,0)</f>
        <v>UNKNOWN</v>
      </c>
      <c r="H615" s="3" t="str">
        <f>VLOOKUP(E615,Customers!$A$2:$I$1001,4,0)</f>
        <v>+1 (916) 626-5223</v>
      </c>
      <c r="I615" s="25" t="str">
        <f>VLOOKUP(E615,Customers!$A$2:$I$1001,6,0)</f>
        <v>Sacramento</v>
      </c>
      <c r="J615" s="25" t="str">
        <f>VLOOKUP(E615,Customers!$A$2:$I$1001,7,0)</f>
        <v>United States</v>
      </c>
      <c r="K615" s="23" t="str">
        <f>VLOOKUP(E615,Customers!$A$2:$I$1001,9,0)</f>
        <v>No</v>
      </c>
      <c r="L615" s="4" t="s">
        <v>22</v>
      </c>
      <c r="M615" s="4" t="str">
        <f>VLOOKUP(L615,Products!$A$2:$G$49,2,0)</f>
        <v>Robusta</v>
      </c>
      <c r="N615" s="4" t="str">
        <f>VLOOKUP(L615,Products!$A$2:$G$49,3,0)</f>
        <v>Medium</v>
      </c>
      <c r="O615" s="25">
        <v>1</v>
      </c>
      <c r="P615" s="5">
        <f>INDEX([1]products!$A$1:$G$49,MATCH([1]orders!$D615,[1]products!$A$1:$A$49,0),MATCH([1]orders!K$1,[1]products!$A$1:$G$1,0))</f>
        <v>0.5</v>
      </c>
      <c r="Q615" s="6">
        <f>INDEX([1]products!$A$1:$G$49,MATCH([1]orders!$D615,[1]products!$A$1:$A$49,0),MATCH([1]orders!L$1,[1]products!$A$1:$G$1,0))</f>
        <v>5.97</v>
      </c>
      <c r="R615" s="6">
        <f t="shared" si="45"/>
        <v>5.97</v>
      </c>
      <c r="S615">
        <f>VLOOKUP(L615,Products!$A$2:$G$49,7,0)</f>
        <v>0.35819999999999996</v>
      </c>
      <c r="T615">
        <f t="shared" si="48"/>
        <v>0.35819999999999996</v>
      </c>
      <c r="U615" s="33">
        <f t="shared" si="49"/>
        <v>6</v>
      </c>
    </row>
    <row r="616" spans="1:21" x14ac:dyDescent="0.25">
      <c r="A616" s="1" t="s">
        <v>1200</v>
      </c>
      <c r="B616" s="28">
        <v>43944</v>
      </c>
      <c r="C616" s="21" t="str">
        <f t="shared" si="46"/>
        <v>2020</v>
      </c>
      <c r="D616" s="19" t="str">
        <f t="shared" si="47"/>
        <v>April</v>
      </c>
      <c r="E616" s="3" t="s">
        <v>1145</v>
      </c>
      <c r="F616" s="3" t="str">
        <f>VLOOKUP(E616,Customers!$A$2:$I$1001,2,0)</f>
        <v>Cody Verissimo</v>
      </c>
      <c r="G616" s="3" t="str">
        <f>VLOOKUP(E616,Customers!$A$2:$I$1001,3,0)</f>
        <v>cverissimogh@theglobeandmail.com</v>
      </c>
      <c r="H616" s="3" t="str">
        <f>VLOOKUP(E616,Customers!$A$2:$I$1001,4,0)</f>
        <v>UNKNOWN</v>
      </c>
      <c r="I616" s="25" t="str">
        <f>VLOOKUP(E616,Customers!$A$2:$I$1001,6,0)</f>
        <v>Upton</v>
      </c>
      <c r="J616" s="25" t="str">
        <f>VLOOKUP(E616,Customers!$A$2:$I$1001,7,0)</f>
        <v>United Kingdom</v>
      </c>
      <c r="K616" s="23" t="str">
        <f>VLOOKUP(E616,Customers!$A$2:$I$1001,9,0)</f>
        <v>Yes</v>
      </c>
      <c r="L616" s="4" t="s">
        <v>22</v>
      </c>
      <c r="M616" s="4" t="str">
        <f>VLOOKUP(L616,Products!$A$2:$G$49,2,0)</f>
        <v>Robusta</v>
      </c>
      <c r="N616" s="4" t="str">
        <f>VLOOKUP(L616,Products!$A$2:$G$49,3,0)</f>
        <v>Medium</v>
      </c>
      <c r="O616" s="25">
        <v>5</v>
      </c>
      <c r="P616" s="5">
        <f>INDEX([1]products!$A$1:$G$49,MATCH([1]orders!$D616,[1]products!$A$1:$A$49,0),MATCH([1]orders!K$1,[1]products!$A$1:$G$1,0))</f>
        <v>0.5</v>
      </c>
      <c r="Q616" s="6">
        <f>INDEX([1]products!$A$1:$G$49,MATCH([1]orders!$D616,[1]products!$A$1:$A$49,0),MATCH([1]orders!L$1,[1]products!$A$1:$G$1,0))</f>
        <v>5.97</v>
      </c>
      <c r="R616" s="6">
        <f t="shared" si="45"/>
        <v>29.849999999999998</v>
      </c>
      <c r="S616">
        <f>VLOOKUP(L616,Products!$A$2:$G$49,7,0)</f>
        <v>0.35819999999999996</v>
      </c>
      <c r="T616">
        <f t="shared" si="48"/>
        <v>1.7909999999999999</v>
      </c>
      <c r="U616" s="33">
        <f t="shared" si="49"/>
        <v>6.0000000000000009</v>
      </c>
    </row>
    <row r="617" spans="1:21" x14ac:dyDescent="0.25">
      <c r="A617" s="1" t="s">
        <v>1201</v>
      </c>
      <c r="B617" s="28">
        <v>44006</v>
      </c>
      <c r="C617" s="21" t="str">
        <f t="shared" si="46"/>
        <v>2020</v>
      </c>
      <c r="D617" s="19" t="str">
        <f t="shared" si="47"/>
        <v>June</v>
      </c>
      <c r="E617" s="3" t="s">
        <v>1202</v>
      </c>
      <c r="F617" s="3" t="str">
        <f>VLOOKUP(E617,Customers!$A$2:$I$1001,2,0)</f>
        <v>Shay Couronne</v>
      </c>
      <c r="G617" s="3" t="str">
        <f>VLOOKUP(E617,Customers!$A$2:$I$1001,3,0)</f>
        <v>scouronneh3@mozilla.org</v>
      </c>
      <c r="H617" s="3" t="str">
        <f>VLOOKUP(E617,Customers!$A$2:$I$1001,4,0)</f>
        <v>+1 (701) 894-8081</v>
      </c>
      <c r="I617" s="25" t="str">
        <f>VLOOKUP(E617,Customers!$A$2:$I$1001,6,0)</f>
        <v>Fargo</v>
      </c>
      <c r="J617" s="25" t="str">
        <f>VLOOKUP(E617,Customers!$A$2:$I$1001,7,0)</f>
        <v>United States</v>
      </c>
      <c r="K617" s="23" t="str">
        <f>VLOOKUP(E617,Customers!$A$2:$I$1001,9,0)</f>
        <v>Yes</v>
      </c>
      <c r="L617" s="4" t="s">
        <v>104</v>
      </c>
      <c r="M617" s="4" t="str">
        <f>VLOOKUP(L617,Products!$A$2:$G$49,2,0)</f>
        <v>Liberica</v>
      </c>
      <c r="N617" s="4" t="str">
        <f>VLOOKUP(L617,Products!$A$2:$G$49,3,0)</f>
        <v>Light</v>
      </c>
      <c r="O617" s="25">
        <v>2</v>
      </c>
      <c r="P617" s="5">
        <f>INDEX([1]products!$A$1:$G$49,MATCH([1]orders!$D617,[1]products!$A$1:$A$49,0),MATCH([1]orders!K$1,[1]products!$A$1:$G$1,0))</f>
        <v>2.5</v>
      </c>
      <c r="Q617" s="6">
        <f>INDEX([1]products!$A$1:$G$49,MATCH([1]orders!$D617,[1]products!$A$1:$A$49,0),MATCH([1]orders!L$1,[1]products!$A$1:$G$1,0))</f>
        <v>36.454999999999998</v>
      </c>
      <c r="R617" s="6">
        <f t="shared" si="45"/>
        <v>72.91</v>
      </c>
      <c r="S617">
        <f>VLOOKUP(L617,Products!$A$2:$G$49,7,0)</f>
        <v>4.7391499999999995</v>
      </c>
      <c r="T617">
        <f t="shared" si="48"/>
        <v>9.4782999999999991</v>
      </c>
      <c r="U617" s="33">
        <f t="shared" si="49"/>
        <v>13</v>
      </c>
    </row>
    <row r="618" spans="1:21" x14ac:dyDescent="0.25">
      <c r="A618" s="1" t="s">
        <v>1203</v>
      </c>
      <c r="B618" s="28">
        <v>44271</v>
      </c>
      <c r="C618" s="21" t="str">
        <f t="shared" si="46"/>
        <v>2021</v>
      </c>
      <c r="D618" s="19" t="str">
        <f t="shared" si="47"/>
        <v>March</v>
      </c>
      <c r="E618" s="3" t="s">
        <v>1204</v>
      </c>
      <c r="F618" s="3" t="str">
        <f>VLOOKUP(E618,Customers!$A$2:$I$1001,2,0)</f>
        <v>Linus Flippelli</v>
      </c>
      <c r="G618" s="3" t="str">
        <f>VLOOKUP(E618,Customers!$A$2:$I$1001,3,0)</f>
        <v>lflippellih4@github.io</v>
      </c>
      <c r="H618" s="3" t="str">
        <f>VLOOKUP(E618,Customers!$A$2:$I$1001,4,0)</f>
        <v>+44 (200) 860-6521</v>
      </c>
      <c r="I618" s="25" t="str">
        <f>VLOOKUP(E618,Customers!$A$2:$I$1001,6,0)</f>
        <v>Middleton</v>
      </c>
      <c r="J618" s="25" t="str">
        <f>VLOOKUP(E618,Customers!$A$2:$I$1001,7,0)</f>
        <v>United Kingdom</v>
      </c>
      <c r="K618" s="23" t="str">
        <f>VLOOKUP(E618,Customers!$A$2:$I$1001,9,0)</f>
        <v>No</v>
      </c>
      <c r="L618" s="4" t="s">
        <v>112</v>
      </c>
      <c r="M618" s="4" t="str">
        <f>VLOOKUP(L618,Products!$A$2:$G$49,2,0)</f>
        <v>Excelsa</v>
      </c>
      <c r="N618" s="4" t="str">
        <f>VLOOKUP(L618,Products!$A$2:$G$49,3,0)</f>
        <v>Medium</v>
      </c>
      <c r="O618" s="25">
        <v>4</v>
      </c>
      <c r="P618" s="5">
        <f>INDEX([1]products!$A$1:$G$49,MATCH([1]orders!$D618,[1]products!$A$1:$A$49,0),MATCH([1]orders!K$1,[1]products!$A$1:$G$1,0))</f>
        <v>2.5</v>
      </c>
      <c r="Q618" s="6">
        <f>INDEX([1]products!$A$1:$G$49,MATCH([1]orders!$D618,[1]products!$A$1:$A$49,0),MATCH([1]orders!L$1,[1]products!$A$1:$G$1,0))</f>
        <v>31.624999999999996</v>
      </c>
      <c r="R618" s="6">
        <f t="shared" si="45"/>
        <v>126.49999999999999</v>
      </c>
      <c r="S618">
        <f>VLOOKUP(L618,Products!$A$2:$G$49,7,0)</f>
        <v>3.4787499999999998</v>
      </c>
      <c r="T618">
        <f t="shared" si="48"/>
        <v>13.914999999999999</v>
      </c>
      <c r="U618" s="33">
        <f t="shared" si="49"/>
        <v>11</v>
      </c>
    </row>
    <row r="619" spans="1:21" x14ac:dyDescent="0.25">
      <c r="A619" s="1" t="s">
        <v>1205</v>
      </c>
      <c r="B619" s="28">
        <v>43928</v>
      </c>
      <c r="C619" s="21" t="str">
        <f t="shared" si="46"/>
        <v>2020</v>
      </c>
      <c r="D619" s="19" t="str">
        <f t="shared" si="47"/>
        <v>April</v>
      </c>
      <c r="E619" s="3" t="s">
        <v>1206</v>
      </c>
      <c r="F619" s="3" t="str">
        <f>VLOOKUP(E619,Customers!$A$2:$I$1001,2,0)</f>
        <v>Rachelle Elizabeth</v>
      </c>
      <c r="G619" s="3" t="str">
        <f>VLOOKUP(E619,Customers!$A$2:$I$1001,3,0)</f>
        <v>relizabethh5@live.com</v>
      </c>
      <c r="H619" s="3" t="str">
        <f>VLOOKUP(E619,Customers!$A$2:$I$1001,4,0)</f>
        <v>+1 (918) 203-3263</v>
      </c>
      <c r="I619" s="25" t="str">
        <f>VLOOKUP(E619,Customers!$A$2:$I$1001,6,0)</f>
        <v>Tulsa</v>
      </c>
      <c r="J619" s="25" t="str">
        <f>VLOOKUP(E619,Customers!$A$2:$I$1001,7,0)</f>
        <v>United States</v>
      </c>
      <c r="K619" s="23" t="str">
        <f>VLOOKUP(E619,Customers!$A$2:$I$1001,9,0)</f>
        <v>No</v>
      </c>
      <c r="L619" s="4" t="s">
        <v>197</v>
      </c>
      <c r="M619" s="4" t="str">
        <f>VLOOKUP(L619,Products!$A$2:$G$49,2,0)</f>
        <v>Liberica</v>
      </c>
      <c r="N619" s="4" t="str">
        <f>VLOOKUP(L619,Products!$A$2:$G$49,3,0)</f>
        <v>Medium</v>
      </c>
      <c r="O619" s="25">
        <v>1</v>
      </c>
      <c r="P619" s="5">
        <f>INDEX([1]products!$A$1:$G$49,MATCH([1]orders!$D619,[1]products!$A$1:$A$49,0),MATCH([1]orders!K$1,[1]products!$A$1:$G$1,0))</f>
        <v>2.5</v>
      </c>
      <c r="Q619" s="6">
        <f>INDEX([1]products!$A$1:$G$49,MATCH([1]orders!$D619,[1]products!$A$1:$A$49,0),MATCH([1]orders!L$1,[1]products!$A$1:$G$1,0))</f>
        <v>33.464999999999996</v>
      </c>
      <c r="R619" s="6">
        <f t="shared" si="45"/>
        <v>33.464999999999996</v>
      </c>
      <c r="S619">
        <f>VLOOKUP(L619,Products!$A$2:$G$49,7,0)</f>
        <v>4.3504499999999995</v>
      </c>
      <c r="T619">
        <f t="shared" si="48"/>
        <v>4.3504499999999995</v>
      </c>
      <c r="U619" s="33">
        <f t="shared" si="49"/>
        <v>13</v>
      </c>
    </row>
    <row r="620" spans="1:21" x14ac:dyDescent="0.25">
      <c r="A620" s="1" t="s">
        <v>1207</v>
      </c>
      <c r="B620" s="28">
        <v>44469</v>
      </c>
      <c r="C620" s="21" t="str">
        <f t="shared" si="46"/>
        <v>2021</v>
      </c>
      <c r="D620" s="19" t="str">
        <f t="shared" si="47"/>
        <v>September</v>
      </c>
      <c r="E620" s="3" t="s">
        <v>1208</v>
      </c>
      <c r="F620" s="3" t="str">
        <f>VLOOKUP(E620,Customers!$A$2:$I$1001,2,0)</f>
        <v>Innis Renhard</v>
      </c>
      <c r="G620" s="3" t="str">
        <f>VLOOKUP(E620,Customers!$A$2:$I$1001,3,0)</f>
        <v>irenhardh6@i2i.jp</v>
      </c>
      <c r="H620" s="3" t="str">
        <f>VLOOKUP(E620,Customers!$A$2:$I$1001,4,0)</f>
        <v>+1 (646) 225-6560</v>
      </c>
      <c r="I620" s="25" t="str">
        <f>VLOOKUP(E620,Customers!$A$2:$I$1001,6,0)</f>
        <v>New York City</v>
      </c>
      <c r="J620" s="25" t="str">
        <f>VLOOKUP(E620,Customers!$A$2:$I$1001,7,0)</f>
        <v>United States</v>
      </c>
      <c r="K620" s="23" t="str">
        <f>VLOOKUP(E620,Customers!$A$2:$I$1001,9,0)</f>
        <v>Yes</v>
      </c>
      <c r="L620" s="4" t="s">
        <v>245</v>
      </c>
      <c r="M620" s="4" t="str">
        <f>VLOOKUP(L620,Products!$A$2:$G$49,2,0)</f>
        <v>Excelsa</v>
      </c>
      <c r="N620" s="4" t="str">
        <f>VLOOKUP(L620,Products!$A$2:$G$49,3,0)</f>
        <v>Dark</v>
      </c>
      <c r="O620" s="25">
        <v>6</v>
      </c>
      <c r="P620" s="5">
        <f>INDEX([1]products!$A$1:$G$49,MATCH([1]orders!$D620,[1]products!$A$1:$A$49,0),MATCH([1]orders!K$1,[1]products!$A$1:$G$1,0))</f>
        <v>1</v>
      </c>
      <c r="Q620" s="6">
        <f>INDEX([1]products!$A$1:$G$49,MATCH([1]orders!$D620,[1]products!$A$1:$A$49,0),MATCH([1]orders!L$1,[1]products!$A$1:$G$1,0))</f>
        <v>12.15</v>
      </c>
      <c r="R620" s="6">
        <f t="shared" si="45"/>
        <v>72.900000000000006</v>
      </c>
      <c r="S620">
        <f>VLOOKUP(L620,Products!$A$2:$G$49,7,0)</f>
        <v>1.3365</v>
      </c>
      <c r="T620">
        <f t="shared" si="48"/>
        <v>8.0190000000000001</v>
      </c>
      <c r="U620" s="33">
        <f t="shared" si="49"/>
        <v>10.999999999999998</v>
      </c>
    </row>
    <row r="621" spans="1:21" x14ac:dyDescent="0.25">
      <c r="A621" s="1" t="s">
        <v>1209</v>
      </c>
      <c r="B621" s="28">
        <v>44682</v>
      </c>
      <c r="C621" s="21" t="str">
        <f t="shared" si="46"/>
        <v>2022</v>
      </c>
      <c r="D621" s="19" t="str">
        <f t="shared" si="47"/>
        <v>May</v>
      </c>
      <c r="E621" s="3" t="s">
        <v>1210</v>
      </c>
      <c r="F621" s="3" t="str">
        <f>VLOOKUP(E621,Customers!$A$2:$I$1001,2,0)</f>
        <v>Winne Roche</v>
      </c>
      <c r="G621" s="3" t="str">
        <f>VLOOKUP(E621,Customers!$A$2:$I$1001,3,0)</f>
        <v>wrocheh7@xinhuanet.com</v>
      </c>
      <c r="H621" s="3" t="str">
        <f>VLOOKUP(E621,Customers!$A$2:$I$1001,4,0)</f>
        <v>+1 (317) 439-5584</v>
      </c>
      <c r="I621" s="25" t="str">
        <f>VLOOKUP(E621,Customers!$A$2:$I$1001,6,0)</f>
        <v>Seminole</v>
      </c>
      <c r="J621" s="25" t="str">
        <f>VLOOKUP(E621,Customers!$A$2:$I$1001,7,0)</f>
        <v>United States</v>
      </c>
      <c r="K621" s="23" t="str">
        <f>VLOOKUP(E621,Customers!$A$2:$I$1001,9,0)</f>
        <v>Yes</v>
      </c>
      <c r="L621" s="4" t="s">
        <v>123</v>
      </c>
      <c r="M621" s="4" t="str">
        <f>VLOOKUP(L621,Products!$A$2:$G$49,2,0)</f>
        <v>Liberica</v>
      </c>
      <c r="N621" s="4" t="str">
        <f>VLOOKUP(L621,Products!$A$2:$G$49,3,0)</f>
        <v>Dark</v>
      </c>
      <c r="O621" s="25">
        <v>2</v>
      </c>
      <c r="P621" s="5">
        <f>INDEX([1]products!$A$1:$G$49,MATCH([1]orders!$D621,[1]products!$A$1:$A$49,0),MATCH([1]orders!K$1,[1]products!$A$1:$G$1,0))</f>
        <v>0.5</v>
      </c>
      <c r="Q621" s="6">
        <f>INDEX([1]products!$A$1:$G$49,MATCH([1]orders!$D621,[1]products!$A$1:$A$49,0),MATCH([1]orders!L$1,[1]products!$A$1:$G$1,0))</f>
        <v>7.77</v>
      </c>
      <c r="R621" s="6">
        <f t="shared" si="45"/>
        <v>15.54</v>
      </c>
      <c r="S621">
        <f>VLOOKUP(L621,Products!$A$2:$G$49,7,0)</f>
        <v>1.0101</v>
      </c>
      <c r="T621">
        <f t="shared" si="48"/>
        <v>2.0202</v>
      </c>
      <c r="U621" s="33">
        <f t="shared" si="49"/>
        <v>13</v>
      </c>
    </row>
    <row r="622" spans="1:21" x14ac:dyDescent="0.25">
      <c r="A622" s="1" t="s">
        <v>1211</v>
      </c>
      <c r="B622" s="28">
        <v>44217</v>
      </c>
      <c r="C622" s="21" t="str">
        <f t="shared" si="46"/>
        <v>2021</v>
      </c>
      <c r="D622" s="19" t="str">
        <f t="shared" si="47"/>
        <v>January</v>
      </c>
      <c r="E622" s="3" t="s">
        <v>1212</v>
      </c>
      <c r="F622" s="3" t="str">
        <f>VLOOKUP(E622,Customers!$A$2:$I$1001,2,0)</f>
        <v>Linn Alaway</v>
      </c>
      <c r="G622" s="3" t="str">
        <f>VLOOKUP(E622,Customers!$A$2:$I$1001,3,0)</f>
        <v>lalawayhh@weather.com</v>
      </c>
      <c r="H622" s="3" t="str">
        <f>VLOOKUP(E622,Customers!$A$2:$I$1001,4,0)</f>
        <v>UNKNOWN</v>
      </c>
      <c r="I622" s="25" t="str">
        <f>VLOOKUP(E622,Customers!$A$2:$I$1001,6,0)</f>
        <v>Fort Lauderdale</v>
      </c>
      <c r="J622" s="25" t="str">
        <f>VLOOKUP(E622,Customers!$A$2:$I$1001,7,0)</f>
        <v>United States</v>
      </c>
      <c r="K622" s="23" t="str">
        <f>VLOOKUP(E622,Customers!$A$2:$I$1001,9,0)</f>
        <v>No</v>
      </c>
      <c r="L622" s="4" t="s">
        <v>44</v>
      </c>
      <c r="M622" s="4" t="str">
        <f>VLOOKUP(L622,Products!$A$2:$G$49,2,0)</f>
        <v>Arabica</v>
      </c>
      <c r="N622" s="4" t="str">
        <f>VLOOKUP(L622,Products!$A$2:$G$49,3,0)</f>
        <v>Medium</v>
      </c>
      <c r="O622" s="25">
        <v>6</v>
      </c>
      <c r="P622" s="5">
        <f>INDEX([1]products!$A$1:$G$49,MATCH([1]orders!$D622,[1]products!$A$1:$A$49,0),MATCH([1]orders!K$1,[1]products!$A$1:$G$1,0))</f>
        <v>0.2</v>
      </c>
      <c r="Q622" s="6">
        <f>INDEX([1]products!$A$1:$G$49,MATCH([1]orders!$D622,[1]products!$A$1:$A$49,0),MATCH([1]orders!L$1,[1]products!$A$1:$G$1,0))</f>
        <v>3.375</v>
      </c>
      <c r="R622" s="6">
        <f t="shared" si="45"/>
        <v>20.25</v>
      </c>
      <c r="S622">
        <f>VLOOKUP(L622,Products!$A$2:$G$49,7,0)</f>
        <v>0.30374999999999996</v>
      </c>
      <c r="T622">
        <f t="shared" si="48"/>
        <v>1.8224999999999998</v>
      </c>
      <c r="U622" s="33">
        <f t="shared" si="49"/>
        <v>8.9999999999999982</v>
      </c>
    </row>
    <row r="623" spans="1:21" x14ac:dyDescent="0.25">
      <c r="A623" s="1" t="s">
        <v>1213</v>
      </c>
      <c r="B623" s="28">
        <v>44006</v>
      </c>
      <c r="C623" s="21" t="str">
        <f t="shared" si="46"/>
        <v>2020</v>
      </c>
      <c r="D623" s="19" t="str">
        <f t="shared" si="47"/>
        <v>June</v>
      </c>
      <c r="E623" s="3" t="s">
        <v>1214</v>
      </c>
      <c r="F623" s="3" t="str">
        <f>VLOOKUP(E623,Customers!$A$2:$I$1001,2,0)</f>
        <v>Cordy Odgaard</v>
      </c>
      <c r="G623" s="3" t="str">
        <f>VLOOKUP(E623,Customers!$A$2:$I$1001,3,0)</f>
        <v>codgaardh9@nsw.gov.au</v>
      </c>
      <c r="H623" s="3" t="str">
        <f>VLOOKUP(E623,Customers!$A$2:$I$1001,4,0)</f>
        <v>+1 (503) 203-1484</v>
      </c>
      <c r="I623" s="25" t="str">
        <f>VLOOKUP(E623,Customers!$A$2:$I$1001,6,0)</f>
        <v>Portland</v>
      </c>
      <c r="J623" s="25" t="str">
        <f>VLOOKUP(E623,Customers!$A$2:$I$1001,7,0)</f>
        <v>United States</v>
      </c>
      <c r="K623" s="23" t="str">
        <f>VLOOKUP(E623,Customers!$A$2:$I$1001,9,0)</f>
        <v>No</v>
      </c>
      <c r="L623" s="4" t="s">
        <v>6</v>
      </c>
      <c r="M623" s="4" t="str">
        <f>VLOOKUP(L623,Products!$A$2:$G$49,2,0)</f>
        <v>Arabica</v>
      </c>
      <c r="N623" s="4" t="str">
        <f>VLOOKUP(L623,Products!$A$2:$G$49,3,0)</f>
        <v>Light</v>
      </c>
      <c r="O623" s="25">
        <v>6</v>
      </c>
      <c r="P623" s="5">
        <f>INDEX([1]products!$A$1:$G$49,MATCH([1]orders!$D623,[1]products!$A$1:$A$49,0),MATCH([1]orders!K$1,[1]products!$A$1:$G$1,0))</f>
        <v>1</v>
      </c>
      <c r="Q623" s="6">
        <f>INDEX([1]products!$A$1:$G$49,MATCH([1]orders!$D623,[1]products!$A$1:$A$49,0),MATCH([1]orders!L$1,[1]products!$A$1:$G$1,0))</f>
        <v>12.95</v>
      </c>
      <c r="R623" s="6">
        <f t="shared" si="45"/>
        <v>77.699999999999989</v>
      </c>
      <c r="S623">
        <f>VLOOKUP(L623,Products!$A$2:$G$49,7,0)</f>
        <v>1.1655</v>
      </c>
      <c r="T623">
        <f t="shared" si="48"/>
        <v>6.9930000000000003</v>
      </c>
      <c r="U623" s="33">
        <f t="shared" si="49"/>
        <v>9.0000000000000018</v>
      </c>
    </row>
    <row r="624" spans="1:21" x14ac:dyDescent="0.25">
      <c r="A624" s="1" t="s">
        <v>1215</v>
      </c>
      <c r="B624" s="28">
        <v>43527</v>
      </c>
      <c r="C624" s="21" t="str">
        <f t="shared" si="46"/>
        <v>2019</v>
      </c>
      <c r="D624" s="19" t="str">
        <f t="shared" si="47"/>
        <v>March</v>
      </c>
      <c r="E624" s="3" t="s">
        <v>1216</v>
      </c>
      <c r="F624" s="3" t="str">
        <f>VLOOKUP(E624,Customers!$A$2:$I$1001,2,0)</f>
        <v>Bertine Byrd</v>
      </c>
      <c r="G624" s="3" t="str">
        <f>VLOOKUP(E624,Customers!$A$2:$I$1001,3,0)</f>
        <v>bbyrdha@4shared.com</v>
      </c>
      <c r="H624" s="3" t="str">
        <f>VLOOKUP(E624,Customers!$A$2:$I$1001,4,0)</f>
        <v>UNKNOWN</v>
      </c>
      <c r="I624" s="25" t="str">
        <f>VLOOKUP(E624,Customers!$A$2:$I$1001,6,0)</f>
        <v>Las Vegas</v>
      </c>
      <c r="J624" s="25" t="str">
        <f>VLOOKUP(E624,Customers!$A$2:$I$1001,7,0)</f>
        <v>United States</v>
      </c>
      <c r="K624" s="23" t="str">
        <f>VLOOKUP(E624,Customers!$A$2:$I$1001,9,0)</f>
        <v>No</v>
      </c>
      <c r="L624" s="4" t="s">
        <v>197</v>
      </c>
      <c r="M624" s="4" t="str">
        <f>VLOOKUP(L624,Products!$A$2:$G$49,2,0)</f>
        <v>Liberica</v>
      </c>
      <c r="N624" s="4" t="str">
        <f>VLOOKUP(L624,Products!$A$2:$G$49,3,0)</f>
        <v>Medium</v>
      </c>
      <c r="O624" s="25">
        <v>4</v>
      </c>
      <c r="P624" s="5">
        <f>INDEX([1]products!$A$1:$G$49,MATCH([1]orders!$D624,[1]products!$A$1:$A$49,0),MATCH([1]orders!K$1,[1]products!$A$1:$G$1,0))</f>
        <v>2.5</v>
      </c>
      <c r="Q624" s="6">
        <f>INDEX([1]products!$A$1:$G$49,MATCH([1]orders!$D624,[1]products!$A$1:$A$49,0),MATCH([1]orders!L$1,[1]products!$A$1:$G$1,0))</f>
        <v>33.464999999999996</v>
      </c>
      <c r="R624" s="6">
        <f t="shared" si="45"/>
        <v>133.85999999999999</v>
      </c>
      <c r="S624">
        <f>VLOOKUP(L624,Products!$A$2:$G$49,7,0)</f>
        <v>4.3504499999999995</v>
      </c>
      <c r="T624">
        <f t="shared" si="48"/>
        <v>17.401799999999998</v>
      </c>
      <c r="U624" s="33">
        <f t="shared" si="49"/>
        <v>13</v>
      </c>
    </row>
    <row r="625" spans="1:21" x14ac:dyDescent="0.25">
      <c r="A625" s="1" t="s">
        <v>1217</v>
      </c>
      <c r="B625" s="28">
        <v>44224</v>
      </c>
      <c r="C625" s="21" t="str">
        <f t="shared" si="46"/>
        <v>2021</v>
      </c>
      <c r="D625" s="19" t="str">
        <f t="shared" si="47"/>
        <v>January</v>
      </c>
      <c r="E625" s="3" t="s">
        <v>1218</v>
      </c>
      <c r="F625" s="3" t="str">
        <f>VLOOKUP(E625,Customers!$A$2:$I$1001,2,0)</f>
        <v>Nelie Garnson</v>
      </c>
      <c r="G625" s="3" t="str">
        <f>VLOOKUP(E625,Customers!$A$2:$I$1001,3,0)</f>
        <v>UNKNOWN</v>
      </c>
      <c r="H625" s="3" t="str">
        <f>VLOOKUP(E625,Customers!$A$2:$I$1001,4,0)</f>
        <v>+44 (141) 640-7113</v>
      </c>
      <c r="I625" s="25" t="str">
        <f>VLOOKUP(E625,Customers!$A$2:$I$1001,6,0)</f>
        <v>Merton</v>
      </c>
      <c r="J625" s="25" t="str">
        <f>VLOOKUP(E625,Customers!$A$2:$I$1001,7,0)</f>
        <v>United Kingdom</v>
      </c>
      <c r="K625" s="23" t="str">
        <f>VLOOKUP(E625,Customers!$A$2:$I$1001,9,0)</f>
        <v>No</v>
      </c>
      <c r="L625" s="4" t="s">
        <v>245</v>
      </c>
      <c r="M625" s="4" t="str">
        <f>VLOOKUP(L625,Products!$A$2:$G$49,2,0)</f>
        <v>Excelsa</v>
      </c>
      <c r="N625" s="4" t="str">
        <f>VLOOKUP(L625,Products!$A$2:$G$49,3,0)</f>
        <v>Dark</v>
      </c>
      <c r="O625" s="25">
        <v>1</v>
      </c>
      <c r="P625" s="5">
        <f>INDEX([1]products!$A$1:$G$49,MATCH([1]orders!$D625,[1]products!$A$1:$A$49,0),MATCH([1]orders!K$1,[1]products!$A$1:$G$1,0))</f>
        <v>1</v>
      </c>
      <c r="Q625" s="6">
        <f>INDEX([1]products!$A$1:$G$49,MATCH([1]orders!$D625,[1]products!$A$1:$A$49,0),MATCH([1]orders!L$1,[1]products!$A$1:$G$1,0))</f>
        <v>12.15</v>
      </c>
      <c r="R625" s="6">
        <f t="shared" si="45"/>
        <v>12.15</v>
      </c>
      <c r="S625">
        <f>VLOOKUP(L625,Products!$A$2:$G$49,7,0)</f>
        <v>1.3365</v>
      </c>
      <c r="T625">
        <f t="shared" si="48"/>
        <v>1.3365</v>
      </c>
      <c r="U625" s="33">
        <f t="shared" si="49"/>
        <v>11</v>
      </c>
    </row>
    <row r="626" spans="1:21" x14ac:dyDescent="0.25">
      <c r="A626" s="1" t="s">
        <v>1219</v>
      </c>
      <c r="B626" s="28">
        <v>44010</v>
      </c>
      <c r="C626" s="21" t="str">
        <f t="shared" si="46"/>
        <v>2020</v>
      </c>
      <c r="D626" s="19" t="str">
        <f t="shared" si="47"/>
        <v>June</v>
      </c>
      <c r="E626" s="3" t="s">
        <v>1220</v>
      </c>
      <c r="F626" s="3" t="str">
        <f>VLOOKUP(E626,Customers!$A$2:$I$1001,2,0)</f>
        <v>Dianne Chardin</v>
      </c>
      <c r="G626" s="3" t="str">
        <f>VLOOKUP(E626,Customers!$A$2:$I$1001,3,0)</f>
        <v>dchardinhc@nhs.uk</v>
      </c>
      <c r="H626" s="3" t="str">
        <f>VLOOKUP(E626,Customers!$A$2:$I$1001,4,0)</f>
        <v>UNKNOWN</v>
      </c>
      <c r="I626" s="25" t="str">
        <f>VLOOKUP(E626,Customers!$A$2:$I$1001,6,0)</f>
        <v>Ballybofey</v>
      </c>
      <c r="J626" s="25" t="str">
        <f>VLOOKUP(E626,Customers!$A$2:$I$1001,7,0)</f>
        <v>Ireland</v>
      </c>
      <c r="K626" s="23" t="str">
        <f>VLOOKUP(E626,Customers!$A$2:$I$1001,9,0)</f>
        <v>Yes</v>
      </c>
      <c r="L626" s="4" t="s">
        <v>112</v>
      </c>
      <c r="M626" s="4" t="str">
        <f>VLOOKUP(L626,Products!$A$2:$G$49,2,0)</f>
        <v>Excelsa</v>
      </c>
      <c r="N626" s="4" t="str">
        <f>VLOOKUP(L626,Products!$A$2:$G$49,3,0)</f>
        <v>Medium</v>
      </c>
      <c r="O626" s="25">
        <v>2</v>
      </c>
      <c r="P626" s="5">
        <f>INDEX([1]products!$A$1:$G$49,MATCH([1]orders!$D626,[1]products!$A$1:$A$49,0),MATCH([1]orders!K$1,[1]products!$A$1:$G$1,0))</f>
        <v>2.5</v>
      </c>
      <c r="Q626" s="6">
        <f>INDEX([1]products!$A$1:$G$49,MATCH([1]orders!$D626,[1]products!$A$1:$A$49,0),MATCH([1]orders!L$1,[1]products!$A$1:$G$1,0))</f>
        <v>31.624999999999996</v>
      </c>
      <c r="R626" s="6">
        <f t="shared" si="45"/>
        <v>63.249999999999993</v>
      </c>
      <c r="S626">
        <f>VLOOKUP(L626,Products!$A$2:$G$49,7,0)</f>
        <v>3.4787499999999998</v>
      </c>
      <c r="T626">
        <f t="shared" si="48"/>
        <v>6.9574999999999996</v>
      </c>
      <c r="U626" s="33">
        <f t="shared" si="49"/>
        <v>11</v>
      </c>
    </row>
    <row r="627" spans="1:21" x14ac:dyDescent="0.25">
      <c r="A627" s="1" t="s">
        <v>1221</v>
      </c>
      <c r="B627" s="28">
        <v>44017</v>
      </c>
      <c r="C627" s="21" t="str">
        <f t="shared" si="46"/>
        <v>2020</v>
      </c>
      <c r="D627" s="19" t="str">
        <f t="shared" si="47"/>
        <v>July</v>
      </c>
      <c r="E627" s="3" t="s">
        <v>1222</v>
      </c>
      <c r="F627" s="3" t="str">
        <f>VLOOKUP(E627,Customers!$A$2:$I$1001,2,0)</f>
        <v>Hailee Radbone</v>
      </c>
      <c r="G627" s="3" t="str">
        <f>VLOOKUP(E627,Customers!$A$2:$I$1001,3,0)</f>
        <v>hradbonehd@newsvine.com</v>
      </c>
      <c r="H627" s="3" t="str">
        <f>VLOOKUP(E627,Customers!$A$2:$I$1001,4,0)</f>
        <v>+1 (415) 968-9559</v>
      </c>
      <c r="I627" s="25" t="str">
        <f>VLOOKUP(E627,Customers!$A$2:$I$1001,6,0)</f>
        <v>San Francisco</v>
      </c>
      <c r="J627" s="25" t="str">
        <f>VLOOKUP(E627,Customers!$A$2:$I$1001,7,0)</f>
        <v>United States</v>
      </c>
      <c r="K627" s="23" t="str">
        <f>VLOOKUP(E627,Customers!$A$2:$I$1001,9,0)</f>
        <v>No</v>
      </c>
      <c r="L627" s="4" t="s">
        <v>157</v>
      </c>
      <c r="M627" s="4" t="str">
        <f>VLOOKUP(L627,Products!$A$2:$G$49,2,0)</f>
        <v>Robusta</v>
      </c>
      <c r="N627" s="4" t="str">
        <f>VLOOKUP(L627,Products!$A$2:$G$49,3,0)</f>
        <v>Light</v>
      </c>
      <c r="O627" s="25">
        <v>5</v>
      </c>
      <c r="P627" s="5">
        <f>INDEX([1]products!$A$1:$G$49,MATCH([1]orders!$D627,[1]products!$A$1:$A$49,0),MATCH([1]orders!K$1,[1]products!$A$1:$G$1,0))</f>
        <v>0.5</v>
      </c>
      <c r="Q627" s="6">
        <f>INDEX([1]products!$A$1:$G$49,MATCH([1]orders!$D627,[1]products!$A$1:$A$49,0),MATCH([1]orders!L$1,[1]products!$A$1:$G$1,0))</f>
        <v>7.169999999999999</v>
      </c>
      <c r="R627" s="6">
        <f t="shared" si="45"/>
        <v>35.849999999999994</v>
      </c>
      <c r="S627">
        <f>VLOOKUP(L627,Products!$A$2:$G$49,7,0)</f>
        <v>0.43019999999999992</v>
      </c>
      <c r="T627">
        <f t="shared" si="48"/>
        <v>2.1509999999999998</v>
      </c>
      <c r="U627" s="33">
        <f t="shared" si="49"/>
        <v>6.0000000000000009</v>
      </c>
    </row>
    <row r="628" spans="1:21" x14ac:dyDescent="0.25">
      <c r="A628" s="1" t="s">
        <v>1223</v>
      </c>
      <c r="B628" s="28">
        <v>43526</v>
      </c>
      <c r="C628" s="21" t="str">
        <f t="shared" si="46"/>
        <v>2019</v>
      </c>
      <c r="D628" s="19" t="str">
        <f t="shared" si="47"/>
        <v>March</v>
      </c>
      <c r="E628" s="3" t="s">
        <v>1224</v>
      </c>
      <c r="F628" s="3" t="str">
        <f>VLOOKUP(E628,Customers!$A$2:$I$1001,2,0)</f>
        <v>Wallis Bernth</v>
      </c>
      <c r="G628" s="3" t="str">
        <f>VLOOKUP(E628,Customers!$A$2:$I$1001,3,0)</f>
        <v>wbernthhe@miitbeian.gov.cn</v>
      </c>
      <c r="H628" s="3" t="str">
        <f>VLOOKUP(E628,Customers!$A$2:$I$1001,4,0)</f>
        <v>+1 (412) 597-3861</v>
      </c>
      <c r="I628" s="25" t="str">
        <f>VLOOKUP(E628,Customers!$A$2:$I$1001,6,0)</f>
        <v>Pittsburgh</v>
      </c>
      <c r="J628" s="25" t="str">
        <f>VLOOKUP(E628,Customers!$A$2:$I$1001,7,0)</f>
        <v>United States</v>
      </c>
      <c r="K628" s="23" t="str">
        <f>VLOOKUP(E628,Customers!$A$2:$I$1001,9,0)</f>
        <v>No</v>
      </c>
      <c r="L628" s="4" t="s">
        <v>171</v>
      </c>
      <c r="M628" s="4" t="str">
        <f>VLOOKUP(L628,Products!$A$2:$G$49,2,0)</f>
        <v>Arabica</v>
      </c>
      <c r="N628" s="4" t="str">
        <f>VLOOKUP(L628,Products!$A$2:$G$49,3,0)</f>
        <v>Medium</v>
      </c>
      <c r="O628" s="25">
        <v>3</v>
      </c>
      <c r="P628" s="5">
        <f>INDEX([1]products!$A$1:$G$49,MATCH([1]orders!$D628,[1]products!$A$1:$A$49,0),MATCH([1]orders!K$1,[1]products!$A$1:$G$1,0))</f>
        <v>2.5</v>
      </c>
      <c r="Q628" s="6">
        <f>INDEX([1]products!$A$1:$G$49,MATCH([1]orders!$D628,[1]products!$A$1:$A$49,0),MATCH([1]orders!L$1,[1]products!$A$1:$G$1,0))</f>
        <v>25.874999999999996</v>
      </c>
      <c r="R628" s="6">
        <f t="shared" si="45"/>
        <v>77.624999999999986</v>
      </c>
      <c r="S628">
        <f>VLOOKUP(L628,Products!$A$2:$G$49,7,0)</f>
        <v>2.3287499999999994</v>
      </c>
      <c r="T628">
        <f t="shared" si="48"/>
        <v>6.9862499999999983</v>
      </c>
      <c r="U628" s="33">
        <f t="shared" si="49"/>
        <v>9</v>
      </c>
    </row>
    <row r="629" spans="1:21" x14ac:dyDescent="0.25">
      <c r="A629" s="1" t="s">
        <v>1225</v>
      </c>
      <c r="B629" s="28">
        <v>44682</v>
      </c>
      <c r="C629" s="21" t="str">
        <f t="shared" si="46"/>
        <v>2022</v>
      </c>
      <c r="D629" s="19" t="str">
        <f t="shared" si="47"/>
        <v>May</v>
      </c>
      <c r="E629" s="3" t="s">
        <v>1226</v>
      </c>
      <c r="F629" s="3" t="str">
        <f>VLOOKUP(E629,Customers!$A$2:$I$1001,2,0)</f>
        <v>Byron Acarson</v>
      </c>
      <c r="G629" s="3" t="str">
        <f>VLOOKUP(E629,Customers!$A$2:$I$1001,3,0)</f>
        <v>bacarsonhf@cnn.com</v>
      </c>
      <c r="H629" s="3" t="str">
        <f>VLOOKUP(E629,Customers!$A$2:$I$1001,4,0)</f>
        <v>+1 (713) 418-6385</v>
      </c>
      <c r="I629" s="25" t="str">
        <f>VLOOKUP(E629,Customers!$A$2:$I$1001,6,0)</f>
        <v>Houston</v>
      </c>
      <c r="J629" s="25" t="str">
        <f>VLOOKUP(E629,Customers!$A$2:$I$1001,7,0)</f>
        <v>United States</v>
      </c>
      <c r="K629" s="23" t="str">
        <f>VLOOKUP(E629,Customers!$A$2:$I$1001,9,0)</f>
        <v>Yes</v>
      </c>
      <c r="L629" s="4" t="s">
        <v>112</v>
      </c>
      <c r="M629" s="4" t="str">
        <f>VLOOKUP(L629,Products!$A$2:$G$49,2,0)</f>
        <v>Excelsa</v>
      </c>
      <c r="N629" s="4" t="str">
        <f>VLOOKUP(L629,Products!$A$2:$G$49,3,0)</f>
        <v>Medium</v>
      </c>
      <c r="O629" s="25">
        <v>2</v>
      </c>
      <c r="P629" s="5">
        <f>INDEX([1]products!$A$1:$G$49,MATCH([1]orders!$D629,[1]products!$A$1:$A$49,0),MATCH([1]orders!K$1,[1]products!$A$1:$G$1,0))</f>
        <v>2.5</v>
      </c>
      <c r="Q629" s="6">
        <f>INDEX([1]products!$A$1:$G$49,MATCH([1]orders!$D629,[1]products!$A$1:$A$49,0),MATCH([1]orders!L$1,[1]products!$A$1:$G$1,0))</f>
        <v>31.624999999999996</v>
      </c>
      <c r="R629" s="6">
        <f t="shared" si="45"/>
        <v>63.249999999999993</v>
      </c>
      <c r="S629">
        <f>VLOOKUP(L629,Products!$A$2:$G$49,7,0)</f>
        <v>3.4787499999999998</v>
      </c>
      <c r="T629">
        <f t="shared" si="48"/>
        <v>6.9574999999999996</v>
      </c>
      <c r="U629" s="33">
        <f t="shared" si="49"/>
        <v>11</v>
      </c>
    </row>
    <row r="630" spans="1:21" x14ac:dyDescent="0.25">
      <c r="A630" s="1" t="s">
        <v>1227</v>
      </c>
      <c r="B630" s="28">
        <v>44680</v>
      </c>
      <c r="C630" s="21" t="str">
        <f t="shared" si="46"/>
        <v>2022</v>
      </c>
      <c r="D630" s="19" t="str">
        <f t="shared" si="47"/>
        <v>April</v>
      </c>
      <c r="E630" s="3" t="s">
        <v>1228</v>
      </c>
      <c r="F630" s="3" t="str">
        <f>VLOOKUP(E630,Customers!$A$2:$I$1001,2,0)</f>
        <v>Faunie Brigham</v>
      </c>
      <c r="G630" s="3" t="str">
        <f>VLOOKUP(E630,Customers!$A$2:$I$1001,3,0)</f>
        <v>fbrighamhg@blog.com</v>
      </c>
      <c r="H630" s="3" t="str">
        <f>VLOOKUP(E630,Customers!$A$2:$I$1001,4,0)</f>
        <v>+353 (620) 657-2946</v>
      </c>
      <c r="I630" s="25" t="str">
        <f>VLOOKUP(E630,Customers!$A$2:$I$1001,6,0)</f>
        <v>Castlerea</v>
      </c>
      <c r="J630" s="25" t="str">
        <f>VLOOKUP(E630,Customers!$A$2:$I$1001,7,0)</f>
        <v>Ireland</v>
      </c>
      <c r="K630" s="23" t="str">
        <f>VLOOKUP(E630,Customers!$A$2:$I$1001,9,0)</f>
        <v>Yes</v>
      </c>
      <c r="L630" s="4" t="s">
        <v>254</v>
      </c>
      <c r="M630" s="4" t="str">
        <f>VLOOKUP(L630,Products!$A$2:$G$49,2,0)</f>
        <v>Excelsa</v>
      </c>
      <c r="N630" s="4" t="str">
        <f>VLOOKUP(L630,Products!$A$2:$G$49,3,0)</f>
        <v>Light</v>
      </c>
      <c r="O630" s="25">
        <v>6</v>
      </c>
      <c r="P630" s="5">
        <f>INDEX([1]products!$A$1:$G$49,MATCH([1]orders!$D630,[1]products!$A$1:$A$49,0),MATCH([1]orders!K$1,[1]products!$A$1:$G$1,0))</f>
        <v>0.2</v>
      </c>
      <c r="Q630" s="6">
        <f>INDEX([1]products!$A$1:$G$49,MATCH([1]orders!$D630,[1]products!$A$1:$A$49,0),MATCH([1]orders!L$1,[1]products!$A$1:$G$1,0))</f>
        <v>4.4550000000000001</v>
      </c>
      <c r="R630" s="6">
        <f t="shared" si="45"/>
        <v>26.73</v>
      </c>
      <c r="S630">
        <f>VLOOKUP(L630,Products!$A$2:$G$49,7,0)</f>
        <v>0.49004999999999999</v>
      </c>
      <c r="T630">
        <f t="shared" si="48"/>
        <v>2.9402999999999997</v>
      </c>
      <c r="U630" s="33">
        <f t="shared" si="49"/>
        <v>10.999999999999998</v>
      </c>
    </row>
    <row r="631" spans="1:21" x14ac:dyDescent="0.25">
      <c r="A631" s="1" t="s">
        <v>1227</v>
      </c>
      <c r="B631" s="28">
        <v>44680</v>
      </c>
      <c r="C631" s="21" t="str">
        <f t="shared" si="46"/>
        <v>2022</v>
      </c>
      <c r="D631" s="19" t="str">
        <f t="shared" si="47"/>
        <v>April</v>
      </c>
      <c r="E631" s="3" t="s">
        <v>1228</v>
      </c>
      <c r="F631" s="3" t="str">
        <f>VLOOKUP(E631,Customers!$A$2:$I$1001,2,0)</f>
        <v>Faunie Brigham</v>
      </c>
      <c r="G631" s="3" t="str">
        <f>VLOOKUP(E631,Customers!$A$2:$I$1001,3,0)</f>
        <v>fbrighamhg@blog.com</v>
      </c>
      <c r="H631" s="3" t="str">
        <f>VLOOKUP(E631,Customers!$A$2:$I$1001,4,0)</f>
        <v>+353 (620) 657-2946</v>
      </c>
      <c r="I631" s="25" t="str">
        <f>VLOOKUP(E631,Customers!$A$2:$I$1001,6,0)</f>
        <v>Castlerea</v>
      </c>
      <c r="J631" s="25" t="str">
        <f>VLOOKUP(E631,Customers!$A$2:$I$1001,7,0)</f>
        <v>Ireland</v>
      </c>
      <c r="K631" s="23" t="str">
        <f>VLOOKUP(E631,Customers!$A$2:$I$1001,9,0)</f>
        <v>Yes</v>
      </c>
      <c r="L631" s="4" t="s">
        <v>123</v>
      </c>
      <c r="M631" s="4" t="str">
        <f>VLOOKUP(L631,Products!$A$2:$G$49,2,0)</f>
        <v>Liberica</v>
      </c>
      <c r="N631" s="4" t="str">
        <f>VLOOKUP(L631,Products!$A$2:$G$49,3,0)</f>
        <v>Dark</v>
      </c>
      <c r="O631" s="25">
        <v>4</v>
      </c>
      <c r="P631" s="5">
        <f>INDEX([1]products!$A$1:$G$49,MATCH([1]orders!$D631,[1]products!$A$1:$A$49,0),MATCH([1]orders!K$1,[1]products!$A$1:$G$1,0))</f>
        <v>0.5</v>
      </c>
      <c r="Q631" s="6">
        <f>INDEX([1]products!$A$1:$G$49,MATCH([1]orders!$D631,[1]products!$A$1:$A$49,0),MATCH([1]orders!L$1,[1]products!$A$1:$G$1,0))</f>
        <v>7.77</v>
      </c>
      <c r="R631" s="6">
        <f t="shared" si="45"/>
        <v>31.08</v>
      </c>
      <c r="S631">
        <f>VLOOKUP(L631,Products!$A$2:$G$49,7,0)</f>
        <v>1.0101</v>
      </c>
      <c r="T631">
        <f t="shared" si="48"/>
        <v>4.0404</v>
      </c>
      <c r="U631" s="33">
        <f t="shared" si="49"/>
        <v>13</v>
      </c>
    </row>
    <row r="632" spans="1:21" x14ac:dyDescent="0.25">
      <c r="A632" s="1" t="s">
        <v>1227</v>
      </c>
      <c r="B632" s="28">
        <v>44680</v>
      </c>
      <c r="C632" s="21" t="str">
        <f t="shared" si="46"/>
        <v>2022</v>
      </c>
      <c r="D632" s="19" t="str">
        <f t="shared" si="47"/>
        <v>April</v>
      </c>
      <c r="E632" s="3" t="s">
        <v>1228</v>
      </c>
      <c r="F632" s="3" t="str">
        <f>VLOOKUP(E632,Customers!$A$2:$I$1001,2,0)</f>
        <v>Faunie Brigham</v>
      </c>
      <c r="G632" s="3" t="str">
        <f>VLOOKUP(E632,Customers!$A$2:$I$1001,3,0)</f>
        <v>fbrighamhg@blog.com</v>
      </c>
      <c r="H632" s="3" t="str">
        <f>VLOOKUP(E632,Customers!$A$2:$I$1001,4,0)</f>
        <v>+353 (620) 657-2946</v>
      </c>
      <c r="I632" s="25" t="str">
        <f>VLOOKUP(E632,Customers!$A$2:$I$1001,6,0)</f>
        <v>Castlerea</v>
      </c>
      <c r="J632" s="25" t="str">
        <f>VLOOKUP(E632,Customers!$A$2:$I$1001,7,0)</f>
        <v>Ireland</v>
      </c>
      <c r="K632" s="23" t="str">
        <f>VLOOKUP(E632,Customers!$A$2:$I$1001,9,0)</f>
        <v>Yes</v>
      </c>
      <c r="L632" s="4" t="s">
        <v>54</v>
      </c>
      <c r="M632" s="4" t="str">
        <f>VLOOKUP(L632,Products!$A$2:$G$49,2,0)</f>
        <v>Arabica</v>
      </c>
      <c r="N632" s="4" t="str">
        <f>VLOOKUP(L632,Products!$A$2:$G$49,3,0)</f>
        <v>Dark</v>
      </c>
      <c r="O632" s="25">
        <v>1</v>
      </c>
      <c r="P632" s="5">
        <f>INDEX([1]products!$A$1:$G$49,MATCH([1]orders!$D632,[1]products!$A$1:$A$49,0),MATCH([1]orders!K$1,[1]products!$A$1:$G$1,0))</f>
        <v>0.2</v>
      </c>
      <c r="Q632" s="6">
        <f>INDEX([1]products!$A$1:$G$49,MATCH([1]orders!$D632,[1]products!$A$1:$A$49,0),MATCH([1]orders!L$1,[1]products!$A$1:$G$1,0))</f>
        <v>2.9849999999999999</v>
      </c>
      <c r="R632" s="6">
        <f t="shared" si="45"/>
        <v>2.9849999999999999</v>
      </c>
      <c r="S632">
        <f>VLOOKUP(L632,Products!$A$2:$G$49,7,0)</f>
        <v>0.26865</v>
      </c>
      <c r="T632">
        <f t="shared" si="48"/>
        <v>0.26865</v>
      </c>
      <c r="U632" s="33">
        <f t="shared" si="49"/>
        <v>9.0000000000000018</v>
      </c>
    </row>
    <row r="633" spans="1:21" x14ac:dyDescent="0.25">
      <c r="A633" s="1" t="s">
        <v>1227</v>
      </c>
      <c r="B633" s="28">
        <v>44680</v>
      </c>
      <c r="C633" s="21" t="str">
        <f t="shared" si="46"/>
        <v>2022</v>
      </c>
      <c r="D633" s="19" t="str">
        <f t="shared" si="47"/>
        <v>April</v>
      </c>
      <c r="E633" s="3" t="s">
        <v>1228</v>
      </c>
      <c r="F633" s="3" t="str">
        <f>VLOOKUP(E633,Customers!$A$2:$I$1001,2,0)</f>
        <v>Faunie Brigham</v>
      </c>
      <c r="G633" s="3" t="str">
        <f>VLOOKUP(E633,Customers!$A$2:$I$1001,3,0)</f>
        <v>fbrighamhg@blog.com</v>
      </c>
      <c r="H633" s="3" t="str">
        <f>VLOOKUP(E633,Customers!$A$2:$I$1001,4,0)</f>
        <v>+353 (620) 657-2946</v>
      </c>
      <c r="I633" s="25" t="str">
        <f>VLOOKUP(E633,Customers!$A$2:$I$1001,6,0)</f>
        <v>Castlerea</v>
      </c>
      <c r="J633" s="25" t="str">
        <f>VLOOKUP(E633,Customers!$A$2:$I$1001,7,0)</f>
        <v>Ireland</v>
      </c>
      <c r="K633" s="23" t="str">
        <f>VLOOKUP(E633,Customers!$A$2:$I$1001,9,0)</f>
        <v>Yes</v>
      </c>
      <c r="L633" s="4" t="s">
        <v>35</v>
      </c>
      <c r="M633" s="4" t="str">
        <f>VLOOKUP(L633,Products!$A$2:$G$49,2,0)</f>
        <v>Robusta</v>
      </c>
      <c r="N633" s="4" t="str">
        <f>VLOOKUP(L633,Products!$A$2:$G$49,3,0)</f>
        <v>Dark</v>
      </c>
      <c r="O633" s="25">
        <v>5</v>
      </c>
      <c r="P633" s="5">
        <f>INDEX([1]products!$A$1:$G$49,MATCH([1]orders!$D633,[1]products!$A$1:$A$49,0),MATCH([1]orders!K$1,[1]products!$A$1:$G$1,0))</f>
        <v>2.5</v>
      </c>
      <c r="Q633" s="6">
        <f>INDEX([1]products!$A$1:$G$49,MATCH([1]orders!$D633,[1]products!$A$1:$A$49,0),MATCH([1]orders!L$1,[1]products!$A$1:$G$1,0))</f>
        <v>20.584999999999997</v>
      </c>
      <c r="R633" s="6">
        <f t="shared" si="45"/>
        <v>102.92499999999998</v>
      </c>
      <c r="S633">
        <f>VLOOKUP(L633,Products!$A$2:$G$49,7,0)</f>
        <v>1.2350999999999999</v>
      </c>
      <c r="T633">
        <f t="shared" si="48"/>
        <v>6.1754999999999995</v>
      </c>
      <c r="U633" s="33">
        <f t="shared" si="49"/>
        <v>6.0000000000000009</v>
      </c>
    </row>
    <row r="634" spans="1:21" x14ac:dyDescent="0.25">
      <c r="A634" s="1" t="s">
        <v>1229</v>
      </c>
      <c r="B634" s="28">
        <v>44049</v>
      </c>
      <c r="C634" s="21" t="str">
        <f t="shared" si="46"/>
        <v>2020</v>
      </c>
      <c r="D634" s="19" t="str">
        <f t="shared" si="47"/>
        <v>August</v>
      </c>
      <c r="E634" s="3" t="s">
        <v>1230</v>
      </c>
      <c r="F634" s="3" t="str">
        <f>VLOOKUP(E634,Customers!$A$2:$I$1001,2,0)</f>
        <v>Marjorie Yoxen</v>
      </c>
      <c r="G634" s="3" t="str">
        <f>VLOOKUP(E634,Customers!$A$2:$I$1001,3,0)</f>
        <v>myoxenhk@google.com</v>
      </c>
      <c r="H634" s="3" t="str">
        <f>VLOOKUP(E634,Customers!$A$2:$I$1001,4,0)</f>
        <v>+1 (213) 241-8051</v>
      </c>
      <c r="I634" s="25" t="str">
        <f>VLOOKUP(E634,Customers!$A$2:$I$1001,6,0)</f>
        <v>Los Angeles</v>
      </c>
      <c r="J634" s="25" t="str">
        <f>VLOOKUP(E634,Customers!$A$2:$I$1001,7,0)</f>
        <v>United States</v>
      </c>
      <c r="K634" s="23" t="str">
        <f>VLOOKUP(E634,Customers!$A$2:$I$1001,9,0)</f>
        <v>No</v>
      </c>
      <c r="L634" s="4" t="s">
        <v>176</v>
      </c>
      <c r="M634" s="4" t="str">
        <f>VLOOKUP(L634,Products!$A$2:$G$49,2,0)</f>
        <v>Excelsa</v>
      </c>
      <c r="N634" s="4" t="str">
        <f>VLOOKUP(L634,Products!$A$2:$G$49,3,0)</f>
        <v>Light</v>
      </c>
      <c r="O634" s="25">
        <v>4</v>
      </c>
      <c r="P634" s="5">
        <f>INDEX([1]products!$A$1:$G$49,MATCH([1]orders!$D634,[1]products!$A$1:$A$49,0),MATCH([1]orders!K$1,[1]products!$A$1:$G$1,0))</f>
        <v>0.5</v>
      </c>
      <c r="Q634" s="6">
        <f>INDEX([1]products!$A$1:$G$49,MATCH([1]orders!$D634,[1]products!$A$1:$A$49,0),MATCH([1]orders!L$1,[1]products!$A$1:$G$1,0))</f>
        <v>8.91</v>
      </c>
      <c r="R634" s="6">
        <f t="shared" si="45"/>
        <v>35.64</v>
      </c>
      <c r="S634">
        <f>VLOOKUP(L634,Products!$A$2:$G$49,7,0)</f>
        <v>0.98009999999999997</v>
      </c>
      <c r="T634">
        <f t="shared" si="48"/>
        <v>3.9203999999999999</v>
      </c>
      <c r="U634" s="33">
        <f t="shared" si="49"/>
        <v>11</v>
      </c>
    </row>
    <row r="635" spans="1:21" x14ac:dyDescent="0.25">
      <c r="A635" s="1" t="s">
        <v>1231</v>
      </c>
      <c r="B635" s="28">
        <v>43820</v>
      </c>
      <c r="C635" s="21" t="str">
        <f t="shared" si="46"/>
        <v>2019</v>
      </c>
      <c r="D635" s="19" t="str">
        <f t="shared" si="47"/>
        <v>December</v>
      </c>
      <c r="E635" s="3" t="s">
        <v>1232</v>
      </c>
      <c r="F635" s="3" t="str">
        <f>VLOOKUP(E635,Customers!$A$2:$I$1001,2,0)</f>
        <v>Gaspar McGavin</v>
      </c>
      <c r="G635" s="3" t="str">
        <f>VLOOKUP(E635,Customers!$A$2:$I$1001,3,0)</f>
        <v>gmcgavinhl@histats.com</v>
      </c>
      <c r="H635" s="3" t="str">
        <f>VLOOKUP(E635,Customers!$A$2:$I$1001,4,0)</f>
        <v>+1 (570) 745-7589</v>
      </c>
      <c r="I635" s="25" t="str">
        <f>VLOOKUP(E635,Customers!$A$2:$I$1001,6,0)</f>
        <v>Wilkes Barre</v>
      </c>
      <c r="J635" s="25" t="str">
        <f>VLOOKUP(E635,Customers!$A$2:$I$1001,7,0)</f>
        <v>United States</v>
      </c>
      <c r="K635" s="23" t="str">
        <f>VLOOKUP(E635,Customers!$A$2:$I$1001,9,0)</f>
        <v>No</v>
      </c>
      <c r="L635" s="4" t="s">
        <v>189</v>
      </c>
      <c r="M635" s="4" t="str">
        <f>VLOOKUP(L635,Products!$A$2:$G$49,2,0)</f>
        <v>Robusta</v>
      </c>
      <c r="N635" s="4" t="str">
        <f>VLOOKUP(L635,Products!$A$2:$G$49,3,0)</f>
        <v>Light</v>
      </c>
      <c r="O635" s="25">
        <v>4</v>
      </c>
      <c r="P635" s="5">
        <f>INDEX([1]products!$A$1:$G$49,MATCH([1]orders!$D635,[1]products!$A$1:$A$49,0),MATCH([1]orders!K$1,[1]products!$A$1:$G$1,0))</f>
        <v>1</v>
      </c>
      <c r="Q635" s="6">
        <f>INDEX([1]products!$A$1:$G$49,MATCH([1]orders!$D635,[1]products!$A$1:$A$49,0),MATCH([1]orders!L$1,[1]products!$A$1:$G$1,0))</f>
        <v>11.95</v>
      </c>
      <c r="R635" s="6">
        <f t="shared" si="45"/>
        <v>47.8</v>
      </c>
      <c r="S635">
        <f>VLOOKUP(L635,Products!$A$2:$G$49,7,0)</f>
        <v>0.71699999999999997</v>
      </c>
      <c r="T635">
        <f t="shared" si="48"/>
        <v>2.8679999999999999</v>
      </c>
      <c r="U635" s="33">
        <f t="shared" si="49"/>
        <v>6</v>
      </c>
    </row>
    <row r="636" spans="1:21" x14ac:dyDescent="0.25">
      <c r="A636" s="1" t="s">
        <v>1233</v>
      </c>
      <c r="B636" s="28">
        <v>43940</v>
      </c>
      <c r="C636" s="21" t="str">
        <f t="shared" si="46"/>
        <v>2020</v>
      </c>
      <c r="D636" s="19" t="str">
        <f t="shared" si="47"/>
        <v>April</v>
      </c>
      <c r="E636" s="3" t="s">
        <v>1234</v>
      </c>
      <c r="F636" s="3" t="str">
        <f>VLOOKUP(E636,Customers!$A$2:$I$1001,2,0)</f>
        <v>Lindy Uttermare</v>
      </c>
      <c r="G636" s="3" t="str">
        <f>VLOOKUP(E636,Customers!$A$2:$I$1001,3,0)</f>
        <v>luttermarehm@engadget.com</v>
      </c>
      <c r="H636" s="3" t="str">
        <f>VLOOKUP(E636,Customers!$A$2:$I$1001,4,0)</f>
        <v>+1 (817) 793-6871</v>
      </c>
      <c r="I636" s="25" t="str">
        <f>VLOOKUP(E636,Customers!$A$2:$I$1001,6,0)</f>
        <v>Denton</v>
      </c>
      <c r="J636" s="25" t="str">
        <f>VLOOKUP(E636,Customers!$A$2:$I$1001,7,0)</f>
        <v>United States</v>
      </c>
      <c r="K636" s="23" t="str">
        <f>VLOOKUP(E636,Customers!$A$2:$I$1001,9,0)</f>
        <v>No</v>
      </c>
      <c r="L636" s="4" t="s">
        <v>96</v>
      </c>
      <c r="M636" s="4" t="str">
        <f>VLOOKUP(L636,Products!$A$2:$G$49,2,0)</f>
        <v>Liberica</v>
      </c>
      <c r="N636" s="4" t="str">
        <f>VLOOKUP(L636,Products!$A$2:$G$49,3,0)</f>
        <v>Medium</v>
      </c>
      <c r="O636" s="25">
        <v>3</v>
      </c>
      <c r="P636" s="5">
        <f>INDEX([1]products!$A$1:$G$49,MATCH([1]orders!$D636,[1]products!$A$1:$A$49,0),MATCH([1]orders!K$1,[1]products!$A$1:$G$1,0))</f>
        <v>1</v>
      </c>
      <c r="Q636" s="6">
        <f>INDEX([1]products!$A$1:$G$49,MATCH([1]orders!$D636,[1]products!$A$1:$A$49,0),MATCH([1]orders!L$1,[1]products!$A$1:$G$1,0))</f>
        <v>14.55</v>
      </c>
      <c r="R636" s="6">
        <f t="shared" si="45"/>
        <v>43.650000000000006</v>
      </c>
      <c r="S636">
        <f>VLOOKUP(L636,Products!$A$2:$G$49,7,0)</f>
        <v>1.8915000000000002</v>
      </c>
      <c r="T636">
        <f t="shared" si="48"/>
        <v>5.6745000000000001</v>
      </c>
      <c r="U636" s="33">
        <f t="shared" si="49"/>
        <v>12.999999999999998</v>
      </c>
    </row>
    <row r="637" spans="1:21" x14ac:dyDescent="0.25">
      <c r="A637" s="1" t="s">
        <v>1235</v>
      </c>
      <c r="B637" s="28">
        <v>44578</v>
      </c>
      <c r="C637" s="21" t="str">
        <f t="shared" si="46"/>
        <v>2022</v>
      </c>
      <c r="D637" s="19" t="str">
        <f t="shared" si="47"/>
        <v>January</v>
      </c>
      <c r="E637" s="3" t="s">
        <v>1236</v>
      </c>
      <c r="F637" s="3" t="str">
        <f>VLOOKUP(E637,Customers!$A$2:$I$1001,2,0)</f>
        <v>Eal D'Ambrogio</v>
      </c>
      <c r="G637" s="3" t="str">
        <f>VLOOKUP(E637,Customers!$A$2:$I$1001,3,0)</f>
        <v>edambrogiohn@techcrunch.com</v>
      </c>
      <c r="H637" s="3" t="str">
        <f>VLOOKUP(E637,Customers!$A$2:$I$1001,4,0)</f>
        <v>+1 (816) 196-1729</v>
      </c>
      <c r="I637" s="25" t="str">
        <f>VLOOKUP(E637,Customers!$A$2:$I$1001,6,0)</f>
        <v>Lees Summit</v>
      </c>
      <c r="J637" s="25" t="str">
        <f>VLOOKUP(E637,Customers!$A$2:$I$1001,7,0)</f>
        <v>United States</v>
      </c>
      <c r="K637" s="23" t="str">
        <f>VLOOKUP(E637,Customers!$A$2:$I$1001,9,0)</f>
        <v>Yes</v>
      </c>
      <c r="L637" s="4" t="s">
        <v>176</v>
      </c>
      <c r="M637" s="4" t="str">
        <f>VLOOKUP(L637,Products!$A$2:$G$49,2,0)</f>
        <v>Excelsa</v>
      </c>
      <c r="N637" s="4" t="str">
        <f>VLOOKUP(L637,Products!$A$2:$G$49,3,0)</f>
        <v>Light</v>
      </c>
      <c r="O637" s="25">
        <v>4</v>
      </c>
      <c r="P637" s="5">
        <f>INDEX([1]products!$A$1:$G$49,MATCH([1]orders!$D637,[1]products!$A$1:$A$49,0),MATCH([1]orders!K$1,[1]products!$A$1:$G$1,0))</f>
        <v>0.5</v>
      </c>
      <c r="Q637" s="6">
        <f>INDEX([1]products!$A$1:$G$49,MATCH([1]orders!$D637,[1]products!$A$1:$A$49,0),MATCH([1]orders!L$1,[1]products!$A$1:$G$1,0))</f>
        <v>8.91</v>
      </c>
      <c r="R637" s="6">
        <f t="shared" si="45"/>
        <v>35.64</v>
      </c>
      <c r="S637">
        <f>VLOOKUP(L637,Products!$A$2:$G$49,7,0)</f>
        <v>0.98009999999999997</v>
      </c>
      <c r="T637">
        <f t="shared" si="48"/>
        <v>3.9203999999999999</v>
      </c>
      <c r="U637" s="33">
        <f t="shared" si="49"/>
        <v>11</v>
      </c>
    </row>
    <row r="638" spans="1:21" x14ac:dyDescent="0.25">
      <c r="A638" s="1" t="s">
        <v>1237</v>
      </c>
      <c r="B638" s="28">
        <v>43487</v>
      </c>
      <c r="C638" s="21" t="str">
        <f t="shared" si="46"/>
        <v>2019</v>
      </c>
      <c r="D638" s="19" t="str">
        <f t="shared" si="47"/>
        <v>January</v>
      </c>
      <c r="E638" s="3" t="s">
        <v>1238</v>
      </c>
      <c r="F638" s="3" t="str">
        <f>VLOOKUP(E638,Customers!$A$2:$I$1001,2,0)</f>
        <v>Carolee Winchcombe</v>
      </c>
      <c r="G638" s="3" t="str">
        <f>VLOOKUP(E638,Customers!$A$2:$I$1001,3,0)</f>
        <v>cwinchcombeho@jiathis.com</v>
      </c>
      <c r="H638" s="3" t="str">
        <f>VLOOKUP(E638,Customers!$A$2:$I$1001,4,0)</f>
        <v>+1 (501) 772-4397</v>
      </c>
      <c r="I638" s="25" t="str">
        <f>VLOOKUP(E638,Customers!$A$2:$I$1001,6,0)</f>
        <v>Little Rock</v>
      </c>
      <c r="J638" s="25" t="str">
        <f>VLOOKUP(E638,Customers!$A$2:$I$1001,7,0)</f>
        <v>United States</v>
      </c>
      <c r="K638" s="23" t="str">
        <f>VLOOKUP(E638,Customers!$A$2:$I$1001,9,0)</f>
        <v>Yes</v>
      </c>
      <c r="L638" s="4" t="s">
        <v>132</v>
      </c>
      <c r="M638" s="4" t="str">
        <f>VLOOKUP(L638,Products!$A$2:$G$49,2,0)</f>
        <v>Liberica</v>
      </c>
      <c r="N638" s="4" t="str">
        <f>VLOOKUP(L638,Products!$A$2:$G$49,3,0)</f>
        <v>Light</v>
      </c>
      <c r="O638" s="25">
        <v>6</v>
      </c>
      <c r="P638" s="5">
        <f>INDEX([1]products!$A$1:$G$49,MATCH([1]orders!$D638,[1]products!$A$1:$A$49,0),MATCH([1]orders!K$1,[1]products!$A$1:$G$1,0))</f>
        <v>1</v>
      </c>
      <c r="Q638" s="6">
        <f>INDEX([1]products!$A$1:$G$49,MATCH([1]orders!$D638,[1]products!$A$1:$A$49,0),MATCH([1]orders!L$1,[1]products!$A$1:$G$1,0))</f>
        <v>15.85</v>
      </c>
      <c r="R638" s="6">
        <f t="shared" si="45"/>
        <v>95.1</v>
      </c>
      <c r="S638">
        <f>VLOOKUP(L638,Products!$A$2:$G$49,7,0)</f>
        <v>2.0605000000000002</v>
      </c>
      <c r="T638">
        <f t="shared" si="48"/>
        <v>12.363000000000001</v>
      </c>
      <c r="U638" s="33">
        <f t="shared" si="49"/>
        <v>13.000000000000004</v>
      </c>
    </row>
    <row r="639" spans="1:21" x14ac:dyDescent="0.25">
      <c r="A639" s="1" t="s">
        <v>1239</v>
      </c>
      <c r="B639" s="28">
        <v>43889</v>
      </c>
      <c r="C639" s="21" t="str">
        <f t="shared" si="46"/>
        <v>2020</v>
      </c>
      <c r="D639" s="19" t="str">
        <f t="shared" si="47"/>
        <v>February</v>
      </c>
      <c r="E639" s="3" t="s">
        <v>1240</v>
      </c>
      <c r="F639" s="3" t="str">
        <f>VLOOKUP(E639,Customers!$A$2:$I$1001,2,0)</f>
        <v>Benedikta Paumier</v>
      </c>
      <c r="G639" s="3" t="str">
        <f>VLOOKUP(E639,Customers!$A$2:$I$1001,3,0)</f>
        <v>bpaumierhp@umn.edu</v>
      </c>
      <c r="H639" s="3" t="str">
        <f>VLOOKUP(E639,Customers!$A$2:$I$1001,4,0)</f>
        <v>+353 (777) 856-8236</v>
      </c>
      <c r="I639" s="25" t="str">
        <f>VLOOKUP(E639,Customers!$A$2:$I$1001,6,0)</f>
        <v>Ballisodare</v>
      </c>
      <c r="J639" s="25" t="str">
        <f>VLOOKUP(E639,Customers!$A$2:$I$1001,7,0)</f>
        <v>Ireland</v>
      </c>
      <c r="K639" s="23" t="str">
        <f>VLOOKUP(E639,Customers!$A$2:$I$1001,9,0)</f>
        <v>Yes</v>
      </c>
      <c r="L639" s="4" t="s">
        <v>112</v>
      </c>
      <c r="M639" s="4" t="str">
        <f>VLOOKUP(L639,Products!$A$2:$G$49,2,0)</f>
        <v>Excelsa</v>
      </c>
      <c r="N639" s="4" t="str">
        <f>VLOOKUP(L639,Products!$A$2:$G$49,3,0)</f>
        <v>Medium</v>
      </c>
      <c r="O639" s="25">
        <v>1</v>
      </c>
      <c r="P639" s="5">
        <f>INDEX([1]products!$A$1:$G$49,MATCH([1]orders!$D639,[1]products!$A$1:$A$49,0),MATCH([1]orders!K$1,[1]products!$A$1:$G$1,0))</f>
        <v>2.5</v>
      </c>
      <c r="Q639" s="6">
        <f>INDEX([1]products!$A$1:$G$49,MATCH([1]orders!$D639,[1]products!$A$1:$A$49,0),MATCH([1]orders!L$1,[1]products!$A$1:$G$1,0))</f>
        <v>31.624999999999996</v>
      </c>
      <c r="R639" s="6">
        <f t="shared" si="45"/>
        <v>31.624999999999996</v>
      </c>
      <c r="S639">
        <f>VLOOKUP(L639,Products!$A$2:$G$49,7,0)</f>
        <v>3.4787499999999998</v>
      </c>
      <c r="T639">
        <f t="shared" si="48"/>
        <v>3.4787499999999998</v>
      </c>
      <c r="U639" s="33">
        <f t="shared" si="49"/>
        <v>11</v>
      </c>
    </row>
    <row r="640" spans="1:21" x14ac:dyDescent="0.25">
      <c r="A640" s="1" t="s">
        <v>1241</v>
      </c>
      <c r="B640" s="28">
        <v>43684</v>
      </c>
      <c r="C640" s="21" t="str">
        <f t="shared" si="46"/>
        <v>2019</v>
      </c>
      <c r="D640" s="19" t="str">
        <f t="shared" si="47"/>
        <v>August</v>
      </c>
      <c r="E640" s="3" t="s">
        <v>1242</v>
      </c>
      <c r="F640" s="3" t="str">
        <f>VLOOKUP(E640,Customers!$A$2:$I$1001,2,0)</f>
        <v>Neville Piatto</v>
      </c>
      <c r="G640" s="3" t="str">
        <f>VLOOKUP(E640,Customers!$A$2:$I$1001,3,0)</f>
        <v>UNKNOWN</v>
      </c>
      <c r="H640" s="3" t="str">
        <f>VLOOKUP(E640,Customers!$A$2:$I$1001,4,0)</f>
        <v>+353 (573) 561-9754</v>
      </c>
      <c r="I640" s="25" t="str">
        <f>VLOOKUP(E640,Customers!$A$2:$I$1001,6,0)</f>
        <v>Daingean</v>
      </c>
      <c r="J640" s="25" t="str">
        <f>VLOOKUP(E640,Customers!$A$2:$I$1001,7,0)</f>
        <v>Ireland</v>
      </c>
      <c r="K640" s="23" t="str">
        <f>VLOOKUP(E640,Customers!$A$2:$I$1001,9,0)</f>
        <v>Yes</v>
      </c>
      <c r="L640" s="4" t="s">
        <v>171</v>
      </c>
      <c r="M640" s="4" t="str">
        <f>VLOOKUP(L640,Products!$A$2:$G$49,2,0)</f>
        <v>Arabica</v>
      </c>
      <c r="N640" s="4" t="str">
        <f>VLOOKUP(L640,Products!$A$2:$G$49,3,0)</f>
        <v>Medium</v>
      </c>
      <c r="O640" s="25">
        <v>3</v>
      </c>
      <c r="P640" s="5">
        <f>INDEX([1]products!$A$1:$G$49,MATCH([1]orders!$D640,[1]products!$A$1:$A$49,0),MATCH([1]orders!K$1,[1]products!$A$1:$G$1,0))</f>
        <v>2.5</v>
      </c>
      <c r="Q640" s="6">
        <f>INDEX([1]products!$A$1:$G$49,MATCH([1]orders!$D640,[1]products!$A$1:$A$49,0),MATCH([1]orders!L$1,[1]products!$A$1:$G$1,0))</f>
        <v>25.874999999999996</v>
      </c>
      <c r="R640" s="6">
        <f t="shared" si="45"/>
        <v>77.624999999999986</v>
      </c>
      <c r="S640">
        <f>VLOOKUP(L640,Products!$A$2:$G$49,7,0)</f>
        <v>2.3287499999999994</v>
      </c>
      <c r="T640">
        <f t="shared" si="48"/>
        <v>6.9862499999999983</v>
      </c>
      <c r="U640" s="33">
        <f t="shared" si="49"/>
        <v>9</v>
      </c>
    </row>
    <row r="641" spans="1:21" x14ac:dyDescent="0.25">
      <c r="A641" s="1" t="s">
        <v>1243</v>
      </c>
      <c r="B641" s="28">
        <v>44331</v>
      </c>
      <c r="C641" s="21" t="str">
        <f t="shared" si="46"/>
        <v>2021</v>
      </c>
      <c r="D641" s="19" t="str">
        <f t="shared" si="47"/>
        <v>May</v>
      </c>
      <c r="E641" s="3" t="s">
        <v>1244</v>
      </c>
      <c r="F641" s="3" t="str">
        <f>VLOOKUP(E641,Customers!$A$2:$I$1001,2,0)</f>
        <v>Jeno Capey</v>
      </c>
      <c r="G641" s="3" t="str">
        <f>VLOOKUP(E641,Customers!$A$2:$I$1001,3,0)</f>
        <v>jcapeyhr@bravesites.com</v>
      </c>
      <c r="H641" s="3" t="str">
        <f>VLOOKUP(E641,Customers!$A$2:$I$1001,4,0)</f>
        <v>+1 (814) 974-7878</v>
      </c>
      <c r="I641" s="25" t="str">
        <f>VLOOKUP(E641,Customers!$A$2:$I$1001,6,0)</f>
        <v>Erie</v>
      </c>
      <c r="J641" s="25" t="str">
        <f>VLOOKUP(E641,Customers!$A$2:$I$1001,7,0)</f>
        <v>United States</v>
      </c>
      <c r="K641" s="23" t="str">
        <f>VLOOKUP(E641,Customers!$A$2:$I$1001,9,0)</f>
        <v>Yes</v>
      </c>
      <c r="L641" s="4" t="s">
        <v>38</v>
      </c>
      <c r="M641" s="4" t="str">
        <f>VLOOKUP(L641,Products!$A$2:$G$49,2,0)</f>
        <v>Liberica</v>
      </c>
      <c r="N641" s="4" t="str">
        <f>VLOOKUP(L641,Products!$A$2:$G$49,3,0)</f>
        <v>Dark</v>
      </c>
      <c r="O641" s="25">
        <v>1</v>
      </c>
      <c r="P641" s="5">
        <f>INDEX([1]products!$A$1:$G$49,MATCH([1]orders!$D641,[1]products!$A$1:$A$49,0),MATCH([1]orders!K$1,[1]products!$A$1:$G$1,0))</f>
        <v>0.2</v>
      </c>
      <c r="Q641" s="6">
        <f>INDEX([1]products!$A$1:$G$49,MATCH([1]orders!$D641,[1]products!$A$1:$A$49,0),MATCH([1]orders!L$1,[1]products!$A$1:$G$1,0))</f>
        <v>3.8849999999999998</v>
      </c>
      <c r="R641" s="6">
        <f t="shared" si="45"/>
        <v>3.8849999999999998</v>
      </c>
      <c r="S641">
        <f>VLOOKUP(L641,Products!$A$2:$G$49,7,0)</f>
        <v>0.50505</v>
      </c>
      <c r="T641">
        <f t="shared" si="48"/>
        <v>0.50505</v>
      </c>
      <c r="U641" s="33">
        <f t="shared" si="49"/>
        <v>13</v>
      </c>
    </row>
    <row r="642" spans="1:21" x14ac:dyDescent="0.25">
      <c r="A642" s="1" t="s">
        <v>1245</v>
      </c>
      <c r="B642" s="28">
        <v>44547</v>
      </c>
      <c r="C642" s="21" t="str">
        <f t="shared" si="46"/>
        <v>2021</v>
      </c>
      <c r="D642" s="19" t="str">
        <f t="shared" si="47"/>
        <v>December</v>
      </c>
      <c r="E642" s="3" t="s">
        <v>1246</v>
      </c>
      <c r="F642" s="3" t="str">
        <f>VLOOKUP(E642,Customers!$A$2:$I$1001,2,0)</f>
        <v>Tuckie Mathonnet</v>
      </c>
      <c r="G642" s="3" t="str">
        <f>VLOOKUP(E642,Customers!$A$2:$I$1001,3,0)</f>
        <v>tmathonneti0@google.co.jp</v>
      </c>
      <c r="H642" s="3" t="str">
        <f>VLOOKUP(E642,Customers!$A$2:$I$1001,4,0)</f>
        <v>+1 (614) 781-0396</v>
      </c>
      <c r="I642" s="25" t="str">
        <f>VLOOKUP(E642,Customers!$A$2:$I$1001,6,0)</f>
        <v>Columbus</v>
      </c>
      <c r="J642" s="25" t="str">
        <f>VLOOKUP(E642,Customers!$A$2:$I$1001,7,0)</f>
        <v>United States</v>
      </c>
      <c r="K642" s="23" t="str">
        <f>VLOOKUP(E642,Customers!$A$2:$I$1001,9,0)</f>
        <v>No</v>
      </c>
      <c r="L642" s="4" t="s">
        <v>10</v>
      </c>
      <c r="M642" s="4" t="str">
        <f>VLOOKUP(L642,Products!$A$2:$G$49,2,0)</f>
        <v>Robusta</v>
      </c>
      <c r="N642" s="4" t="str">
        <f>VLOOKUP(L642,Products!$A$2:$G$49,3,0)</f>
        <v>Light</v>
      </c>
      <c r="O642" s="25">
        <v>5</v>
      </c>
      <c r="P642" s="5">
        <f>INDEX([1]products!$A$1:$G$49,MATCH([1]orders!$D642,[1]products!$A$1:$A$49,0),MATCH([1]orders!K$1,[1]products!$A$1:$G$1,0))</f>
        <v>2.5</v>
      </c>
      <c r="Q642" s="6">
        <f>INDEX([1]products!$A$1:$G$49,MATCH([1]orders!$D642,[1]products!$A$1:$A$49,0),MATCH([1]orders!L$1,[1]products!$A$1:$G$1,0))</f>
        <v>27.484999999999996</v>
      </c>
      <c r="R642" s="6">
        <f t="shared" ref="R642:R705" si="50">O642*Q642</f>
        <v>137.42499999999998</v>
      </c>
      <c r="S642">
        <f>VLOOKUP(L642,Products!$A$2:$G$49,7,0)</f>
        <v>1.6490999999999998</v>
      </c>
      <c r="T642">
        <f t="shared" si="48"/>
        <v>8.2454999999999998</v>
      </c>
      <c r="U642" s="33">
        <f t="shared" si="49"/>
        <v>6.0000000000000009</v>
      </c>
    </row>
    <row r="643" spans="1:21" x14ac:dyDescent="0.25">
      <c r="A643" s="1" t="s">
        <v>1247</v>
      </c>
      <c r="B643" s="28">
        <v>44448</v>
      </c>
      <c r="C643" s="21" t="str">
        <f t="shared" ref="C643:C706" si="51">TEXT(B643,"yyyy")</f>
        <v>2021</v>
      </c>
      <c r="D643" s="19" t="str">
        <f t="shared" ref="D643:D706" si="52">TEXT(B643,"mmmm")</f>
        <v>September</v>
      </c>
      <c r="E643" s="3" t="s">
        <v>1248</v>
      </c>
      <c r="F643" s="3" t="str">
        <f>VLOOKUP(E643,Customers!$A$2:$I$1001,2,0)</f>
        <v>Yardley Basill</v>
      </c>
      <c r="G643" s="3" t="str">
        <f>VLOOKUP(E643,Customers!$A$2:$I$1001,3,0)</f>
        <v>ybasillht@theguardian.com</v>
      </c>
      <c r="H643" s="3" t="str">
        <f>VLOOKUP(E643,Customers!$A$2:$I$1001,4,0)</f>
        <v>+1 (412) 297-2806</v>
      </c>
      <c r="I643" s="25" t="str">
        <f>VLOOKUP(E643,Customers!$A$2:$I$1001,6,0)</f>
        <v>Pittsburgh</v>
      </c>
      <c r="J643" s="25" t="str">
        <f>VLOOKUP(E643,Customers!$A$2:$I$1001,7,0)</f>
        <v>United States</v>
      </c>
      <c r="K643" s="23" t="str">
        <f>VLOOKUP(E643,Customers!$A$2:$I$1001,9,0)</f>
        <v>Yes</v>
      </c>
      <c r="L643" s="4" t="s">
        <v>189</v>
      </c>
      <c r="M643" s="4" t="str">
        <f>VLOOKUP(L643,Products!$A$2:$G$49,2,0)</f>
        <v>Robusta</v>
      </c>
      <c r="N643" s="4" t="str">
        <f>VLOOKUP(L643,Products!$A$2:$G$49,3,0)</f>
        <v>Light</v>
      </c>
      <c r="O643" s="25">
        <v>3</v>
      </c>
      <c r="P643" s="5">
        <f>INDEX([1]products!$A$1:$G$49,MATCH([1]orders!$D643,[1]products!$A$1:$A$49,0),MATCH([1]orders!K$1,[1]products!$A$1:$G$1,0))</f>
        <v>1</v>
      </c>
      <c r="Q643" s="6">
        <f>INDEX([1]products!$A$1:$G$49,MATCH([1]orders!$D643,[1]products!$A$1:$A$49,0),MATCH([1]orders!L$1,[1]products!$A$1:$G$1,0))</f>
        <v>11.95</v>
      </c>
      <c r="R643" s="6">
        <f t="shared" si="50"/>
        <v>35.849999999999994</v>
      </c>
      <c r="S643">
        <f>VLOOKUP(L643,Products!$A$2:$G$49,7,0)</f>
        <v>0.71699999999999997</v>
      </c>
      <c r="T643">
        <f t="shared" ref="T643:T706" si="53">O643*S643</f>
        <v>2.1509999999999998</v>
      </c>
      <c r="U643" s="33">
        <f t="shared" ref="U643:U706" si="54">T643/R643*100</f>
        <v>6.0000000000000009</v>
      </c>
    </row>
    <row r="644" spans="1:21" x14ac:dyDescent="0.25">
      <c r="A644" s="1" t="s">
        <v>1249</v>
      </c>
      <c r="B644" s="28">
        <v>43880</v>
      </c>
      <c r="C644" s="21" t="str">
        <f t="shared" si="51"/>
        <v>2020</v>
      </c>
      <c r="D644" s="19" t="str">
        <f t="shared" si="52"/>
        <v>February</v>
      </c>
      <c r="E644" s="3" t="s">
        <v>1250</v>
      </c>
      <c r="F644" s="3" t="str">
        <f>VLOOKUP(E644,Customers!$A$2:$I$1001,2,0)</f>
        <v>Maggy Baistow</v>
      </c>
      <c r="G644" s="3" t="str">
        <f>VLOOKUP(E644,Customers!$A$2:$I$1001,3,0)</f>
        <v>mbaistowhu@i2i.jp</v>
      </c>
      <c r="H644" s="3" t="str">
        <f>VLOOKUP(E644,Customers!$A$2:$I$1001,4,0)</f>
        <v>+44 (876) 508-3376</v>
      </c>
      <c r="I644" s="25" t="str">
        <f>VLOOKUP(E644,Customers!$A$2:$I$1001,6,0)</f>
        <v>Ford</v>
      </c>
      <c r="J644" s="25" t="str">
        <f>VLOOKUP(E644,Customers!$A$2:$I$1001,7,0)</f>
        <v>United Kingdom</v>
      </c>
      <c r="K644" s="23" t="str">
        <f>VLOOKUP(E644,Customers!$A$2:$I$1001,9,0)</f>
        <v>Yes</v>
      </c>
      <c r="L644" s="4" t="s">
        <v>64</v>
      </c>
      <c r="M644" s="4" t="str">
        <f>VLOOKUP(L644,Products!$A$2:$G$49,2,0)</f>
        <v>Excelsa</v>
      </c>
      <c r="N644" s="4" t="str">
        <f>VLOOKUP(L644,Products!$A$2:$G$49,3,0)</f>
        <v>Medium</v>
      </c>
      <c r="O644" s="25">
        <v>2</v>
      </c>
      <c r="P644" s="5">
        <f>INDEX([1]products!$A$1:$G$49,MATCH([1]orders!$D644,[1]products!$A$1:$A$49,0),MATCH([1]orders!K$1,[1]products!$A$1:$G$1,0))</f>
        <v>0.2</v>
      </c>
      <c r="Q644" s="6">
        <f>INDEX([1]products!$A$1:$G$49,MATCH([1]orders!$D644,[1]products!$A$1:$A$49,0),MATCH([1]orders!L$1,[1]products!$A$1:$G$1,0))</f>
        <v>4.125</v>
      </c>
      <c r="R644" s="6">
        <f t="shared" si="50"/>
        <v>8.25</v>
      </c>
      <c r="S644">
        <f>VLOOKUP(L644,Products!$A$2:$G$49,7,0)</f>
        <v>0.45374999999999999</v>
      </c>
      <c r="T644">
        <f t="shared" si="53"/>
        <v>0.90749999999999997</v>
      </c>
      <c r="U644" s="33">
        <f t="shared" si="54"/>
        <v>11</v>
      </c>
    </row>
    <row r="645" spans="1:21" x14ac:dyDescent="0.25">
      <c r="A645" s="1" t="s">
        <v>1251</v>
      </c>
      <c r="B645" s="28">
        <v>44011</v>
      </c>
      <c r="C645" s="21" t="str">
        <f t="shared" si="51"/>
        <v>2020</v>
      </c>
      <c r="D645" s="19" t="str">
        <f t="shared" si="52"/>
        <v>June</v>
      </c>
      <c r="E645" s="3" t="s">
        <v>1252</v>
      </c>
      <c r="F645" s="3" t="str">
        <f>VLOOKUP(E645,Customers!$A$2:$I$1001,2,0)</f>
        <v>Courtney Pallant</v>
      </c>
      <c r="G645" s="3" t="str">
        <f>VLOOKUP(E645,Customers!$A$2:$I$1001,3,0)</f>
        <v>cpallanthv@typepad.com</v>
      </c>
      <c r="H645" s="3" t="str">
        <f>VLOOKUP(E645,Customers!$A$2:$I$1001,4,0)</f>
        <v>UNKNOWN</v>
      </c>
      <c r="I645" s="25" t="str">
        <f>VLOOKUP(E645,Customers!$A$2:$I$1001,6,0)</f>
        <v>Dallas</v>
      </c>
      <c r="J645" s="25" t="str">
        <f>VLOOKUP(E645,Customers!$A$2:$I$1001,7,0)</f>
        <v>United States</v>
      </c>
      <c r="K645" s="23" t="str">
        <f>VLOOKUP(E645,Customers!$A$2:$I$1001,9,0)</f>
        <v>Yes</v>
      </c>
      <c r="L645" s="4" t="s">
        <v>30</v>
      </c>
      <c r="M645" s="4" t="str">
        <f>VLOOKUP(L645,Products!$A$2:$G$49,2,0)</f>
        <v>Excelsa</v>
      </c>
      <c r="N645" s="4" t="str">
        <f>VLOOKUP(L645,Products!$A$2:$G$49,3,0)</f>
        <v>Light</v>
      </c>
      <c r="O645" s="25">
        <v>3</v>
      </c>
      <c r="P645" s="5">
        <f>INDEX([1]products!$A$1:$G$49,MATCH([1]orders!$D645,[1]products!$A$1:$A$49,0),MATCH([1]orders!K$1,[1]products!$A$1:$G$1,0))</f>
        <v>2.5</v>
      </c>
      <c r="Q645" s="6">
        <f>INDEX([1]products!$A$1:$G$49,MATCH([1]orders!$D645,[1]products!$A$1:$A$49,0),MATCH([1]orders!L$1,[1]products!$A$1:$G$1,0))</f>
        <v>34.154999999999994</v>
      </c>
      <c r="R645" s="6">
        <f t="shared" si="50"/>
        <v>102.46499999999997</v>
      </c>
      <c r="S645">
        <f>VLOOKUP(L645,Products!$A$2:$G$49,7,0)</f>
        <v>3.7570499999999996</v>
      </c>
      <c r="T645">
        <f t="shared" si="53"/>
        <v>11.271149999999999</v>
      </c>
      <c r="U645" s="33">
        <f t="shared" si="54"/>
        <v>11.000000000000002</v>
      </c>
    </row>
    <row r="646" spans="1:21" x14ac:dyDescent="0.25">
      <c r="A646" s="1" t="s">
        <v>1253</v>
      </c>
      <c r="B646" s="28">
        <v>44694</v>
      </c>
      <c r="C646" s="21" t="str">
        <f t="shared" si="51"/>
        <v>2022</v>
      </c>
      <c r="D646" s="19" t="str">
        <f t="shared" si="52"/>
        <v>May</v>
      </c>
      <c r="E646" s="3" t="s">
        <v>1254</v>
      </c>
      <c r="F646" s="3" t="str">
        <f>VLOOKUP(E646,Customers!$A$2:$I$1001,2,0)</f>
        <v>Marne Mingey</v>
      </c>
      <c r="G646" s="3" t="str">
        <f>VLOOKUP(E646,Customers!$A$2:$I$1001,3,0)</f>
        <v>UNKNOWN</v>
      </c>
      <c r="H646" s="3" t="str">
        <f>VLOOKUP(E646,Customers!$A$2:$I$1001,4,0)</f>
        <v>+1 (786) 445-8879</v>
      </c>
      <c r="I646" s="25" t="str">
        <f>VLOOKUP(E646,Customers!$A$2:$I$1001,6,0)</f>
        <v>Miami</v>
      </c>
      <c r="J646" s="25" t="str">
        <f>VLOOKUP(E646,Customers!$A$2:$I$1001,7,0)</f>
        <v>United States</v>
      </c>
      <c r="K646" s="23" t="str">
        <f>VLOOKUP(E646,Customers!$A$2:$I$1001,9,0)</f>
        <v>No</v>
      </c>
      <c r="L646" s="4" t="s">
        <v>35</v>
      </c>
      <c r="M646" s="4" t="str">
        <f>VLOOKUP(L646,Products!$A$2:$G$49,2,0)</f>
        <v>Robusta</v>
      </c>
      <c r="N646" s="4" t="str">
        <f>VLOOKUP(L646,Products!$A$2:$G$49,3,0)</f>
        <v>Dark</v>
      </c>
      <c r="O646" s="25">
        <v>2</v>
      </c>
      <c r="P646" s="5">
        <f>INDEX([1]products!$A$1:$G$49,MATCH([1]orders!$D646,[1]products!$A$1:$A$49,0),MATCH([1]orders!K$1,[1]products!$A$1:$G$1,0))</f>
        <v>2.5</v>
      </c>
      <c r="Q646" s="6">
        <f>INDEX([1]products!$A$1:$G$49,MATCH([1]orders!$D646,[1]products!$A$1:$A$49,0),MATCH([1]orders!L$1,[1]products!$A$1:$G$1,0))</f>
        <v>20.584999999999997</v>
      </c>
      <c r="R646" s="6">
        <f t="shared" si="50"/>
        <v>41.169999999999995</v>
      </c>
      <c r="S646">
        <f>VLOOKUP(L646,Products!$A$2:$G$49,7,0)</f>
        <v>1.2350999999999999</v>
      </c>
      <c r="T646">
        <f t="shared" si="53"/>
        <v>2.4701999999999997</v>
      </c>
      <c r="U646" s="33">
        <f t="shared" si="54"/>
        <v>6.0000000000000009</v>
      </c>
    </row>
    <row r="647" spans="1:21" x14ac:dyDescent="0.25">
      <c r="A647" s="1" t="s">
        <v>1255</v>
      </c>
      <c r="B647" s="28">
        <v>44106</v>
      </c>
      <c r="C647" s="21" t="str">
        <f t="shared" si="51"/>
        <v>2020</v>
      </c>
      <c r="D647" s="19" t="str">
        <f t="shared" si="52"/>
        <v>October</v>
      </c>
      <c r="E647" s="3" t="s">
        <v>1256</v>
      </c>
      <c r="F647" s="3" t="str">
        <f>VLOOKUP(E647,Customers!$A$2:$I$1001,2,0)</f>
        <v>Denny O' Ronan</v>
      </c>
      <c r="G647" s="3" t="str">
        <f>VLOOKUP(E647,Customers!$A$2:$I$1001,3,0)</f>
        <v>dohx@redcross.org</v>
      </c>
      <c r="H647" s="3" t="str">
        <f>VLOOKUP(E647,Customers!$A$2:$I$1001,4,0)</f>
        <v>+1 (325) 276-3690</v>
      </c>
      <c r="I647" s="25" t="str">
        <f>VLOOKUP(E647,Customers!$A$2:$I$1001,6,0)</f>
        <v>San Angelo</v>
      </c>
      <c r="J647" s="25" t="str">
        <f>VLOOKUP(E647,Customers!$A$2:$I$1001,7,0)</f>
        <v>United States</v>
      </c>
      <c r="K647" s="23" t="str">
        <f>VLOOKUP(E647,Customers!$A$2:$I$1001,9,0)</f>
        <v>Yes</v>
      </c>
      <c r="L647" s="4" t="s">
        <v>118</v>
      </c>
      <c r="M647" s="4" t="str">
        <f>VLOOKUP(L647,Products!$A$2:$G$49,2,0)</f>
        <v>Arabica</v>
      </c>
      <c r="N647" s="4" t="str">
        <f>VLOOKUP(L647,Products!$A$2:$G$49,3,0)</f>
        <v>Dark</v>
      </c>
      <c r="O647" s="25">
        <v>3</v>
      </c>
      <c r="P647" s="5">
        <f>INDEX([1]products!$A$1:$G$49,MATCH([1]orders!$D647,[1]products!$A$1:$A$49,0),MATCH([1]orders!K$1,[1]products!$A$1:$G$1,0))</f>
        <v>2.5</v>
      </c>
      <c r="Q647" s="6">
        <f>INDEX([1]products!$A$1:$G$49,MATCH([1]orders!$D647,[1]products!$A$1:$A$49,0),MATCH([1]orders!L$1,[1]products!$A$1:$G$1,0))</f>
        <v>22.884999999999998</v>
      </c>
      <c r="R647" s="6">
        <f t="shared" si="50"/>
        <v>68.655000000000001</v>
      </c>
      <c r="S647">
        <f>VLOOKUP(L647,Products!$A$2:$G$49,7,0)</f>
        <v>2.0596499999999995</v>
      </c>
      <c r="T647">
        <f t="shared" si="53"/>
        <v>6.1789499999999986</v>
      </c>
      <c r="U647" s="33">
        <f t="shared" si="54"/>
        <v>8.9999999999999982</v>
      </c>
    </row>
    <row r="648" spans="1:21" x14ac:dyDescent="0.25">
      <c r="A648" s="1" t="s">
        <v>1257</v>
      </c>
      <c r="B648" s="28">
        <v>44532</v>
      </c>
      <c r="C648" s="21" t="str">
        <f t="shared" si="51"/>
        <v>2021</v>
      </c>
      <c r="D648" s="19" t="str">
        <f t="shared" si="52"/>
        <v>December</v>
      </c>
      <c r="E648" s="3" t="s">
        <v>1258</v>
      </c>
      <c r="F648" s="3" t="str">
        <f>VLOOKUP(E648,Customers!$A$2:$I$1001,2,0)</f>
        <v>Dottie Rallin</v>
      </c>
      <c r="G648" s="3" t="str">
        <f>VLOOKUP(E648,Customers!$A$2:$I$1001,3,0)</f>
        <v>drallinhy@howstuffworks.com</v>
      </c>
      <c r="H648" s="3" t="str">
        <f>VLOOKUP(E648,Customers!$A$2:$I$1001,4,0)</f>
        <v>+1 (518) 981-1531</v>
      </c>
      <c r="I648" s="25" t="str">
        <f>VLOOKUP(E648,Customers!$A$2:$I$1001,6,0)</f>
        <v>Albany</v>
      </c>
      <c r="J648" s="25" t="str">
        <f>VLOOKUP(E648,Customers!$A$2:$I$1001,7,0)</f>
        <v>United States</v>
      </c>
      <c r="K648" s="23" t="str">
        <f>VLOOKUP(E648,Customers!$A$2:$I$1001,9,0)</f>
        <v>Yes</v>
      </c>
      <c r="L648" s="4" t="s">
        <v>27</v>
      </c>
      <c r="M648" s="4" t="str">
        <f>VLOOKUP(L648,Products!$A$2:$G$49,2,0)</f>
        <v>Arabica</v>
      </c>
      <c r="N648" s="4" t="str">
        <f>VLOOKUP(L648,Products!$A$2:$G$49,3,0)</f>
        <v>Dark</v>
      </c>
      <c r="O648" s="25">
        <v>1</v>
      </c>
      <c r="P648" s="5">
        <f>INDEX([1]products!$A$1:$G$49,MATCH([1]orders!$D648,[1]products!$A$1:$A$49,0),MATCH([1]orders!K$1,[1]products!$A$1:$G$1,0))</f>
        <v>1</v>
      </c>
      <c r="Q648" s="6">
        <f>INDEX([1]products!$A$1:$G$49,MATCH([1]orders!$D648,[1]products!$A$1:$A$49,0),MATCH([1]orders!L$1,[1]products!$A$1:$G$1,0))</f>
        <v>9.9499999999999993</v>
      </c>
      <c r="R648" s="6">
        <f t="shared" si="50"/>
        <v>9.9499999999999993</v>
      </c>
      <c r="S648">
        <f>VLOOKUP(L648,Products!$A$2:$G$49,7,0)</f>
        <v>0.89549999999999985</v>
      </c>
      <c r="T648">
        <f t="shared" si="53"/>
        <v>0.89549999999999985</v>
      </c>
      <c r="U648" s="33">
        <f t="shared" si="54"/>
        <v>9</v>
      </c>
    </row>
    <row r="649" spans="1:21" x14ac:dyDescent="0.25">
      <c r="A649" s="1" t="s">
        <v>1259</v>
      </c>
      <c r="B649" s="28">
        <v>44502</v>
      </c>
      <c r="C649" s="21" t="str">
        <f t="shared" si="51"/>
        <v>2021</v>
      </c>
      <c r="D649" s="19" t="str">
        <f t="shared" si="52"/>
        <v>November</v>
      </c>
      <c r="E649" s="3" t="s">
        <v>1260</v>
      </c>
      <c r="F649" s="3" t="str">
        <f>VLOOKUP(E649,Customers!$A$2:$I$1001,2,0)</f>
        <v>Ardith Chill</v>
      </c>
      <c r="G649" s="3" t="str">
        <f>VLOOKUP(E649,Customers!$A$2:$I$1001,3,0)</f>
        <v>achillhz@epa.gov</v>
      </c>
      <c r="H649" s="3" t="str">
        <f>VLOOKUP(E649,Customers!$A$2:$I$1001,4,0)</f>
        <v>+44 (411) 344-1320</v>
      </c>
      <c r="I649" s="25" t="str">
        <f>VLOOKUP(E649,Customers!$A$2:$I$1001,6,0)</f>
        <v>Thorpe</v>
      </c>
      <c r="J649" s="25" t="str">
        <f>VLOOKUP(E649,Customers!$A$2:$I$1001,7,0)</f>
        <v>United Kingdom</v>
      </c>
      <c r="K649" s="23" t="str">
        <f>VLOOKUP(E649,Customers!$A$2:$I$1001,9,0)</f>
        <v>Yes</v>
      </c>
      <c r="L649" s="4" t="s">
        <v>83</v>
      </c>
      <c r="M649" s="4" t="str">
        <f>VLOOKUP(L649,Products!$A$2:$G$49,2,0)</f>
        <v>Liberica</v>
      </c>
      <c r="N649" s="4" t="str">
        <f>VLOOKUP(L649,Products!$A$2:$G$49,3,0)</f>
        <v>Light</v>
      </c>
      <c r="O649" s="25">
        <v>3</v>
      </c>
      <c r="P649" s="5">
        <f>INDEX([1]products!$A$1:$G$49,MATCH([1]orders!$D649,[1]products!$A$1:$A$49,0),MATCH([1]orders!K$1,[1]products!$A$1:$G$1,0))</f>
        <v>0.5</v>
      </c>
      <c r="Q649" s="6">
        <f>INDEX([1]products!$A$1:$G$49,MATCH([1]orders!$D649,[1]products!$A$1:$A$49,0),MATCH([1]orders!L$1,[1]products!$A$1:$G$1,0))</f>
        <v>9.51</v>
      </c>
      <c r="R649" s="6">
        <f t="shared" si="50"/>
        <v>28.53</v>
      </c>
      <c r="S649">
        <f>VLOOKUP(L649,Products!$A$2:$G$49,7,0)</f>
        <v>1.2363</v>
      </c>
      <c r="T649">
        <f t="shared" si="53"/>
        <v>3.7088999999999999</v>
      </c>
      <c r="U649" s="33">
        <f t="shared" si="54"/>
        <v>12.999999999999998</v>
      </c>
    </row>
    <row r="650" spans="1:21" x14ac:dyDescent="0.25">
      <c r="A650" s="1" t="s">
        <v>1261</v>
      </c>
      <c r="B650" s="28">
        <v>43884</v>
      </c>
      <c r="C650" s="21" t="str">
        <f t="shared" si="51"/>
        <v>2020</v>
      </c>
      <c r="D650" s="19" t="str">
        <f t="shared" si="52"/>
        <v>February</v>
      </c>
      <c r="E650" s="3" t="s">
        <v>1246</v>
      </c>
      <c r="F650" s="3" t="str">
        <f>VLOOKUP(E650,Customers!$A$2:$I$1001,2,0)</f>
        <v>Tuckie Mathonnet</v>
      </c>
      <c r="G650" s="3" t="str">
        <f>VLOOKUP(E650,Customers!$A$2:$I$1001,3,0)</f>
        <v>tmathonneti0@google.co.jp</v>
      </c>
      <c r="H650" s="3" t="str">
        <f>VLOOKUP(E650,Customers!$A$2:$I$1001,4,0)</f>
        <v>+1 (614) 781-0396</v>
      </c>
      <c r="I650" s="25" t="str">
        <f>VLOOKUP(E650,Customers!$A$2:$I$1001,6,0)</f>
        <v>Columbus</v>
      </c>
      <c r="J650" s="25" t="str">
        <f>VLOOKUP(E650,Customers!$A$2:$I$1001,7,0)</f>
        <v>United States</v>
      </c>
      <c r="K650" s="23" t="str">
        <f>VLOOKUP(E650,Customers!$A$2:$I$1001,9,0)</f>
        <v>No</v>
      </c>
      <c r="L650" s="4" t="s">
        <v>101</v>
      </c>
      <c r="M650" s="4" t="str">
        <f>VLOOKUP(L650,Products!$A$2:$G$49,2,0)</f>
        <v>Robusta</v>
      </c>
      <c r="N650" s="4" t="str">
        <f>VLOOKUP(L650,Products!$A$2:$G$49,3,0)</f>
        <v>Dark</v>
      </c>
      <c r="O650" s="25">
        <v>6</v>
      </c>
      <c r="P650" s="5">
        <f>INDEX([1]products!$A$1:$G$49,MATCH([1]orders!$D650,[1]products!$A$1:$A$49,0),MATCH([1]orders!K$1,[1]products!$A$1:$G$1,0))</f>
        <v>0.2</v>
      </c>
      <c r="Q650" s="6">
        <f>INDEX([1]products!$A$1:$G$49,MATCH([1]orders!$D650,[1]products!$A$1:$A$49,0),MATCH([1]orders!L$1,[1]products!$A$1:$G$1,0))</f>
        <v>2.6849999999999996</v>
      </c>
      <c r="R650" s="6">
        <f t="shared" si="50"/>
        <v>16.11</v>
      </c>
      <c r="S650">
        <f>VLOOKUP(L650,Products!$A$2:$G$49,7,0)</f>
        <v>0.16109999999999997</v>
      </c>
      <c r="T650">
        <f t="shared" si="53"/>
        <v>0.96659999999999979</v>
      </c>
      <c r="U650" s="33">
        <f t="shared" si="54"/>
        <v>5.9999999999999991</v>
      </c>
    </row>
    <row r="651" spans="1:21" x14ac:dyDescent="0.25">
      <c r="A651" s="1" t="s">
        <v>1262</v>
      </c>
      <c r="B651" s="28">
        <v>44015</v>
      </c>
      <c r="C651" s="21" t="str">
        <f t="shared" si="51"/>
        <v>2020</v>
      </c>
      <c r="D651" s="19" t="str">
        <f t="shared" si="52"/>
        <v>July</v>
      </c>
      <c r="E651" s="3" t="s">
        <v>1263</v>
      </c>
      <c r="F651" s="3" t="str">
        <f>VLOOKUP(E651,Customers!$A$2:$I$1001,2,0)</f>
        <v>Charmane Denys</v>
      </c>
      <c r="G651" s="3" t="str">
        <f>VLOOKUP(E651,Customers!$A$2:$I$1001,3,0)</f>
        <v>cdenysi1@is.gd</v>
      </c>
      <c r="H651" s="3" t="str">
        <f>VLOOKUP(E651,Customers!$A$2:$I$1001,4,0)</f>
        <v>+44 (341) 297-2539</v>
      </c>
      <c r="I651" s="25" t="str">
        <f>VLOOKUP(E651,Customers!$A$2:$I$1001,6,0)</f>
        <v>Carlton</v>
      </c>
      <c r="J651" s="25" t="str">
        <f>VLOOKUP(E651,Customers!$A$2:$I$1001,7,0)</f>
        <v>United Kingdom</v>
      </c>
      <c r="K651" s="23" t="str">
        <f>VLOOKUP(E651,Customers!$A$2:$I$1001,9,0)</f>
        <v>No</v>
      </c>
      <c r="L651" s="4" t="s">
        <v>132</v>
      </c>
      <c r="M651" s="4" t="str">
        <f>VLOOKUP(L651,Products!$A$2:$G$49,2,0)</f>
        <v>Liberica</v>
      </c>
      <c r="N651" s="4" t="str">
        <f>VLOOKUP(L651,Products!$A$2:$G$49,3,0)</f>
        <v>Light</v>
      </c>
      <c r="O651" s="25">
        <v>6</v>
      </c>
      <c r="P651" s="5">
        <f>INDEX([1]products!$A$1:$G$49,MATCH([1]orders!$D651,[1]products!$A$1:$A$49,0),MATCH([1]orders!K$1,[1]products!$A$1:$G$1,0))</f>
        <v>1</v>
      </c>
      <c r="Q651" s="6">
        <f>INDEX([1]products!$A$1:$G$49,MATCH([1]orders!$D651,[1]products!$A$1:$A$49,0),MATCH([1]orders!L$1,[1]products!$A$1:$G$1,0))</f>
        <v>15.85</v>
      </c>
      <c r="R651" s="6">
        <f t="shared" si="50"/>
        <v>95.1</v>
      </c>
      <c r="S651">
        <f>VLOOKUP(L651,Products!$A$2:$G$49,7,0)</f>
        <v>2.0605000000000002</v>
      </c>
      <c r="T651">
        <f t="shared" si="53"/>
        <v>12.363000000000001</v>
      </c>
      <c r="U651" s="33">
        <f t="shared" si="54"/>
        <v>13.000000000000004</v>
      </c>
    </row>
    <row r="652" spans="1:21" x14ac:dyDescent="0.25">
      <c r="A652" s="1" t="s">
        <v>1264</v>
      </c>
      <c r="B652" s="28">
        <v>43507</v>
      </c>
      <c r="C652" s="21" t="str">
        <f t="shared" si="51"/>
        <v>2019</v>
      </c>
      <c r="D652" s="19" t="str">
        <f t="shared" si="52"/>
        <v>February</v>
      </c>
      <c r="E652" s="3" t="s">
        <v>1265</v>
      </c>
      <c r="F652" s="3" t="str">
        <f>VLOOKUP(E652,Customers!$A$2:$I$1001,2,0)</f>
        <v>Cecily Stebbings</v>
      </c>
      <c r="G652" s="3" t="str">
        <f>VLOOKUP(E652,Customers!$A$2:$I$1001,3,0)</f>
        <v>cstebbingsi2@drupal.org</v>
      </c>
      <c r="H652" s="3" t="str">
        <f>VLOOKUP(E652,Customers!$A$2:$I$1001,4,0)</f>
        <v>+1 (951) 986-4062</v>
      </c>
      <c r="I652" s="25" t="str">
        <f>VLOOKUP(E652,Customers!$A$2:$I$1001,6,0)</f>
        <v>Corona</v>
      </c>
      <c r="J652" s="25" t="str">
        <f>VLOOKUP(E652,Customers!$A$2:$I$1001,7,0)</f>
        <v>United States</v>
      </c>
      <c r="K652" s="23" t="str">
        <f>VLOOKUP(E652,Customers!$A$2:$I$1001,9,0)</f>
        <v>Yes</v>
      </c>
      <c r="L652" s="4" t="s">
        <v>146</v>
      </c>
      <c r="M652" s="4" t="str">
        <f>VLOOKUP(L652,Products!$A$2:$G$49,2,0)</f>
        <v>Robusta</v>
      </c>
      <c r="N652" s="4" t="str">
        <f>VLOOKUP(L652,Products!$A$2:$G$49,3,0)</f>
        <v>Dark</v>
      </c>
      <c r="O652" s="25">
        <v>1</v>
      </c>
      <c r="P652" s="5">
        <f>INDEX([1]products!$A$1:$G$49,MATCH([1]orders!$D652,[1]products!$A$1:$A$49,0),MATCH([1]orders!K$1,[1]products!$A$1:$G$1,0))</f>
        <v>0.5</v>
      </c>
      <c r="Q652" s="6">
        <f>INDEX([1]products!$A$1:$G$49,MATCH([1]orders!$D652,[1]products!$A$1:$A$49,0),MATCH([1]orders!L$1,[1]products!$A$1:$G$1,0))</f>
        <v>5.3699999999999992</v>
      </c>
      <c r="R652" s="6">
        <f t="shared" si="50"/>
        <v>5.3699999999999992</v>
      </c>
      <c r="S652">
        <f>VLOOKUP(L652,Products!$A$2:$G$49,7,0)</f>
        <v>0.32219999999999993</v>
      </c>
      <c r="T652">
        <f t="shared" si="53"/>
        <v>0.32219999999999993</v>
      </c>
      <c r="U652" s="33">
        <f t="shared" si="54"/>
        <v>6</v>
      </c>
    </row>
    <row r="653" spans="1:21" x14ac:dyDescent="0.25">
      <c r="A653" s="1" t="s">
        <v>1266</v>
      </c>
      <c r="B653" s="28">
        <v>44084</v>
      </c>
      <c r="C653" s="21" t="str">
        <f t="shared" si="51"/>
        <v>2020</v>
      </c>
      <c r="D653" s="19" t="str">
        <f t="shared" si="52"/>
        <v>September</v>
      </c>
      <c r="E653" s="3" t="s">
        <v>1267</v>
      </c>
      <c r="F653" s="3" t="str">
        <f>VLOOKUP(E653,Customers!$A$2:$I$1001,2,0)</f>
        <v>Giana Tonnesen</v>
      </c>
      <c r="G653" s="3" t="str">
        <f>VLOOKUP(E653,Customers!$A$2:$I$1001,3,0)</f>
        <v>UNKNOWN</v>
      </c>
      <c r="H653" s="3" t="str">
        <f>VLOOKUP(E653,Customers!$A$2:$I$1001,4,0)</f>
        <v>+1 (202) 931-2413</v>
      </c>
      <c r="I653" s="25" t="str">
        <f>VLOOKUP(E653,Customers!$A$2:$I$1001,6,0)</f>
        <v>Washington</v>
      </c>
      <c r="J653" s="25" t="str">
        <f>VLOOKUP(E653,Customers!$A$2:$I$1001,7,0)</f>
        <v>United States</v>
      </c>
      <c r="K653" s="23" t="str">
        <f>VLOOKUP(E653,Customers!$A$2:$I$1001,9,0)</f>
        <v>No</v>
      </c>
      <c r="L653" s="4" t="s">
        <v>189</v>
      </c>
      <c r="M653" s="4" t="str">
        <f>VLOOKUP(L653,Products!$A$2:$G$49,2,0)</f>
        <v>Robusta</v>
      </c>
      <c r="N653" s="4" t="str">
        <f>VLOOKUP(L653,Products!$A$2:$G$49,3,0)</f>
        <v>Light</v>
      </c>
      <c r="O653" s="25">
        <v>4</v>
      </c>
      <c r="P653" s="5">
        <f>INDEX([1]products!$A$1:$G$49,MATCH([1]orders!$D653,[1]products!$A$1:$A$49,0),MATCH([1]orders!K$1,[1]products!$A$1:$G$1,0))</f>
        <v>1</v>
      </c>
      <c r="Q653" s="6">
        <f>INDEX([1]products!$A$1:$G$49,MATCH([1]orders!$D653,[1]products!$A$1:$A$49,0),MATCH([1]orders!L$1,[1]products!$A$1:$G$1,0))</f>
        <v>11.95</v>
      </c>
      <c r="R653" s="6">
        <f t="shared" si="50"/>
        <v>47.8</v>
      </c>
      <c r="S653">
        <f>VLOOKUP(L653,Products!$A$2:$G$49,7,0)</f>
        <v>0.71699999999999997</v>
      </c>
      <c r="T653">
        <f t="shared" si="53"/>
        <v>2.8679999999999999</v>
      </c>
      <c r="U653" s="33">
        <f t="shared" si="54"/>
        <v>6</v>
      </c>
    </row>
    <row r="654" spans="1:21" x14ac:dyDescent="0.25">
      <c r="A654" s="1" t="s">
        <v>1268</v>
      </c>
      <c r="B654" s="28">
        <v>43892</v>
      </c>
      <c r="C654" s="21" t="str">
        <f t="shared" si="51"/>
        <v>2020</v>
      </c>
      <c r="D654" s="19" t="str">
        <f t="shared" si="52"/>
        <v>March</v>
      </c>
      <c r="E654" s="3" t="s">
        <v>1269</v>
      </c>
      <c r="F654" s="3" t="str">
        <f>VLOOKUP(E654,Customers!$A$2:$I$1001,2,0)</f>
        <v>Rhetta Zywicki</v>
      </c>
      <c r="G654" s="3" t="str">
        <f>VLOOKUP(E654,Customers!$A$2:$I$1001,3,0)</f>
        <v>rzywickii4@ifeng.com</v>
      </c>
      <c r="H654" s="3" t="str">
        <f>VLOOKUP(E654,Customers!$A$2:$I$1001,4,0)</f>
        <v>UNKNOWN</v>
      </c>
      <c r="I654" s="25" t="str">
        <f>VLOOKUP(E654,Customers!$A$2:$I$1001,6,0)</f>
        <v>Ballinteer</v>
      </c>
      <c r="J654" s="25" t="str">
        <f>VLOOKUP(E654,Customers!$A$2:$I$1001,7,0)</f>
        <v>Ireland</v>
      </c>
      <c r="K654" s="23" t="str">
        <f>VLOOKUP(E654,Customers!$A$2:$I$1001,9,0)</f>
        <v>No</v>
      </c>
      <c r="L654" s="4" t="s">
        <v>132</v>
      </c>
      <c r="M654" s="4" t="str">
        <f>VLOOKUP(L654,Products!$A$2:$G$49,2,0)</f>
        <v>Liberica</v>
      </c>
      <c r="N654" s="4" t="str">
        <f>VLOOKUP(L654,Products!$A$2:$G$49,3,0)</f>
        <v>Light</v>
      </c>
      <c r="O654" s="25">
        <v>4</v>
      </c>
      <c r="P654" s="5">
        <f>INDEX([1]products!$A$1:$G$49,MATCH([1]orders!$D654,[1]products!$A$1:$A$49,0),MATCH([1]orders!K$1,[1]products!$A$1:$G$1,0))</f>
        <v>1</v>
      </c>
      <c r="Q654" s="6">
        <f>INDEX([1]products!$A$1:$G$49,MATCH([1]orders!$D654,[1]products!$A$1:$A$49,0),MATCH([1]orders!L$1,[1]products!$A$1:$G$1,0))</f>
        <v>15.85</v>
      </c>
      <c r="R654" s="6">
        <f t="shared" si="50"/>
        <v>63.4</v>
      </c>
      <c r="S654">
        <f>VLOOKUP(L654,Products!$A$2:$G$49,7,0)</f>
        <v>2.0605000000000002</v>
      </c>
      <c r="T654">
        <f t="shared" si="53"/>
        <v>8.2420000000000009</v>
      </c>
      <c r="U654" s="33">
        <f t="shared" si="54"/>
        <v>13</v>
      </c>
    </row>
    <row r="655" spans="1:21" x14ac:dyDescent="0.25">
      <c r="A655" s="1" t="s">
        <v>1270</v>
      </c>
      <c r="B655" s="28">
        <v>44375</v>
      </c>
      <c r="C655" s="21" t="str">
        <f t="shared" si="51"/>
        <v>2021</v>
      </c>
      <c r="D655" s="19" t="str">
        <f t="shared" si="52"/>
        <v>June</v>
      </c>
      <c r="E655" s="3" t="s">
        <v>1271</v>
      </c>
      <c r="F655" s="3" t="str">
        <f>VLOOKUP(E655,Customers!$A$2:$I$1001,2,0)</f>
        <v>Almeria Burgett</v>
      </c>
      <c r="G655" s="3" t="str">
        <f>VLOOKUP(E655,Customers!$A$2:$I$1001,3,0)</f>
        <v>aburgetti5@moonfruit.com</v>
      </c>
      <c r="H655" s="3" t="str">
        <f>VLOOKUP(E655,Customers!$A$2:$I$1001,4,0)</f>
        <v>+1 (419) 372-4746</v>
      </c>
      <c r="I655" s="25" t="str">
        <f>VLOOKUP(E655,Customers!$A$2:$I$1001,6,0)</f>
        <v>Toledo</v>
      </c>
      <c r="J655" s="25" t="str">
        <f>VLOOKUP(E655,Customers!$A$2:$I$1001,7,0)</f>
        <v>United States</v>
      </c>
      <c r="K655" s="23" t="str">
        <f>VLOOKUP(E655,Customers!$A$2:$I$1001,9,0)</f>
        <v>No</v>
      </c>
      <c r="L655" s="4" t="s">
        <v>171</v>
      </c>
      <c r="M655" s="4" t="str">
        <f>VLOOKUP(L655,Products!$A$2:$G$49,2,0)</f>
        <v>Arabica</v>
      </c>
      <c r="N655" s="4" t="str">
        <f>VLOOKUP(L655,Products!$A$2:$G$49,3,0)</f>
        <v>Medium</v>
      </c>
      <c r="O655" s="25">
        <v>4</v>
      </c>
      <c r="P655" s="5">
        <f>INDEX([1]products!$A$1:$G$49,MATCH([1]orders!$D655,[1]products!$A$1:$A$49,0),MATCH([1]orders!K$1,[1]products!$A$1:$G$1,0))</f>
        <v>2.5</v>
      </c>
      <c r="Q655" s="6">
        <f>INDEX([1]products!$A$1:$G$49,MATCH([1]orders!$D655,[1]products!$A$1:$A$49,0),MATCH([1]orders!L$1,[1]products!$A$1:$G$1,0))</f>
        <v>25.874999999999996</v>
      </c>
      <c r="R655" s="6">
        <f t="shared" si="50"/>
        <v>103.49999999999999</v>
      </c>
      <c r="S655">
        <f>VLOOKUP(L655,Products!$A$2:$G$49,7,0)</f>
        <v>2.3287499999999994</v>
      </c>
      <c r="T655">
        <f t="shared" si="53"/>
        <v>9.3149999999999977</v>
      </c>
      <c r="U655" s="33">
        <f t="shared" si="54"/>
        <v>9</v>
      </c>
    </row>
    <row r="656" spans="1:21" x14ac:dyDescent="0.25">
      <c r="A656" s="1" t="s">
        <v>1272</v>
      </c>
      <c r="B656" s="28">
        <v>43476</v>
      </c>
      <c r="C656" s="21" t="str">
        <f t="shared" si="51"/>
        <v>2019</v>
      </c>
      <c r="D656" s="19" t="str">
        <f t="shared" si="52"/>
        <v>January</v>
      </c>
      <c r="E656" s="3" t="s">
        <v>1273</v>
      </c>
      <c r="F656" s="3" t="str">
        <f>VLOOKUP(E656,Customers!$A$2:$I$1001,2,0)</f>
        <v>Marvin Malloy</v>
      </c>
      <c r="G656" s="3" t="str">
        <f>VLOOKUP(E656,Customers!$A$2:$I$1001,3,0)</f>
        <v>mmalloyi6@seattletimes.com</v>
      </c>
      <c r="H656" s="3" t="str">
        <f>VLOOKUP(E656,Customers!$A$2:$I$1001,4,0)</f>
        <v>+1 (202) 284-7115</v>
      </c>
      <c r="I656" s="25" t="str">
        <f>VLOOKUP(E656,Customers!$A$2:$I$1001,6,0)</f>
        <v>Washington</v>
      </c>
      <c r="J656" s="25" t="str">
        <f>VLOOKUP(E656,Customers!$A$2:$I$1001,7,0)</f>
        <v>United States</v>
      </c>
      <c r="K656" s="23" t="str">
        <f>VLOOKUP(E656,Customers!$A$2:$I$1001,9,0)</f>
        <v>No</v>
      </c>
      <c r="L656" s="4" t="s">
        <v>118</v>
      </c>
      <c r="M656" s="4" t="str">
        <f>VLOOKUP(L656,Products!$A$2:$G$49,2,0)</f>
        <v>Arabica</v>
      </c>
      <c r="N656" s="4" t="str">
        <f>VLOOKUP(L656,Products!$A$2:$G$49,3,0)</f>
        <v>Dark</v>
      </c>
      <c r="O656" s="25">
        <v>3</v>
      </c>
      <c r="P656" s="5">
        <f>INDEX([1]products!$A$1:$G$49,MATCH([1]orders!$D656,[1]products!$A$1:$A$49,0),MATCH([1]orders!K$1,[1]products!$A$1:$G$1,0))</f>
        <v>2.5</v>
      </c>
      <c r="Q656" s="6">
        <f>INDEX([1]products!$A$1:$G$49,MATCH([1]orders!$D656,[1]products!$A$1:$A$49,0),MATCH([1]orders!L$1,[1]products!$A$1:$G$1,0))</f>
        <v>22.884999999999998</v>
      </c>
      <c r="R656" s="6">
        <f t="shared" si="50"/>
        <v>68.655000000000001</v>
      </c>
      <c r="S656">
        <f>VLOOKUP(L656,Products!$A$2:$G$49,7,0)</f>
        <v>2.0596499999999995</v>
      </c>
      <c r="T656">
        <f t="shared" si="53"/>
        <v>6.1789499999999986</v>
      </c>
      <c r="U656" s="33">
        <f t="shared" si="54"/>
        <v>8.9999999999999982</v>
      </c>
    </row>
    <row r="657" spans="1:21" x14ac:dyDescent="0.25">
      <c r="A657" s="1" t="s">
        <v>1274</v>
      </c>
      <c r="B657" s="28">
        <v>43728</v>
      </c>
      <c r="C657" s="21" t="str">
        <f t="shared" si="51"/>
        <v>2019</v>
      </c>
      <c r="D657" s="19" t="str">
        <f t="shared" si="52"/>
        <v>September</v>
      </c>
      <c r="E657" s="3" t="s">
        <v>1275</v>
      </c>
      <c r="F657" s="3" t="str">
        <f>VLOOKUP(E657,Customers!$A$2:$I$1001,2,0)</f>
        <v>Maxim McParland</v>
      </c>
      <c r="G657" s="3" t="str">
        <f>VLOOKUP(E657,Customers!$A$2:$I$1001,3,0)</f>
        <v>mmcparlandi7@w3.org</v>
      </c>
      <c r="H657" s="3" t="str">
        <f>VLOOKUP(E657,Customers!$A$2:$I$1001,4,0)</f>
        <v>UNKNOWN</v>
      </c>
      <c r="I657" s="25" t="str">
        <f>VLOOKUP(E657,Customers!$A$2:$I$1001,6,0)</f>
        <v>Cedar Rapids</v>
      </c>
      <c r="J657" s="25" t="str">
        <f>VLOOKUP(E657,Customers!$A$2:$I$1001,7,0)</f>
        <v>United States</v>
      </c>
      <c r="K657" s="23" t="str">
        <f>VLOOKUP(E657,Customers!$A$2:$I$1001,9,0)</f>
        <v>Yes</v>
      </c>
      <c r="L657" s="4" t="s">
        <v>41</v>
      </c>
      <c r="M657" s="4" t="str">
        <f>VLOOKUP(L657,Products!$A$2:$G$49,2,0)</f>
        <v>Robusta</v>
      </c>
      <c r="N657" s="4" t="str">
        <f>VLOOKUP(L657,Products!$A$2:$G$49,3,0)</f>
        <v>Medium</v>
      </c>
      <c r="O657" s="25">
        <v>2</v>
      </c>
      <c r="P657" s="5">
        <f>INDEX([1]products!$A$1:$G$49,MATCH([1]orders!$D657,[1]products!$A$1:$A$49,0),MATCH([1]orders!K$1,[1]products!$A$1:$G$1,0))</f>
        <v>2.5</v>
      </c>
      <c r="Q657" s="6">
        <f>INDEX([1]products!$A$1:$G$49,MATCH([1]orders!$D657,[1]products!$A$1:$A$49,0),MATCH([1]orders!L$1,[1]products!$A$1:$G$1,0))</f>
        <v>22.884999999999998</v>
      </c>
      <c r="R657" s="6">
        <f t="shared" si="50"/>
        <v>45.769999999999996</v>
      </c>
      <c r="S657">
        <f>VLOOKUP(L657,Products!$A$2:$G$49,7,0)</f>
        <v>1.3730999999999998</v>
      </c>
      <c r="T657">
        <f t="shared" si="53"/>
        <v>2.7461999999999995</v>
      </c>
      <c r="U657" s="33">
        <f t="shared" si="54"/>
        <v>6</v>
      </c>
    </row>
    <row r="658" spans="1:21" x14ac:dyDescent="0.25">
      <c r="A658" s="1" t="s">
        <v>1276</v>
      </c>
      <c r="B658" s="28">
        <v>44485</v>
      </c>
      <c r="C658" s="21" t="str">
        <f t="shared" si="51"/>
        <v>2021</v>
      </c>
      <c r="D658" s="19" t="str">
        <f t="shared" si="52"/>
        <v>October</v>
      </c>
      <c r="E658" s="3" t="s">
        <v>1277</v>
      </c>
      <c r="F658" s="3" t="str">
        <f>VLOOKUP(E658,Customers!$A$2:$I$1001,2,0)</f>
        <v>Sylas Jennaroy</v>
      </c>
      <c r="G658" s="3" t="str">
        <f>VLOOKUP(E658,Customers!$A$2:$I$1001,3,0)</f>
        <v>sjennaroyi8@purevolume.com</v>
      </c>
      <c r="H658" s="3" t="str">
        <f>VLOOKUP(E658,Customers!$A$2:$I$1001,4,0)</f>
        <v>UNKNOWN</v>
      </c>
      <c r="I658" s="25" t="str">
        <f>VLOOKUP(E658,Customers!$A$2:$I$1001,6,0)</f>
        <v>Aurora</v>
      </c>
      <c r="J658" s="25" t="str">
        <f>VLOOKUP(E658,Customers!$A$2:$I$1001,7,0)</f>
        <v>United States</v>
      </c>
      <c r="K658" s="23" t="str">
        <f>VLOOKUP(E658,Customers!$A$2:$I$1001,9,0)</f>
        <v>No</v>
      </c>
      <c r="L658" s="4" t="s">
        <v>13</v>
      </c>
      <c r="M658" s="4" t="str">
        <f>VLOOKUP(L658,Products!$A$2:$G$49,2,0)</f>
        <v>Liberica</v>
      </c>
      <c r="N658" s="4" t="str">
        <f>VLOOKUP(L658,Products!$A$2:$G$49,3,0)</f>
        <v>Dark</v>
      </c>
      <c r="O658" s="25">
        <v>4</v>
      </c>
      <c r="P658" s="5">
        <f>INDEX([1]products!$A$1:$G$49,MATCH([1]orders!$D658,[1]products!$A$1:$A$49,0),MATCH([1]orders!K$1,[1]products!$A$1:$G$1,0))</f>
        <v>1</v>
      </c>
      <c r="Q658" s="6">
        <f>INDEX([1]products!$A$1:$G$49,MATCH([1]orders!$D658,[1]products!$A$1:$A$49,0),MATCH([1]orders!L$1,[1]products!$A$1:$G$1,0))</f>
        <v>12.95</v>
      </c>
      <c r="R658" s="6">
        <f t="shared" si="50"/>
        <v>51.8</v>
      </c>
      <c r="S658">
        <f>VLOOKUP(L658,Products!$A$2:$G$49,7,0)</f>
        <v>1.6835</v>
      </c>
      <c r="T658">
        <f t="shared" si="53"/>
        <v>6.734</v>
      </c>
      <c r="U658" s="33">
        <f t="shared" si="54"/>
        <v>13</v>
      </c>
    </row>
    <row r="659" spans="1:21" x14ac:dyDescent="0.25">
      <c r="A659" s="1" t="s">
        <v>1278</v>
      </c>
      <c r="B659" s="28">
        <v>43831</v>
      </c>
      <c r="C659" s="21" t="str">
        <f t="shared" si="51"/>
        <v>2020</v>
      </c>
      <c r="D659" s="19" t="str">
        <f t="shared" si="52"/>
        <v>January</v>
      </c>
      <c r="E659" s="3" t="s">
        <v>1279</v>
      </c>
      <c r="F659" s="3" t="str">
        <f>VLOOKUP(E659,Customers!$A$2:$I$1001,2,0)</f>
        <v>Wren Place</v>
      </c>
      <c r="G659" s="3" t="str">
        <f>VLOOKUP(E659,Customers!$A$2:$I$1001,3,0)</f>
        <v>wplacei9@wsj.com</v>
      </c>
      <c r="H659" s="3" t="str">
        <f>VLOOKUP(E659,Customers!$A$2:$I$1001,4,0)</f>
        <v>+1 (408) 106-8863</v>
      </c>
      <c r="I659" s="25" t="str">
        <f>VLOOKUP(E659,Customers!$A$2:$I$1001,6,0)</f>
        <v>Sunnyvale</v>
      </c>
      <c r="J659" s="25" t="str">
        <f>VLOOKUP(E659,Customers!$A$2:$I$1001,7,0)</f>
        <v>United States</v>
      </c>
      <c r="K659" s="23" t="str">
        <f>VLOOKUP(E659,Customers!$A$2:$I$1001,9,0)</f>
        <v>Yes</v>
      </c>
      <c r="L659" s="4" t="s">
        <v>67</v>
      </c>
      <c r="M659" s="4" t="str">
        <f>VLOOKUP(L659,Products!$A$2:$G$49,2,0)</f>
        <v>Arabica</v>
      </c>
      <c r="N659" s="4" t="str">
        <f>VLOOKUP(L659,Products!$A$2:$G$49,3,0)</f>
        <v>Medium</v>
      </c>
      <c r="O659" s="25">
        <v>2</v>
      </c>
      <c r="P659" s="5">
        <f>INDEX([1]products!$A$1:$G$49,MATCH([1]orders!$D659,[1]products!$A$1:$A$49,0),MATCH([1]orders!K$1,[1]products!$A$1:$G$1,0))</f>
        <v>0.5</v>
      </c>
      <c r="Q659" s="6">
        <f>INDEX([1]products!$A$1:$G$49,MATCH([1]orders!$D659,[1]products!$A$1:$A$49,0),MATCH([1]orders!L$1,[1]products!$A$1:$G$1,0))</f>
        <v>6.75</v>
      </c>
      <c r="R659" s="6">
        <f t="shared" si="50"/>
        <v>13.5</v>
      </c>
      <c r="S659">
        <f>VLOOKUP(L659,Products!$A$2:$G$49,7,0)</f>
        <v>0.60749999999999993</v>
      </c>
      <c r="T659">
        <f t="shared" si="53"/>
        <v>1.2149999999999999</v>
      </c>
      <c r="U659" s="33">
        <f t="shared" si="54"/>
        <v>8.9999999999999982</v>
      </c>
    </row>
    <row r="660" spans="1:21" x14ac:dyDescent="0.25">
      <c r="A660" s="1" t="s">
        <v>1280</v>
      </c>
      <c r="B660" s="28">
        <v>44630</v>
      </c>
      <c r="C660" s="21" t="str">
        <f t="shared" si="51"/>
        <v>2022</v>
      </c>
      <c r="D660" s="19" t="str">
        <f t="shared" si="52"/>
        <v>March</v>
      </c>
      <c r="E660" s="3" t="s">
        <v>1281</v>
      </c>
      <c r="F660" s="3" t="str">
        <f>VLOOKUP(E660,Customers!$A$2:$I$1001,2,0)</f>
        <v>Janella Millett</v>
      </c>
      <c r="G660" s="3" t="str">
        <f>VLOOKUP(E660,Customers!$A$2:$I$1001,3,0)</f>
        <v>jmillettik@addtoany.com</v>
      </c>
      <c r="H660" s="3" t="str">
        <f>VLOOKUP(E660,Customers!$A$2:$I$1001,4,0)</f>
        <v>+1 (919) 302-3228</v>
      </c>
      <c r="I660" s="25" t="str">
        <f>VLOOKUP(E660,Customers!$A$2:$I$1001,6,0)</f>
        <v>Durham</v>
      </c>
      <c r="J660" s="25" t="str">
        <f>VLOOKUP(E660,Customers!$A$2:$I$1001,7,0)</f>
        <v>United States</v>
      </c>
      <c r="K660" s="23" t="str">
        <f>VLOOKUP(E660,Customers!$A$2:$I$1001,9,0)</f>
        <v>Yes</v>
      </c>
      <c r="L660" s="4" t="s">
        <v>3</v>
      </c>
      <c r="M660" s="4" t="str">
        <f>VLOOKUP(L660,Products!$A$2:$G$49,2,0)</f>
        <v>Excelsa</v>
      </c>
      <c r="N660" s="4" t="str">
        <f>VLOOKUP(L660,Products!$A$2:$G$49,3,0)</f>
        <v>Medium</v>
      </c>
      <c r="O660" s="25">
        <v>3</v>
      </c>
      <c r="P660" s="5">
        <f>INDEX([1]products!$A$1:$G$49,MATCH([1]orders!$D660,[1]products!$A$1:$A$49,0),MATCH([1]orders!K$1,[1]products!$A$1:$G$1,0))</f>
        <v>0.5</v>
      </c>
      <c r="Q660" s="6">
        <f>INDEX([1]products!$A$1:$G$49,MATCH([1]orders!$D660,[1]products!$A$1:$A$49,0),MATCH([1]orders!L$1,[1]products!$A$1:$G$1,0))</f>
        <v>8.25</v>
      </c>
      <c r="R660" s="6">
        <f t="shared" si="50"/>
        <v>24.75</v>
      </c>
      <c r="S660">
        <f>VLOOKUP(L660,Products!$A$2:$G$49,7,0)</f>
        <v>0.90749999999999997</v>
      </c>
      <c r="T660">
        <f t="shared" si="53"/>
        <v>2.7225000000000001</v>
      </c>
      <c r="U660" s="33">
        <f t="shared" si="54"/>
        <v>11</v>
      </c>
    </row>
    <row r="661" spans="1:21" x14ac:dyDescent="0.25">
      <c r="A661" s="1" t="s">
        <v>1282</v>
      </c>
      <c r="B661" s="28">
        <v>44693</v>
      </c>
      <c r="C661" s="21" t="str">
        <f t="shared" si="51"/>
        <v>2022</v>
      </c>
      <c r="D661" s="19" t="str">
        <f t="shared" si="52"/>
        <v>May</v>
      </c>
      <c r="E661" s="3" t="s">
        <v>1283</v>
      </c>
      <c r="F661" s="3" t="str">
        <f>VLOOKUP(E661,Customers!$A$2:$I$1001,2,0)</f>
        <v>Dollie Gadsden</v>
      </c>
      <c r="G661" s="3" t="str">
        <f>VLOOKUP(E661,Customers!$A$2:$I$1001,3,0)</f>
        <v>dgadsdenib@google.com.hk</v>
      </c>
      <c r="H661" s="3" t="str">
        <f>VLOOKUP(E661,Customers!$A$2:$I$1001,4,0)</f>
        <v>+353 (847) 447-7835</v>
      </c>
      <c r="I661" s="25" t="str">
        <f>VLOOKUP(E661,Customers!$A$2:$I$1001,6,0)</f>
        <v>Cluain Meala</v>
      </c>
      <c r="J661" s="25" t="str">
        <f>VLOOKUP(E661,Customers!$A$2:$I$1001,7,0)</f>
        <v>Ireland</v>
      </c>
      <c r="K661" s="23" t="str">
        <f>VLOOKUP(E661,Customers!$A$2:$I$1001,9,0)</f>
        <v>Yes</v>
      </c>
      <c r="L661" s="4" t="s">
        <v>118</v>
      </c>
      <c r="M661" s="4" t="str">
        <f>VLOOKUP(L661,Products!$A$2:$G$49,2,0)</f>
        <v>Arabica</v>
      </c>
      <c r="N661" s="4" t="str">
        <f>VLOOKUP(L661,Products!$A$2:$G$49,3,0)</f>
        <v>Dark</v>
      </c>
      <c r="O661" s="25">
        <v>2</v>
      </c>
      <c r="P661" s="5">
        <f>INDEX([1]products!$A$1:$G$49,MATCH([1]orders!$D661,[1]products!$A$1:$A$49,0),MATCH([1]orders!K$1,[1]products!$A$1:$G$1,0))</f>
        <v>2.5</v>
      </c>
      <c r="Q661" s="6">
        <f>INDEX([1]products!$A$1:$G$49,MATCH([1]orders!$D661,[1]products!$A$1:$A$49,0),MATCH([1]orders!L$1,[1]products!$A$1:$G$1,0))</f>
        <v>22.884999999999998</v>
      </c>
      <c r="R661" s="6">
        <f t="shared" si="50"/>
        <v>45.769999999999996</v>
      </c>
      <c r="S661">
        <f>VLOOKUP(L661,Products!$A$2:$G$49,7,0)</f>
        <v>2.0596499999999995</v>
      </c>
      <c r="T661">
        <f t="shared" si="53"/>
        <v>4.1192999999999991</v>
      </c>
      <c r="U661" s="33">
        <f t="shared" si="54"/>
        <v>8.9999999999999982</v>
      </c>
    </row>
    <row r="662" spans="1:21" x14ac:dyDescent="0.25">
      <c r="A662" s="1" t="s">
        <v>1284</v>
      </c>
      <c r="B662" s="28">
        <v>44084</v>
      </c>
      <c r="C662" s="21" t="str">
        <f t="shared" si="51"/>
        <v>2020</v>
      </c>
      <c r="D662" s="19" t="str">
        <f t="shared" si="52"/>
        <v>September</v>
      </c>
      <c r="E662" s="3" t="s">
        <v>1285</v>
      </c>
      <c r="F662" s="3" t="str">
        <f>VLOOKUP(E662,Customers!$A$2:$I$1001,2,0)</f>
        <v>Val Wakelin</v>
      </c>
      <c r="G662" s="3" t="str">
        <f>VLOOKUP(E662,Customers!$A$2:$I$1001,3,0)</f>
        <v>vwakelinic@unesco.org</v>
      </c>
      <c r="H662" s="3" t="str">
        <f>VLOOKUP(E662,Customers!$A$2:$I$1001,4,0)</f>
        <v>+1 (517) 163-7746</v>
      </c>
      <c r="I662" s="25" t="str">
        <f>VLOOKUP(E662,Customers!$A$2:$I$1001,6,0)</f>
        <v>Lansing</v>
      </c>
      <c r="J662" s="25" t="str">
        <f>VLOOKUP(E662,Customers!$A$2:$I$1001,7,0)</f>
        <v>United States</v>
      </c>
      <c r="K662" s="23" t="str">
        <f>VLOOKUP(E662,Customers!$A$2:$I$1001,9,0)</f>
        <v>No</v>
      </c>
      <c r="L662" s="4" t="s">
        <v>176</v>
      </c>
      <c r="M662" s="4" t="str">
        <f>VLOOKUP(L662,Products!$A$2:$G$49,2,0)</f>
        <v>Excelsa</v>
      </c>
      <c r="N662" s="4" t="str">
        <f>VLOOKUP(L662,Products!$A$2:$G$49,3,0)</f>
        <v>Light</v>
      </c>
      <c r="O662" s="25">
        <v>6</v>
      </c>
      <c r="P662" s="5">
        <f>INDEX([1]products!$A$1:$G$49,MATCH([1]orders!$D662,[1]products!$A$1:$A$49,0),MATCH([1]orders!K$1,[1]products!$A$1:$G$1,0))</f>
        <v>0.5</v>
      </c>
      <c r="Q662" s="6">
        <f>INDEX([1]products!$A$1:$G$49,MATCH([1]orders!$D662,[1]products!$A$1:$A$49,0),MATCH([1]orders!L$1,[1]products!$A$1:$G$1,0))</f>
        <v>8.91</v>
      </c>
      <c r="R662" s="6">
        <f t="shared" si="50"/>
        <v>53.46</v>
      </c>
      <c r="S662">
        <f>VLOOKUP(L662,Products!$A$2:$G$49,7,0)</f>
        <v>0.98009999999999997</v>
      </c>
      <c r="T662">
        <f t="shared" si="53"/>
        <v>5.8805999999999994</v>
      </c>
      <c r="U662" s="33">
        <f t="shared" si="54"/>
        <v>10.999999999999998</v>
      </c>
    </row>
    <row r="663" spans="1:21" x14ac:dyDescent="0.25">
      <c r="A663" s="1" t="s">
        <v>1286</v>
      </c>
      <c r="B663" s="28">
        <v>44485</v>
      </c>
      <c r="C663" s="21" t="str">
        <f t="shared" si="51"/>
        <v>2021</v>
      </c>
      <c r="D663" s="19" t="str">
        <f t="shared" si="52"/>
        <v>October</v>
      </c>
      <c r="E663" s="3" t="s">
        <v>1287</v>
      </c>
      <c r="F663" s="3" t="str">
        <f>VLOOKUP(E663,Customers!$A$2:$I$1001,2,0)</f>
        <v>Annie Campsall</v>
      </c>
      <c r="G663" s="3" t="str">
        <f>VLOOKUP(E663,Customers!$A$2:$I$1001,3,0)</f>
        <v>acampsallid@zimbio.com</v>
      </c>
      <c r="H663" s="3" t="str">
        <f>VLOOKUP(E663,Customers!$A$2:$I$1001,4,0)</f>
        <v>+1 (713) 339-5547</v>
      </c>
      <c r="I663" s="25" t="str">
        <f>VLOOKUP(E663,Customers!$A$2:$I$1001,6,0)</f>
        <v>Houston</v>
      </c>
      <c r="J663" s="25" t="str">
        <f>VLOOKUP(E663,Customers!$A$2:$I$1001,7,0)</f>
        <v>United States</v>
      </c>
      <c r="K663" s="23" t="str">
        <f>VLOOKUP(E663,Customers!$A$2:$I$1001,9,0)</f>
        <v>Yes</v>
      </c>
      <c r="L663" s="4" t="s">
        <v>44</v>
      </c>
      <c r="M663" s="4" t="str">
        <f>VLOOKUP(L663,Products!$A$2:$G$49,2,0)</f>
        <v>Arabica</v>
      </c>
      <c r="N663" s="4" t="str">
        <f>VLOOKUP(L663,Products!$A$2:$G$49,3,0)</f>
        <v>Medium</v>
      </c>
      <c r="O663" s="25">
        <v>6</v>
      </c>
      <c r="P663" s="5">
        <f>INDEX([1]products!$A$1:$G$49,MATCH([1]orders!$D663,[1]products!$A$1:$A$49,0),MATCH([1]orders!K$1,[1]products!$A$1:$G$1,0))</f>
        <v>0.2</v>
      </c>
      <c r="Q663" s="6">
        <f>INDEX([1]products!$A$1:$G$49,MATCH([1]orders!$D663,[1]products!$A$1:$A$49,0),MATCH([1]orders!L$1,[1]products!$A$1:$G$1,0))</f>
        <v>3.375</v>
      </c>
      <c r="R663" s="6">
        <f t="shared" si="50"/>
        <v>20.25</v>
      </c>
      <c r="S663">
        <f>VLOOKUP(L663,Products!$A$2:$G$49,7,0)</f>
        <v>0.30374999999999996</v>
      </c>
      <c r="T663">
        <f t="shared" si="53"/>
        <v>1.8224999999999998</v>
      </c>
      <c r="U663" s="33">
        <f t="shared" si="54"/>
        <v>8.9999999999999982</v>
      </c>
    </row>
    <row r="664" spans="1:21" x14ac:dyDescent="0.25">
      <c r="A664" s="1" t="s">
        <v>1288</v>
      </c>
      <c r="B664" s="28">
        <v>44364</v>
      </c>
      <c r="C664" s="21" t="str">
        <f t="shared" si="51"/>
        <v>2021</v>
      </c>
      <c r="D664" s="19" t="str">
        <f t="shared" si="52"/>
        <v>June</v>
      </c>
      <c r="E664" s="3" t="s">
        <v>1289</v>
      </c>
      <c r="F664" s="3" t="str">
        <f>VLOOKUP(E664,Customers!$A$2:$I$1001,2,0)</f>
        <v>Shermy Moseby</v>
      </c>
      <c r="G664" s="3" t="str">
        <f>VLOOKUP(E664,Customers!$A$2:$I$1001,3,0)</f>
        <v>smosebyie@stanford.edu</v>
      </c>
      <c r="H664" s="3" t="str">
        <f>VLOOKUP(E664,Customers!$A$2:$I$1001,4,0)</f>
        <v>UNKNOWN</v>
      </c>
      <c r="I664" s="25" t="str">
        <f>VLOOKUP(E664,Customers!$A$2:$I$1001,6,0)</f>
        <v>Murfreesboro</v>
      </c>
      <c r="J664" s="25" t="str">
        <f>VLOOKUP(E664,Customers!$A$2:$I$1001,7,0)</f>
        <v>United States</v>
      </c>
      <c r="K664" s="23" t="str">
        <f>VLOOKUP(E664,Customers!$A$2:$I$1001,9,0)</f>
        <v>No</v>
      </c>
      <c r="L664" s="4" t="s">
        <v>109</v>
      </c>
      <c r="M664" s="4" t="str">
        <f>VLOOKUP(L664,Products!$A$2:$G$49,2,0)</f>
        <v>Liberica</v>
      </c>
      <c r="N664" s="4" t="str">
        <f>VLOOKUP(L664,Products!$A$2:$G$49,3,0)</f>
        <v>Dark</v>
      </c>
      <c r="O664" s="25">
        <v>5</v>
      </c>
      <c r="P664" s="5">
        <f>INDEX([1]products!$A$1:$G$49,MATCH([1]orders!$D664,[1]products!$A$1:$A$49,0),MATCH([1]orders!K$1,[1]products!$A$1:$G$1,0))</f>
        <v>2.5</v>
      </c>
      <c r="Q664" s="6">
        <f>INDEX([1]products!$A$1:$G$49,MATCH([1]orders!$D664,[1]products!$A$1:$A$49,0),MATCH([1]orders!L$1,[1]products!$A$1:$G$1,0))</f>
        <v>29.784999999999997</v>
      </c>
      <c r="R664" s="6">
        <f t="shared" si="50"/>
        <v>148.92499999999998</v>
      </c>
      <c r="S664">
        <f>VLOOKUP(L664,Products!$A$2:$G$49,7,0)</f>
        <v>3.8720499999999998</v>
      </c>
      <c r="T664">
        <f t="shared" si="53"/>
        <v>19.360250000000001</v>
      </c>
      <c r="U664" s="33">
        <f t="shared" si="54"/>
        <v>13.000000000000004</v>
      </c>
    </row>
    <row r="665" spans="1:21" x14ac:dyDescent="0.25">
      <c r="A665" s="1" t="s">
        <v>1290</v>
      </c>
      <c r="B665" s="28">
        <v>43554</v>
      </c>
      <c r="C665" s="21" t="str">
        <f t="shared" si="51"/>
        <v>2019</v>
      </c>
      <c r="D665" s="19" t="str">
        <f t="shared" si="52"/>
        <v>March</v>
      </c>
      <c r="E665" s="3" t="s">
        <v>1291</v>
      </c>
      <c r="F665" s="3" t="str">
        <f>VLOOKUP(E665,Customers!$A$2:$I$1001,2,0)</f>
        <v>Corrie Wass</v>
      </c>
      <c r="G665" s="3" t="str">
        <f>VLOOKUP(E665,Customers!$A$2:$I$1001,3,0)</f>
        <v>cwassif@prweb.com</v>
      </c>
      <c r="H665" s="3" t="str">
        <f>VLOOKUP(E665,Customers!$A$2:$I$1001,4,0)</f>
        <v>UNKNOWN</v>
      </c>
      <c r="I665" s="25" t="str">
        <f>VLOOKUP(E665,Customers!$A$2:$I$1001,6,0)</f>
        <v>Charleston</v>
      </c>
      <c r="J665" s="25" t="str">
        <f>VLOOKUP(E665,Customers!$A$2:$I$1001,7,0)</f>
        <v>United States</v>
      </c>
      <c r="K665" s="23" t="str">
        <f>VLOOKUP(E665,Customers!$A$2:$I$1001,9,0)</f>
        <v>No</v>
      </c>
      <c r="L665" s="4" t="s">
        <v>61</v>
      </c>
      <c r="M665" s="4" t="str">
        <f>VLOOKUP(L665,Products!$A$2:$G$49,2,0)</f>
        <v>Arabica</v>
      </c>
      <c r="N665" s="4" t="str">
        <f>VLOOKUP(L665,Products!$A$2:$G$49,3,0)</f>
        <v>Medium</v>
      </c>
      <c r="O665" s="25">
        <v>6</v>
      </c>
      <c r="P665" s="5">
        <f>INDEX([1]products!$A$1:$G$49,MATCH([1]orders!$D665,[1]products!$A$1:$A$49,0),MATCH([1]orders!K$1,[1]products!$A$1:$G$1,0))</f>
        <v>1</v>
      </c>
      <c r="Q665" s="6">
        <f>INDEX([1]products!$A$1:$G$49,MATCH([1]orders!$D665,[1]products!$A$1:$A$49,0),MATCH([1]orders!L$1,[1]products!$A$1:$G$1,0))</f>
        <v>11.25</v>
      </c>
      <c r="R665" s="6">
        <f t="shared" si="50"/>
        <v>67.5</v>
      </c>
      <c r="S665">
        <f>VLOOKUP(L665,Products!$A$2:$G$49,7,0)</f>
        <v>1.0125</v>
      </c>
      <c r="T665">
        <f t="shared" si="53"/>
        <v>6.0749999999999993</v>
      </c>
      <c r="U665" s="33">
        <f t="shared" si="54"/>
        <v>8.9999999999999982</v>
      </c>
    </row>
    <row r="666" spans="1:21" x14ac:dyDescent="0.25">
      <c r="A666" s="1" t="s">
        <v>1292</v>
      </c>
      <c r="B666" s="28">
        <v>44549</v>
      </c>
      <c r="C666" s="21" t="str">
        <f t="shared" si="51"/>
        <v>2021</v>
      </c>
      <c r="D666" s="19" t="str">
        <f t="shared" si="52"/>
        <v>December</v>
      </c>
      <c r="E666" s="3" t="s">
        <v>1293</v>
      </c>
      <c r="F666" s="3" t="str">
        <f>VLOOKUP(E666,Customers!$A$2:$I$1001,2,0)</f>
        <v>Ira Sjostrom</v>
      </c>
      <c r="G666" s="3" t="str">
        <f>VLOOKUP(E666,Customers!$A$2:$I$1001,3,0)</f>
        <v>isjostromig@pbs.org</v>
      </c>
      <c r="H666" s="3" t="str">
        <f>VLOOKUP(E666,Customers!$A$2:$I$1001,4,0)</f>
        <v>+1 (814) 359-4610</v>
      </c>
      <c r="I666" s="25" t="str">
        <f>VLOOKUP(E666,Customers!$A$2:$I$1001,6,0)</f>
        <v>Erie</v>
      </c>
      <c r="J666" s="25" t="str">
        <f>VLOOKUP(E666,Customers!$A$2:$I$1001,7,0)</f>
        <v>United States</v>
      </c>
      <c r="K666" s="23" t="str">
        <f>VLOOKUP(E666,Customers!$A$2:$I$1001,9,0)</f>
        <v>No</v>
      </c>
      <c r="L666" s="4" t="s">
        <v>245</v>
      </c>
      <c r="M666" s="4" t="str">
        <f>VLOOKUP(L666,Products!$A$2:$G$49,2,0)</f>
        <v>Excelsa</v>
      </c>
      <c r="N666" s="4" t="str">
        <f>VLOOKUP(L666,Products!$A$2:$G$49,3,0)</f>
        <v>Dark</v>
      </c>
      <c r="O666" s="25">
        <v>6</v>
      </c>
      <c r="P666" s="5">
        <f>INDEX([1]products!$A$1:$G$49,MATCH([1]orders!$D666,[1]products!$A$1:$A$49,0),MATCH([1]orders!K$1,[1]products!$A$1:$G$1,0))</f>
        <v>1</v>
      </c>
      <c r="Q666" s="6">
        <f>INDEX([1]products!$A$1:$G$49,MATCH([1]orders!$D666,[1]products!$A$1:$A$49,0),MATCH([1]orders!L$1,[1]products!$A$1:$G$1,0))</f>
        <v>12.15</v>
      </c>
      <c r="R666" s="6">
        <f t="shared" si="50"/>
        <v>72.900000000000006</v>
      </c>
      <c r="S666">
        <f>VLOOKUP(L666,Products!$A$2:$G$49,7,0)</f>
        <v>1.3365</v>
      </c>
      <c r="T666">
        <f t="shared" si="53"/>
        <v>8.0190000000000001</v>
      </c>
      <c r="U666" s="33">
        <f t="shared" si="54"/>
        <v>10.999999999999998</v>
      </c>
    </row>
    <row r="667" spans="1:21" x14ac:dyDescent="0.25">
      <c r="A667" s="1" t="s">
        <v>1292</v>
      </c>
      <c r="B667" s="28">
        <v>44549</v>
      </c>
      <c r="C667" s="21" t="str">
        <f t="shared" si="51"/>
        <v>2021</v>
      </c>
      <c r="D667" s="19" t="str">
        <f t="shared" si="52"/>
        <v>December</v>
      </c>
      <c r="E667" s="3" t="s">
        <v>1293</v>
      </c>
      <c r="F667" s="3" t="str">
        <f>VLOOKUP(E667,Customers!$A$2:$I$1001,2,0)</f>
        <v>Ira Sjostrom</v>
      </c>
      <c r="G667" s="3" t="str">
        <f>VLOOKUP(E667,Customers!$A$2:$I$1001,3,0)</f>
        <v>isjostromig@pbs.org</v>
      </c>
      <c r="H667" s="3" t="str">
        <f>VLOOKUP(E667,Customers!$A$2:$I$1001,4,0)</f>
        <v>+1 (814) 359-4610</v>
      </c>
      <c r="I667" s="25" t="str">
        <f>VLOOKUP(E667,Customers!$A$2:$I$1001,6,0)</f>
        <v>Erie</v>
      </c>
      <c r="J667" s="25" t="str">
        <f>VLOOKUP(E667,Customers!$A$2:$I$1001,7,0)</f>
        <v>United States</v>
      </c>
      <c r="K667" s="23" t="str">
        <f>VLOOKUP(E667,Customers!$A$2:$I$1001,9,0)</f>
        <v>No</v>
      </c>
      <c r="L667" s="4" t="s">
        <v>38</v>
      </c>
      <c r="M667" s="4" t="str">
        <f>VLOOKUP(L667,Products!$A$2:$G$49,2,0)</f>
        <v>Liberica</v>
      </c>
      <c r="N667" s="4" t="str">
        <f>VLOOKUP(L667,Products!$A$2:$G$49,3,0)</f>
        <v>Dark</v>
      </c>
      <c r="O667" s="25">
        <v>2</v>
      </c>
      <c r="P667" s="5">
        <f>INDEX([1]products!$A$1:$G$49,MATCH([1]orders!$D667,[1]products!$A$1:$A$49,0),MATCH([1]orders!K$1,[1]products!$A$1:$G$1,0))</f>
        <v>0.2</v>
      </c>
      <c r="Q667" s="6">
        <f>INDEX([1]products!$A$1:$G$49,MATCH([1]orders!$D667,[1]products!$A$1:$A$49,0),MATCH([1]orders!L$1,[1]products!$A$1:$G$1,0))</f>
        <v>3.8849999999999998</v>
      </c>
      <c r="R667" s="6">
        <f t="shared" si="50"/>
        <v>7.77</v>
      </c>
      <c r="S667">
        <f>VLOOKUP(L667,Products!$A$2:$G$49,7,0)</f>
        <v>0.50505</v>
      </c>
      <c r="T667">
        <f t="shared" si="53"/>
        <v>1.0101</v>
      </c>
      <c r="U667" s="33">
        <f t="shared" si="54"/>
        <v>13</v>
      </c>
    </row>
    <row r="668" spans="1:21" x14ac:dyDescent="0.25">
      <c r="A668" s="1" t="s">
        <v>1294</v>
      </c>
      <c r="B668" s="28">
        <v>43987</v>
      </c>
      <c r="C668" s="21" t="str">
        <f t="shared" si="51"/>
        <v>2020</v>
      </c>
      <c r="D668" s="19" t="str">
        <f t="shared" si="52"/>
        <v>June</v>
      </c>
      <c r="E668" s="3" t="s">
        <v>1295</v>
      </c>
      <c r="F668" s="3" t="str">
        <f>VLOOKUP(E668,Customers!$A$2:$I$1001,2,0)</f>
        <v>Jermaine Branchett</v>
      </c>
      <c r="G668" s="3" t="str">
        <f>VLOOKUP(E668,Customers!$A$2:$I$1001,3,0)</f>
        <v>jbranchettii@bravesites.com</v>
      </c>
      <c r="H668" s="3" t="str">
        <f>VLOOKUP(E668,Customers!$A$2:$I$1001,4,0)</f>
        <v>+1 (806) 376-6144</v>
      </c>
      <c r="I668" s="25" t="str">
        <f>VLOOKUP(E668,Customers!$A$2:$I$1001,6,0)</f>
        <v>Lubbock</v>
      </c>
      <c r="J668" s="25" t="str">
        <f>VLOOKUP(E668,Customers!$A$2:$I$1001,7,0)</f>
        <v>United States</v>
      </c>
      <c r="K668" s="23" t="str">
        <f>VLOOKUP(E668,Customers!$A$2:$I$1001,9,0)</f>
        <v>No</v>
      </c>
      <c r="L668" s="4" t="s">
        <v>118</v>
      </c>
      <c r="M668" s="4" t="str">
        <f>VLOOKUP(L668,Products!$A$2:$G$49,2,0)</f>
        <v>Arabica</v>
      </c>
      <c r="N668" s="4" t="str">
        <f>VLOOKUP(L668,Products!$A$2:$G$49,3,0)</f>
        <v>Dark</v>
      </c>
      <c r="O668" s="25">
        <v>4</v>
      </c>
      <c r="P668" s="5">
        <f>INDEX([1]products!$A$1:$G$49,MATCH([1]orders!$D668,[1]products!$A$1:$A$49,0),MATCH([1]orders!K$1,[1]products!$A$1:$G$1,0))</f>
        <v>2.5</v>
      </c>
      <c r="Q668" s="6">
        <f>INDEX([1]products!$A$1:$G$49,MATCH([1]orders!$D668,[1]products!$A$1:$A$49,0),MATCH([1]orders!L$1,[1]products!$A$1:$G$1,0))</f>
        <v>22.884999999999998</v>
      </c>
      <c r="R668" s="6">
        <f t="shared" si="50"/>
        <v>91.539999999999992</v>
      </c>
      <c r="S668">
        <f>VLOOKUP(L668,Products!$A$2:$G$49,7,0)</f>
        <v>2.0596499999999995</v>
      </c>
      <c r="T668">
        <f t="shared" si="53"/>
        <v>8.2385999999999981</v>
      </c>
      <c r="U668" s="33">
        <f t="shared" si="54"/>
        <v>8.9999999999999982</v>
      </c>
    </row>
    <row r="669" spans="1:21" x14ac:dyDescent="0.25">
      <c r="A669" s="1" t="s">
        <v>1296</v>
      </c>
      <c r="B669" s="28">
        <v>44451</v>
      </c>
      <c r="C669" s="21" t="str">
        <f t="shared" si="51"/>
        <v>2021</v>
      </c>
      <c r="D669" s="19" t="str">
        <f t="shared" si="52"/>
        <v>September</v>
      </c>
      <c r="E669" s="3" t="s">
        <v>1297</v>
      </c>
      <c r="F669" s="3" t="str">
        <f>VLOOKUP(E669,Customers!$A$2:$I$1001,2,0)</f>
        <v>Nissie Rudland</v>
      </c>
      <c r="G669" s="3" t="str">
        <f>VLOOKUP(E669,Customers!$A$2:$I$1001,3,0)</f>
        <v>nrudlandij@blogs.com</v>
      </c>
      <c r="H669" s="3" t="str">
        <f>VLOOKUP(E669,Customers!$A$2:$I$1001,4,0)</f>
        <v>+353 (445) 224-6111</v>
      </c>
      <c r="I669" s="25" t="str">
        <f>VLOOKUP(E669,Customers!$A$2:$I$1001,6,0)</f>
        <v>Gorey</v>
      </c>
      <c r="J669" s="25" t="str">
        <f>VLOOKUP(E669,Customers!$A$2:$I$1001,7,0)</f>
        <v>Ireland</v>
      </c>
      <c r="K669" s="23" t="str">
        <f>VLOOKUP(E669,Customers!$A$2:$I$1001,9,0)</f>
        <v>No</v>
      </c>
      <c r="L669" s="4" t="s">
        <v>27</v>
      </c>
      <c r="M669" s="4" t="str">
        <f>VLOOKUP(L669,Products!$A$2:$G$49,2,0)</f>
        <v>Arabica</v>
      </c>
      <c r="N669" s="4" t="str">
        <f>VLOOKUP(L669,Products!$A$2:$G$49,3,0)</f>
        <v>Dark</v>
      </c>
      <c r="O669" s="25">
        <v>6</v>
      </c>
      <c r="P669" s="5">
        <f>INDEX([1]products!$A$1:$G$49,MATCH([1]orders!$D669,[1]products!$A$1:$A$49,0),MATCH([1]orders!K$1,[1]products!$A$1:$G$1,0))</f>
        <v>1</v>
      </c>
      <c r="Q669" s="6">
        <f>INDEX([1]products!$A$1:$G$49,MATCH([1]orders!$D669,[1]products!$A$1:$A$49,0),MATCH([1]orders!L$1,[1]products!$A$1:$G$1,0))</f>
        <v>9.9499999999999993</v>
      </c>
      <c r="R669" s="6">
        <f t="shared" si="50"/>
        <v>59.699999999999996</v>
      </c>
      <c r="S669">
        <f>VLOOKUP(L669,Products!$A$2:$G$49,7,0)</f>
        <v>0.89549999999999985</v>
      </c>
      <c r="T669">
        <f t="shared" si="53"/>
        <v>5.3729999999999993</v>
      </c>
      <c r="U669" s="33">
        <f t="shared" si="54"/>
        <v>9</v>
      </c>
    </row>
    <row r="670" spans="1:21" x14ac:dyDescent="0.25">
      <c r="A670" s="1" t="s">
        <v>1298</v>
      </c>
      <c r="B670" s="28">
        <v>44636</v>
      </c>
      <c r="C670" s="21" t="str">
        <f t="shared" si="51"/>
        <v>2022</v>
      </c>
      <c r="D670" s="19" t="str">
        <f t="shared" si="52"/>
        <v>March</v>
      </c>
      <c r="E670" s="3" t="s">
        <v>1281</v>
      </c>
      <c r="F670" s="3" t="str">
        <f>VLOOKUP(E670,Customers!$A$2:$I$1001,2,0)</f>
        <v>Janella Millett</v>
      </c>
      <c r="G670" s="3" t="str">
        <f>VLOOKUP(E670,Customers!$A$2:$I$1001,3,0)</f>
        <v>jmillettik@addtoany.com</v>
      </c>
      <c r="H670" s="3" t="str">
        <f>VLOOKUP(E670,Customers!$A$2:$I$1001,4,0)</f>
        <v>+1 (919) 302-3228</v>
      </c>
      <c r="I670" s="25" t="str">
        <f>VLOOKUP(E670,Customers!$A$2:$I$1001,6,0)</f>
        <v>Durham</v>
      </c>
      <c r="J670" s="25" t="str">
        <f>VLOOKUP(E670,Customers!$A$2:$I$1001,7,0)</f>
        <v>United States</v>
      </c>
      <c r="K670" s="23" t="str">
        <f>VLOOKUP(E670,Customers!$A$2:$I$1001,9,0)</f>
        <v>Yes</v>
      </c>
      <c r="L670" s="4" t="s">
        <v>10</v>
      </c>
      <c r="M670" s="4" t="str">
        <f>VLOOKUP(L670,Products!$A$2:$G$49,2,0)</f>
        <v>Robusta</v>
      </c>
      <c r="N670" s="4" t="str">
        <f>VLOOKUP(L670,Products!$A$2:$G$49,3,0)</f>
        <v>Light</v>
      </c>
      <c r="O670" s="25">
        <v>5</v>
      </c>
      <c r="P670" s="5">
        <f>INDEX([1]products!$A$1:$G$49,MATCH([1]orders!$D670,[1]products!$A$1:$A$49,0),MATCH([1]orders!K$1,[1]products!$A$1:$G$1,0))</f>
        <v>2.5</v>
      </c>
      <c r="Q670" s="6">
        <f>INDEX([1]products!$A$1:$G$49,MATCH([1]orders!$D670,[1]products!$A$1:$A$49,0),MATCH([1]orders!L$1,[1]products!$A$1:$G$1,0))</f>
        <v>27.484999999999996</v>
      </c>
      <c r="R670" s="6">
        <f t="shared" si="50"/>
        <v>137.42499999999998</v>
      </c>
      <c r="S670">
        <f>VLOOKUP(L670,Products!$A$2:$G$49,7,0)</f>
        <v>1.6490999999999998</v>
      </c>
      <c r="T670">
        <f t="shared" si="53"/>
        <v>8.2454999999999998</v>
      </c>
      <c r="U670" s="33">
        <f t="shared" si="54"/>
        <v>6.0000000000000009</v>
      </c>
    </row>
    <row r="671" spans="1:21" x14ac:dyDescent="0.25">
      <c r="A671" s="1" t="s">
        <v>1299</v>
      </c>
      <c r="B671" s="28">
        <v>44551</v>
      </c>
      <c r="C671" s="21" t="str">
        <f t="shared" si="51"/>
        <v>2021</v>
      </c>
      <c r="D671" s="19" t="str">
        <f t="shared" si="52"/>
        <v>December</v>
      </c>
      <c r="E671" s="3" t="s">
        <v>1300</v>
      </c>
      <c r="F671" s="3" t="str">
        <f>VLOOKUP(E671,Customers!$A$2:$I$1001,2,0)</f>
        <v>Ferdie Tourry</v>
      </c>
      <c r="G671" s="3" t="str">
        <f>VLOOKUP(E671,Customers!$A$2:$I$1001,3,0)</f>
        <v>ftourryil@google.de</v>
      </c>
      <c r="H671" s="3" t="str">
        <f>VLOOKUP(E671,Customers!$A$2:$I$1001,4,0)</f>
        <v>+1 (843) 243-1686</v>
      </c>
      <c r="I671" s="25" t="str">
        <f>VLOOKUP(E671,Customers!$A$2:$I$1001,6,0)</f>
        <v>Florence</v>
      </c>
      <c r="J671" s="25" t="str">
        <f>VLOOKUP(E671,Customers!$A$2:$I$1001,7,0)</f>
        <v>United States</v>
      </c>
      <c r="K671" s="23" t="str">
        <f>VLOOKUP(E671,Customers!$A$2:$I$1001,9,0)</f>
        <v>No</v>
      </c>
      <c r="L671" s="4" t="s">
        <v>197</v>
      </c>
      <c r="M671" s="4" t="str">
        <f>VLOOKUP(L671,Products!$A$2:$G$49,2,0)</f>
        <v>Liberica</v>
      </c>
      <c r="N671" s="4" t="str">
        <f>VLOOKUP(L671,Products!$A$2:$G$49,3,0)</f>
        <v>Medium</v>
      </c>
      <c r="O671" s="25">
        <v>2</v>
      </c>
      <c r="P671" s="5">
        <f>INDEX([1]products!$A$1:$G$49,MATCH([1]orders!$D671,[1]products!$A$1:$A$49,0),MATCH([1]orders!K$1,[1]products!$A$1:$G$1,0))</f>
        <v>2.5</v>
      </c>
      <c r="Q671" s="6">
        <f>INDEX([1]products!$A$1:$G$49,MATCH([1]orders!$D671,[1]products!$A$1:$A$49,0),MATCH([1]orders!L$1,[1]products!$A$1:$G$1,0))</f>
        <v>33.464999999999996</v>
      </c>
      <c r="R671" s="6">
        <f t="shared" si="50"/>
        <v>66.929999999999993</v>
      </c>
      <c r="S671">
        <f>VLOOKUP(L671,Products!$A$2:$G$49,7,0)</f>
        <v>4.3504499999999995</v>
      </c>
      <c r="T671">
        <f t="shared" si="53"/>
        <v>8.700899999999999</v>
      </c>
      <c r="U671" s="33">
        <f t="shared" si="54"/>
        <v>13</v>
      </c>
    </row>
    <row r="672" spans="1:21" x14ac:dyDescent="0.25">
      <c r="A672" s="1" t="s">
        <v>1301</v>
      </c>
      <c r="B672" s="28">
        <v>43606</v>
      </c>
      <c r="C672" s="21" t="str">
        <f t="shared" si="51"/>
        <v>2019</v>
      </c>
      <c r="D672" s="19" t="str">
        <f t="shared" si="52"/>
        <v>May</v>
      </c>
      <c r="E672" s="3" t="s">
        <v>1302</v>
      </c>
      <c r="F672" s="3" t="str">
        <f>VLOOKUP(E672,Customers!$A$2:$I$1001,2,0)</f>
        <v>Cecil Weatherall</v>
      </c>
      <c r="G672" s="3" t="str">
        <f>VLOOKUP(E672,Customers!$A$2:$I$1001,3,0)</f>
        <v>cweatherallim@toplist.cz</v>
      </c>
      <c r="H672" s="3" t="str">
        <f>VLOOKUP(E672,Customers!$A$2:$I$1001,4,0)</f>
        <v>+1 (315) 335-0182</v>
      </c>
      <c r="I672" s="25" t="str">
        <f>VLOOKUP(E672,Customers!$A$2:$I$1001,6,0)</f>
        <v>Syracuse</v>
      </c>
      <c r="J672" s="25" t="str">
        <f>VLOOKUP(E672,Customers!$A$2:$I$1001,7,0)</f>
        <v>United States</v>
      </c>
      <c r="K672" s="23" t="str">
        <f>VLOOKUP(E672,Customers!$A$2:$I$1001,9,0)</f>
        <v>Yes</v>
      </c>
      <c r="L672" s="4" t="s">
        <v>77</v>
      </c>
      <c r="M672" s="4" t="str">
        <f>VLOOKUP(L672,Products!$A$2:$G$49,2,0)</f>
        <v>Liberica</v>
      </c>
      <c r="N672" s="4" t="str">
        <f>VLOOKUP(L672,Products!$A$2:$G$49,3,0)</f>
        <v>Medium</v>
      </c>
      <c r="O672" s="25">
        <v>3</v>
      </c>
      <c r="P672" s="5">
        <f>INDEX([1]products!$A$1:$G$49,MATCH([1]orders!$D672,[1]products!$A$1:$A$49,0),MATCH([1]orders!K$1,[1]products!$A$1:$G$1,0))</f>
        <v>0.2</v>
      </c>
      <c r="Q672" s="6">
        <f>INDEX([1]products!$A$1:$G$49,MATCH([1]orders!$D672,[1]products!$A$1:$A$49,0),MATCH([1]orders!L$1,[1]products!$A$1:$G$1,0))</f>
        <v>4.3650000000000002</v>
      </c>
      <c r="R672" s="6">
        <f t="shared" si="50"/>
        <v>13.095000000000001</v>
      </c>
      <c r="S672">
        <f>VLOOKUP(L672,Products!$A$2:$G$49,7,0)</f>
        <v>0.56745000000000001</v>
      </c>
      <c r="T672">
        <f t="shared" si="53"/>
        <v>1.70235</v>
      </c>
      <c r="U672" s="33">
        <f t="shared" si="54"/>
        <v>13</v>
      </c>
    </row>
    <row r="673" spans="1:21" x14ac:dyDescent="0.25">
      <c r="A673" s="1" t="s">
        <v>1303</v>
      </c>
      <c r="B673" s="28">
        <v>44495</v>
      </c>
      <c r="C673" s="21" t="str">
        <f t="shared" si="51"/>
        <v>2021</v>
      </c>
      <c r="D673" s="19" t="str">
        <f t="shared" si="52"/>
        <v>October</v>
      </c>
      <c r="E673" s="3" t="s">
        <v>1304</v>
      </c>
      <c r="F673" s="3" t="str">
        <f>VLOOKUP(E673,Customers!$A$2:$I$1001,2,0)</f>
        <v>Gale Heindrick</v>
      </c>
      <c r="G673" s="3" t="str">
        <f>VLOOKUP(E673,Customers!$A$2:$I$1001,3,0)</f>
        <v>gheindrickin@usda.gov</v>
      </c>
      <c r="H673" s="3" t="str">
        <f>VLOOKUP(E673,Customers!$A$2:$I$1001,4,0)</f>
        <v>+1 (229) 111-7292</v>
      </c>
      <c r="I673" s="25" t="str">
        <f>VLOOKUP(E673,Customers!$A$2:$I$1001,6,0)</f>
        <v>Lawrenceville</v>
      </c>
      <c r="J673" s="25" t="str">
        <f>VLOOKUP(E673,Customers!$A$2:$I$1001,7,0)</f>
        <v>United States</v>
      </c>
      <c r="K673" s="23" t="str">
        <f>VLOOKUP(E673,Customers!$A$2:$I$1001,9,0)</f>
        <v>No</v>
      </c>
      <c r="L673" s="4" t="s">
        <v>189</v>
      </c>
      <c r="M673" s="4" t="str">
        <f>VLOOKUP(L673,Products!$A$2:$G$49,2,0)</f>
        <v>Robusta</v>
      </c>
      <c r="N673" s="4" t="str">
        <f>VLOOKUP(L673,Products!$A$2:$G$49,3,0)</f>
        <v>Light</v>
      </c>
      <c r="O673" s="25">
        <v>5</v>
      </c>
      <c r="P673" s="5">
        <f>INDEX([1]products!$A$1:$G$49,MATCH([1]orders!$D673,[1]products!$A$1:$A$49,0),MATCH([1]orders!K$1,[1]products!$A$1:$G$1,0))</f>
        <v>1</v>
      </c>
      <c r="Q673" s="6">
        <f>INDEX([1]products!$A$1:$G$49,MATCH([1]orders!$D673,[1]products!$A$1:$A$49,0),MATCH([1]orders!L$1,[1]products!$A$1:$G$1,0))</f>
        <v>11.95</v>
      </c>
      <c r="R673" s="6">
        <f t="shared" si="50"/>
        <v>59.75</v>
      </c>
      <c r="S673">
        <f>VLOOKUP(L673,Products!$A$2:$G$49,7,0)</f>
        <v>0.71699999999999997</v>
      </c>
      <c r="T673">
        <f t="shared" si="53"/>
        <v>3.585</v>
      </c>
      <c r="U673" s="33">
        <f t="shared" si="54"/>
        <v>6</v>
      </c>
    </row>
    <row r="674" spans="1:21" x14ac:dyDescent="0.25">
      <c r="A674" s="1" t="s">
        <v>1305</v>
      </c>
      <c r="B674" s="28">
        <v>43916</v>
      </c>
      <c r="C674" s="21" t="str">
        <f t="shared" si="51"/>
        <v>2020</v>
      </c>
      <c r="D674" s="19" t="str">
        <f t="shared" si="52"/>
        <v>March</v>
      </c>
      <c r="E674" s="3" t="s">
        <v>1306</v>
      </c>
      <c r="F674" s="3" t="str">
        <f>VLOOKUP(E674,Customers!$A$2:$I$1001,2,0)</f>
        <v>Layne Imason</v>
      </c>
      <c r="G674" s="3" t="str">
        <f>VLOOKUP(E674,Customers!$A$2:$I$1001,3,0)</f>
        <v>limasonio@discuz.net</v>
      </c>
      <c r="H674" s="3" t="str">
        <f>VLOOKUP(E674,Customers!$A$2:$I$1001,4,0)</f>
        <v>UNKNOWN</v>
      </c>
      <c r="I674" s="25" t="str">
        <f>VLOOKUP(E674,Customers!$A$2:$I$1001,6,0)</f>
        <v>Houston</v>
      </c>
      <c r="J674" s="25" t="str">
        <f>VLOOKUP(E674,Customers!$A$2:$I$1001,7,0)</f>
        <v>United States</v>
      </c>
      <c r="K674" s="23" t="str">
        <f>VLOOKUP(E674,Customers!$A$2:$I$1001,9,0)</f>
        <v>Yes</v>
      </c>
      <c r="L674" s="4" t="s">
        <v>78</v>
      </c>
      <c r="M674" s="4" t="str">
        <f>VLOOKUP(L674,Products!$A$2:$G$49,2,0)</f>
        <v>Liberica</v>
      </c>
      <c r="N674" s="4" t="str">
        <f>VLOOKUP(L674,Products!$A$2:$G$49,3,0)</f>
        <v>Medium</v>
      </c>
      <c r="O674" s="25">
        <v>5</v>
      </c>
      <c r="P674" s="5">
        <f>INDEX([1]products!$A$1:$G$49,MATCH([1]orders!$D674,[1]products!$A$1:$A$49,0),MATCH([1]orders!K$1,[1]products!$A$1:$G$1,0))</f>
        <v>0.5</v>
      </c>
      <c r="Q674" s="6">
        <f>INDEX([1]products!$A$1:$G$49,MATCH([1]orders!$D674,[1]products!$A$1:$A$49,0),MATCH([1]orders!L$1,[1]products!$A$1:$G$1,0))</f>
        <v>8.73</v>
      </c>
      <c r="R674" s="6">
        <f t="shared" si="50"/>
        <v>43.650000000000006</v>
      </c>
      <c r="S674">
        <f>VLOOKUP(L674,Products!$A$2:$G$49,7,0)</f>
        <v>1.1349</v>
      </c>
      <c r="T674">
        <f t="shared" si="53"/>
        <v>5.6745000000000001</v>
      </c>
      <c r="U674" s="33">
        <f t="shared" si="54"/>
        <v>12.999999999999998</v>
      </c>
    </row>
    <row r="675" spans="1:21" x14ac:dyDescent="0.25">
      <c r="A675" s="1" t="s">
        <v>1307</v>
      </c>
      <c r="B675" s="28">
        <v>44118</v>
      </c>
      <c r="C675" s="21" t="str">
        <f t="shared" si="51"/>
        <v>2020</v>
      </c>
      <c r="D675" s="19" t="str">
        <f t="shared" si="52"/>
        <v>October</v>
      </c>
      <c r="E675" s="3" t="s">
        <v>1308</v>
      </c>
      <c r="F675" s="3" t="str">
        <f>VLOOKUP(E675,Customers!$A$2:$I$1001,2,0)</f>
        <v>Hazel Saill</v>
      </c>
      <c r="G675" s="3" t="str">
        <f>VLOOKUP(E675,Customers!$A$2:$I$1001,3,0)</f>
        <v>hsaillip@odnoklassniki.ru</v>
      </c>
      <c r="H675" s="3" t="str">
        <f>VLOOKUP(E675,Customers!$A$2:$I$1001,4,0)</f>
        <v>+1 (913) 968-8024</v>
      </c>
      <c r="I675" s="25" t="str">
        <f>VLOOKUP(E675,Customers!$A$2:$I$1001,6,0)</f>
        <v>Kansas City</v>
      </c>
      <c r="J675" s="25" t="str">
        <f>VLOOKUP(E675,Customers!$A$2:$I$1001,7,0)</f>
        <v>United States</v>
      </c>
      <c r="K675" s="23" t="str">
        <f>VLOOKUP(E675,Customers!$A$2:$I$1001,9,0)</f>
        <v>Yes</v>
      </c>
      <c r="L675" s="4" t="s">
        <v>9</v>
      </c>
      <c r="M675" s="4" t="str">
        <f>VLOOKUP(L675,Products!$A$2:$G$49,2,0)</f>
        <v>Excelsa</v>
      </c>
      <c r="N675" s="4" t="str">
        <f>VLOOKUP(L675,Products!$A$2:$G$49,3,0)</f>
        <v>Medium</v>
      </c>
      <c r="O675" s="25">
        <v>6</v>
      </c>
      <c r="P675" s="5">
        <f>INDEX([1]products!$A$1:$G$49,MATCH([1]orders!$D675,[1]products!$A$1:$A$49,0),MATCH([1]orders!K$1,[1]products!$A$1:$G$1,0))</f>
        <v>1</v>
      </c>
      <c r="Q675" s="6">
        <f>INDEX([1]products!$A$1:$G$49,MATCH([1]orders!$D675,[1]products!$A$1:$A$49,0),MATCH([1]orders!L$1,[1]products!$A$1:$G$1,0))</f>
        <v>13.75</v>
      </c>
      <c r="R675" s="6">
        <f t="shared" si="50"/>
        <v>82.5</v>
      </c>
      <c r="S675">
        <f>VLOOKUP(L675,Products!$A$2:$G$49,7,0)</f>
        <v>1.5125</v>
      </c>
      <c r="T675">
        <f t="shared" si="53"/>
        <v>9.0749999999999993</v>
      </c>
      <c r="U675" s="33">
        <f t="shared" si="54"/>
        <v>10.999999999999998</v>
      </c>
    </row>
    <row r="676" spans="1:21" x14ac:dyDescent="0.25">
      <c r="A676" s="1" t="s">
        <v>1309</v>
      </c>
      <c r="B676" s="28">
        <v>44543</v>
      </c>
      <c r="C676" s="21" t="str">
        <f t="shared" si="51"/>
        <v>2021</v>
      </c>
      <c r="D676" s="19" t="str">
        <f t="shared" si="52"/>
        <v>December</v>
      </c>
      <c r="E676" s="3" t="s">
        <v>1310</v>
      </c>
      <c r="F676" s="3" t="str">
        <f>VLOOKUP(E676,Customers!$A$2:$I$1001,2,0)</f>
        <v>Hermann Larvor</v>
      </c>
      <c r="G676" s="3" t="str">
        <f>VLOOKUP(E676,Customers!$A$2:$I$1001,3,0)</f>
        <v>hlarvoriq@last.fm</v>
      </c>
      <c r="H676" s="3" t="str">
        <f>VLOOKUP(E676,Customers!$A$2:$I$1001,4,0)</f>
        <v>+1 (941) 779-2195</v>
      </c>
      <c r="I676" s="25" t="str">
        <f>VLOOKUP(E676,Customers!$A$2:$I$1001,6,0)</f>
        <v>Bradenton</v>
      </c>
      <c r="J676" s="25" t="str">
        <f>VLOOKUP(E676,Customers!$A$2:$I$1001,7,0)</f>
        <v>United States</v>
      </c>
      <c r="K676" s="23" t="str">
        <f>VLOOKUP(E676,Customers!$A$2:$I$1001,9,0)</f>
        <v>Yes</v>
      </c>
      <c r="L676" s="4" t="s">
        <v>204</v>
      </c>
      <c r="M676" s="4" t="str">
        <f>VLOOKUP(L676,Products!$A$2:$G$49,2,0)</f>
        <v>Arabica</v>
      </c>
      <c r="N676" s="4" t="str">
        <f>VLOOKUP(L676,Products!$A$2:$G$49,3,0)</f>
        <v>Light</v>
      </c>
      <c r="O676" s="25">
        <v>6</v>
      </c>
      <c r="P676" s="5">
        <f>INDEX([1]products!$A$1:$G$49,MATCH([1]orders!$D676,[1]products!$A$1:$A$49,0),MATCH([1]orders!K$1,[1]products!$A$1:$G$1,0))</f>
        <v>2.5</v>
      </c>
      <c r="Q676" s="6">
        <f>INDEX([1]products!$A$1:$G$49,MATCH([1]orders!$D676,[1]products!$A$1:$A$49,0),MATCH([1]orders!L$1,[1]products!$A$1:$G$1,0))</f>
        <v>29.784999999999997</v>
      </c>
      <c r="R676" s="6">
        <f t="shared" si="50"/>
        <v>178.70999999999998</v>
      </c>
      <c r="S676">
        <f>VLOOKUP(L676,Products!$A$2:$G$49,7,0)</f>
        <v>2.6806499999999995</v>
      </c>
      <c r="T676">
        <f t="shared" si="53"/>
        <v>16.083899999999996</v>
      </c>
      <c r="U676" s="33">
        <f t="shared" si="54"/>
        <v>8.9999999999999982</v>
      </c>
    </row>
    <row r="677" spans="1:21" x14ac:dyDescent="0.25">
      <c r="A677" s="1" t="s">
        <v>1311</v>
      </c>
      <c r="B677" s="28">
        <v>44263</v>
      </c>
      <c r="C677" s="21" t="str">
        <f t="shared" si="51"/>
        <v>2021</v>
      </c>
      <c r="D677" s="19" t="str">
        <f t="shared" si="52"/>
        <v>March</v>
      </c>
      <c r="E677" s="3" t="s">
        <v>1312</v>
      </c>
      <c r="F677" s="3" t="str">
        <f>VLOOKUP(E677,Customers!$A$2:$I$1001,2,0)</f>
        <v>Terri Lyford</v>
      </c>
      <c r="G677" s="3" t="str">
        <f>VLOOKUP(E677,Customers!$A$2:$I$1001,3,0)</f>
        <v>UNKNOWN</v>
      </c>
      <c r="H677" s="3" t="str">
        <f>VLOOKUP(E677,Customers!$A$2:$I$1001,4,0)</f>
        <v>+1 (610) 942-2790</v>
      </c>
      <c r="I677" s="25" t="str">
        <f>VLOOKUP(E677,Customers!$A$2:$I$1001,6,0)</f>
        <v>Allentown</v>
      </c>
      <c r="J677" s="25" t="str">
        <f>VLOOKUP(E677,Customers!$A$2:$I$1001,7,0)</f>
        <v>United States</v>
      </c>
      <c r="K677" s="23" t="str">
        <f>VLOOKUP(E677,Customers!$A$2:$I$1001,9,0)</f>
        <v>Yes</v>
      </c>
      <c r="L677" s="4" t="s">
        <v>109</v>
      </c>
      <c r="M677" s="4" t="str">
        <f>VLOOKUP(L677,Products!$A$2:$G$49,2,0)</f>
        <v>Liberica</v>
      </c>
      <c r="N677" s="4" t="str">
        <f>VLOOKUP(L677,Products!$A$2:$G$49,3,0)</f>
        <v>Dark</v>
      </c>
      <c r="O677" s="25">
        <v>4</v>
      </c>
      <c r="P677" s="5">
        <f>INDEX([1]products!$A$1:$G$49,MATCH([1]orders!$D677,[1]products!$A$1:$A$49,0),MATCH([1]orders!K$1,[1]products!$A$1:$G$1,0))</f>
        <v>2.5</v>
      </c>
      <c r="Q677" s="6">
        <f>INDEX([1]products!$A$1:$G$49,MATCH([1]orders!$D677,[1]products!$A$1:$A$49,0),MATCH([1]orders!L$1,[1]products!$A$1:$G$1,0))</f>
        <v>29.784999999999997</v>
      </c>
      <c r="R677" s="6">
        <f t="shared" si="50"/>
        <v>119.13999999999999</v>
      </c>
      <c r="S677">
        <f>VLOOKUP(L677,Products!$A$2:$G$49,7,0)</f>
        <v>3.8720499999999998</v>
      </c>
      <c r="T677">
        <f t="shared" si="53"/>
        <v>15.488199999999999</v>
      </c>
      <c r="U677" s="33">
        <f t="shared" si="54"/>
        <v>13</v>
      </c>
    </row>
    <row r="678" spans="1:21" x14ac:dyDescent="0.25">
      <c r="A678" s="1" t="s">
        <v>1313</v>
      </c>
      <c r="B678" s="28">
        <v>44217</v>
      </c>
      <c r="C678" s="21" t="str">
        <f t="shared" si="51"/>
        <v>2021</v>
      </c>
      <c r="D678" s="19" t="str">
        <f t="shared" si="52"/>
        <v>January</v>
      </c>
      <c r="E678" s="3" t="s">
        <v>1314</v>
      </c>
      <c r="F678" s="3" t="str">
        <f>VLOOKUP(E678,Customers!$A$2:$I$1001,2,0)</f>
        <v>Gabey Cogan</v>
      </c>
      <c r="G678" s="3" t="str">
        <f>VLOOKUP(E678,Customers!$A$2:$I$1001,3,0)</f>
        <v>UNKNOWN</v>
      </c>
      <c r="H678" s="3" t="str">
        <f>VLOOKUP(E678,Customers!$A$2:$I$1001,4,0)</f>
        <v>+1 (757) 101-9459</v>
      </c>
      <c r="I678" s="25" t="str">
        <f>VLOOKUP(E678,Customers!$A$2:$I$1001,6,0)</f>
        <v>Hampton</v>
      </c>
      <c r="J678" s="25" t="str">
        <f>VLOOKUP(E678,Customers!$A$2:$I$1001,7,0)</f>
        <v>United States</v>
      </c>
      <c r="K678" s="23" t="str">
        <f>VLOOKUP(E678,Customers!$A$2:$I$1001,9,0)</f>
        <v>No</v>
      </c>
      <c r="L678" s="4" t="s">
        <v>83</v>
      </c>
      <c r="M678" s="4" t="str">
        <f>VLOOKUP(L678,Products!$A$2:$G$49,2,0)</f>
        <v>Liberica</v>
      </c>
      <c r="N678" s="4" t="str">
        <f>VLOOKUP(L678,Products!$A$2:$G$49,3,0)</f>
        <v>Light</v>
      </c>
      <c r="O678" s="25">
        <v>5</v>
      </c>
      <c r="P678" s="5">
        <f>INDEX([1]products!$A$1:$G$49,MATCH([1]orders!$D678,[1]products!$A$1:$A$49,0),MATCH([1]orders!K$1,[1]products!$A$1:$G$1,0))</f>
        <v>0.5</v>
      </c>
      <c r="Q678" s="6">
        <f>INDEX([1]products!$A$1:$G$49,MATCH([1]orders!$D678,[1]products!$A$1:$A$49,0),MATCH([1]orders!L$1,[1]products!$A$1:$G$1,0))</f>
        <v>9.51</v>
      </c>
      <c r="R678" s="6">
        <f t="shared" si="50"/>
        <v>47.55</v>
      </c>
      <c r="S678">
        <f>VLOOKUP(L678,Products!$A$2:$G$49,7,0)</f>
        <v>1.2363</v>
      </c>
      <c r="T678">
        <f t="shared" si="53"/>
        <v>6.1814999999999998</v>
      </c>
      <c r="U678" s="33">
        <f t="shared" si="54"/>
        <v>13</v>
      </c>
    </row>
    <row r="679" spans="1:21" x14ac:dyDescent="0.25">
      <c r="A679" s="1" t="s">
        <v>1315</v>
      </c>
      <c r="B679" s="28">
        <v>44206</v>
      </c>
      <c r="C679" s="21" t="str">
        <f t="shared" si="51"/>
        <v>2021</v>
      </c>
      <c r="D679" s="19" t="str">
        <f t="shared" si="52"/>
        <v>January</v>
      </c>
      <c r="E679" s="3" t="s">
        <v>1316</v>
      </c>
      <c r="F679" s="3" t="str">
        <f>VLOOKUP(E679,Customers!$A$2:$I$1001,2,0)</f>
        <v>Charin Penwarden</v>
      </c>
      <c r="G679" s="3" t="str">
        <f>VLOOKUP(E679,Customers!$A$2:$I$1001,3,0)</f>
        <v>cpenwardenit@mlb.com</v>
      </c>
      <c r="H679" s="3" t="str">
        <f>VLOOKUP(E679,Customers!$A$2:$I$1001,4,0)</f>
        <v>+353 (765) 345-5590</v>
      </c>
      <c r="I679" s="25" t="str">
        <f>VLOOKUP(E679,Customers!$A$2:$I$1001,6,0)</f>
        <v>Whitegate</v>
      </c>
      <c r="J679" s="25" t="str">
        <f>VLOOKUP(E679,Customers!$A$2:$I$1001,7,0)</f>
        <v>Ireland</v>
      </c>
      <c r="K679" s="23" t="str">
        <f>VLOOKUP(E679,Customers!$A$2:$I$1001,9,0)</f>
        <v>No</v>
      </c>
      <c r="L679" s="4" t="s">
        <v>78</v>
      </c>
      <c r="M679" s="4" t="str">
        <f>VLOOKUP(L679,Products!$A$2:$G$49,2,0)</f>
        <v>Liberica</v>
      </c>
      <c r="N679" s="4" t="str">
        <f>VLOOKUP(L679,Products!$A$2:$G$49,3,0)</f>
        <v>Medium</v>
      </c>
      <c r="O679" s="25">
        <v>5</v>
      </c>
      <c r="P679" s="5">
        <f>INDEX([1]products!$A$1:$G$49,MATCH([1]orders!$D679,[1]products!$A$1:$A$49,0),MATCH([1]orders!K$1,[1]products!$A$1:$G$1,0))</f>
        <v>0.5</v>
      </c>
      <c r="Q679" s="6">
        <f>INDEX([1]products!$A$1:$G$49,MATCH([1]orders!$D679,[1]products!$A$1:$A$49,0),MATCH([1]orders!L$1,[1]products!$A$1:$G$1,0))</f>
        <v>8.73</v>
      </c>
      <c r="R679" s="6">
        <f t="shared" si="50"/>
        <v>43.650000000000006</v>
      </c>
      <c r="S679">
        <f>VLOOKUP(L679,Products!$A$2:$G$49,7,0)</f>
        <v>1.1349</v>
      </c>
      <c r="T679">
        <f t="shared" si="53"/>
        <v>5.6745000000000001</v>
      </c>
      <c r="U679" s="33">
        <f t="shared" si="54"/>
        <v>12.999999999999998</v>
      </c>
    </row>
    <row r="680" spans="1:21" x14ac:dyDescent="0.25">
      <c r="A680" s="1" t="s">
        <v>1317</v>
      </c>
      <c r="B680" s="28">
        <v>44281</v>
      </c>
      <c r="C680" s="21" t="str">
        <f t="shared" si="51"/>
        <v>2021</v>
      </c>
      <c r="D680" s="19" t="str">
        <f t="shared" si="52"/>
        <v>March</v>
      </c>
      <c r="E680" s="3" t="s">
        <v>1318</v>
      </c>
      <c r="F680" s="3" t="str">
        <f>VLOOKUP(E680,Customers!$A$2:$I$1001,2,0)</f>
        <v>Milty Middis</v>
      </c>
      <c r="G680" s="3" t="str">
        <f>VLOOKUP(E680,Customers!$A$2:$I$1001,3,0)</f>
        <v>mmiddisiu@dmoz.org</v>
      </c>
      <c r="H680" s="3" t="str">
        <f>VLOOKUP(E680,Customers!$A$2:$I$1001,4,0)</f>
        <v>+1 (316) 736-9645</v>
      </c>
      <c r="I680" s="25" t="str">
        <f>VLOOKUP(E680,Customers!$A$2:$I$1001,6,0)</f>
        <v>Wichita</v>
      </c>
      <c r="J680" s="25" t="str">
        <f>VLOOKUP(E680,Customers!$A$2:$I$1001,7,0)</f>
        <v>United States</v>
      </c>
      <c r="K680" s="23" t="str">
        <f>VLOOKUP(E680,Customers!$A$2:$I$1001,9,0)</f>
        <v>Yes</v>
      </c>
      <c r="L680" s="4" t="s">
        <v>204</v>
      </c>
      <c r="M680" s="4" t="str">
        <f>VLOOKUP(L680,Products!$A$2:$G$49,2,0)</f>
        <v>Arabica</v>
      </c>
      <c r="N680" s="4" t="str">
        <f>VLOOKUP(L680,Products!$A$2:$G$49,3,0)</f>
        <v>Light</v>
      </c>
      <c r="O680" s="25">
        <v>6</v>
      </c>
      <c r="P680" s="5">
        <f>INDEX([1]products!$A$1:$G$49,MATCH([1]orders!$D680,[1]products!$A$1:$A$49,0),MATCH([1]orders!K$1,[1]products!$A$1:$G$1,0))</f>
        <v>2.5</v>
      </c>
      <c r="Q680" s="6">
        <f>INDEX([1]products!$A$1:$G$49,MATCH([1]orders!$D680,[1]products!$A$1:$A$49,0),MATCH([1]orders!L$1,[1]products!$A$1:$G$1,0))</f>
        <v>29.784999999999997</v>
      </c>
      <c r="R680" s="6">
        <f t="shared" si="50"/>
        <v>178.70999999999998</v>
      </c>
      <c r="S680">
        <f>VLOOKUP(L680,Products!$A$2:$G$49,7,0)</f>
        <v>2.6806499999999995</v>
      </c>
      <c r="T680">
        <f t="shared" si="53"/>
        <v>16.083899999999996</v>
      </c>
      <c r="U680" s="33">
        <f t="shared" si="54"/>
        <v>8.9999999999999982</v>
      </c>
    </row>
    <row r="681" spans="1:21" x14ac:dyDescent="0.25">
      <c r="A681" s="1" t="s">
        <v>1319</v>
      </c>
      <c r="B681" s="28">
        <v>44645</v>
      </c>
      <c r="C681" s="21" t="str">
        <f t="shared" si="51"/>
        <v>2022</v>
      </c>
      <c r="D681" s="19" t="str">
        <f t="shared" si="52"/>
        <v>March</v>
      </c>
      <c r="E681" s="3" t="s">
        <v>1320</v>
      </c>
      <c r="F681" s="3" t="str">
        <f>VLOOKUP(E681,Customers!$A$2:$I$1001,2,0)</f>
        <v>Adrianne Vairow</v>
      </c>
      <c r="G681" s="3" t="str">
        <f>VLOOKUP(E681,Customers!$A$2:$I$1001,3,0)</f>
        <v>avairowiv@studiopress.com</v>
      </c>
      <c r="H681" s="3" t="str">
        <f>VLOOKUP(E681,Customers!$A$2:$I$1001,4,0)</f>
        <v>+44 (236) 517-2586</v>
      </c>
      <c r="I681" s="25" t="str">
        <f>VLOOKUP(E681,Customers!$A$2:$I$1001,6,0)</f>
        <v>Thorpe</v>
      </c>
      <c r="J681" s="25" t="str">
        <f>VLOOKUP(E681,Customers!$A$2:$I$1001,7,0)</f>
        <v>United Kingdom</v>
      </c>
      <c r="K681" s="23" t="str">
        <f>VLOOKUP(E681,Customers!$A$2:$I$1001,9,0)</f>
        <v>No</v>
      </c>
      <c r="L681" s="4" t="s">
        <v>10</v>
      </c>
      <c r="M681" s="4" t="str">
        <f>VLOOKUP(L681,Products!$A$2:$G$49,2,0)</f>
        <v>Robusta</v>
      </c>
      <c r="N681" s="4" t="str">
        <f>VLOOKUP(L681,Products!$A$2:$G$49,3,0)</f>
        <v>Light</v>
      </c>
      <c r="O681" s="25">
        <v>1</v>
      </c>
      <c r="P681" s="5">
        <f>INDEX([1]products!$A$1:$G$49,MATCH([1]orders!$D681,[1]products!$A$1:$A$49,0),MATCH([1]orders!K$1,[1]products!$A$1:$G$1,0))</f>
        <v>2.5</v>
      </c>
      <c r="Q681" s="6">
        <f>INDEX([1]products!$A$1:$G$49,MATCH([1]orders!$D681,[1]products!$A$1:$A$49,0),MATCH([1]orders!L$1,[1]products!$A$1:$G$1,0))</f>
        <v>27.484999999999996</v>
      </c>
      <c r="R681" s="6">
        <f t="shared" si="50"/>
        <v>27.484999999999996</v>
      </c>
      <c r="S681">
        <f>VLOOKUP(L681,Products!$A$2:$G$49,7,0)</f>
        <v>1.6490999999999998</v>
      </c>
      <c r="T681">
        <f t="shared" si="53"/>
        <v>1.6490999999999998</v>
      </c>
      <c r="U681" s="33">
        <f t="shared" si="54"/>
        <v>6.0000000000000009</v>
      </c>
    </row>
    <row r="682" spans="1:21" x14ac:dyDescent="0.25">
      <c r="A682" s="1" t="s">
        <v>1321</v>
      </c>
      <c r="B682" s="28">
        <v>44399</v>
      </c>
      <c r="C682" s="21" t="str">
        <f t="shared" si="51"/>
        <v>2021</v>
      </c>
      <c r="D682" s="19" t="str">
        <f t="shared" si="52"/>
        <v>July</v>
      </c>
      <c r="E682" s="3" t="s">
        <v>1322</v>
      </c>
      <c r="F682" s="3" t="str">
        <f>VLOOKUP(E682,Customers!$A$2:$I$1001,2,0)</f>
        <v>Anjanette Goldie</v>
      </c>
      <c r="G682" s="3" t="str">
        <f>VLOOKUP(E682,Customers!$A$2:$I$1001,3,0)</f>
        <v>agoldieiw@goo.gl</v>
      </c>
      <c r="H682" s="3" t="str">
        <f>VLOOKUP(E682,Customers!$A$2:$I$1001,4,0)</f>
        <v>UNKNOWN</v>
      </c>
      <c r="I682" s="25" t="str">
        <f>VLOOKUP(E682,Customers!$A$2:$I$1001,6,0)</f>
        <v>Danbury</v>
      </c>
      <c r="J682" s="25" t="str">
        <f>VLOOKUP(E682,Customers!$A$2:$I$1001,7,0)</f>
        <v>United States</v>
      </c>
      <c r="K682" s="23" t="str">
        <f>VLOOKUP(E682,Customers!$A$2:$I$1001,9,0)</f>
        <v>No</v>
      </c>
      <c r="L682" s="4" t="s">
        <v>61</v>
      </c>
      <c r="M682" s="4" t="str">
        <f>VLOOKUP(L682,Products!$A$2:$G$49,2,0)</f>
        <v>Arabica</v>
      </c>
      <c r="N682" s="4" t="str">
        <f>VLOOKUP(L682,Products!$A$2:$G$49,3,0)</f>
        <v>Medium</v>
      </c>
      <c r="O682" s="25">
        <v>5</v>
      </c>
      <c r="P682" s="5">
        <f>INDEX([1]products!$A$1:$G$49,MATCH([1]orders!$D682,[1]products!$A$1:$A$49,0),MATCH([1]orders!K$1,[1]products!$A$1:$G$1,0))</f>
        <v>1</v>
      </c>
      <c r="Q682" s="6">
        <f>INDEX([1]products!$A$1:$G$49,MATCH([1]orders!$D682,[1]products!$A$1:$A$49,0),MATCH([1]orders!L$1,[1]products!$A$1:$G$1,0))</f>
        <v>11.25</v>
      </c>
      <c r="R682" s="6">
        <f t="shared" si="50"/>
        <v>56.25</v>
      </c>
      <c r="S682">
        <f>VLOOKUP(L682,Products!$A$2:$G$49,7,0)</f>
        <v>1.0125</v>
      </c>
      <c r="T682">
        <f t="shared" si="53"/>
        <v>5.0625</v>
      </c>
      <c r="U682" s="33">
        <f t="shared" si="54"/>
        <v>9</v>
      </c>
    </row>
    <row r="683" spans="1:21" x14ac:dyDescent="0.25">
      <c r="A683" s="1" t="s">
        <v>1323</v>
      </c>
      <c r="B683" s="28">
        <v>44080</v>
      </c>
      <c r="C683" s="21" t="str">
        <f t="shared" si="51"/>
        <v>2020</v>
      </c>
      <c r="D683" s="19" t="str">
        <f t="shared" si="52"/>
        <v>September</v>
      </c>
      <c r="E683" s="3" t="s">
        <v>1324</v>
      </c>
      <c r="F683" s="3" t="str">
        <f>VLOOKUP(E683,Customers!$A$2:$I$1001,2,0)</f>
        <v>Nicky Ayris</v>
      </c>
      <c r="G683" s="3" t="str">
        <f>VLOOKUP(E683,Customers!$A$2:$I$1001,3,0)</f>
        <v>nayrisix@t-online.de</v>
      </c>
      <c r="H683" s="3" t="str">
        <f>VLOOKUP(E683,Customers!$A$2:$I$1001,4,0)</f>
        <v>+44 (627) 552-5656</v>
      </c>
      <c r="I683" s="25" t="str">
        <f>VLOOKUP(E683,Customers!$A$2:$I$1001,6,0)</f>
        <v>Kinloch</v>
      </c>
      <c r="J683" s="25" t="str">
        <f>VLOOKUP(E683,Customers!$A$2:$I$1001,7,0)</f>
        <v>United Kingdom</v>
      </c>
      <c r="K683" s="23" t="str">
        <f>VLOOKUP(E683,Customers!$A$2:$I$1001,9,0)</f>
        <v>Yes</v>
      </c>
      <c r="L683" s="4" t="s">
        <v>19</v>
      </c>
      <c r="M683" s="4" t="str">
        <f>VLOOKUP(L683,Products!$A$2:$G$49,2,0)</f>
        <v>Liberica</v>
      </c>
      <c r="N683" s="4" t="str">
        <f>VLOOKUP(L683,Products!$A$2:$G$49,3,0)</f>
        <v>Light</v>
      </c>
      <c r="O683" s="25">
        <v>2</v>
      </c>
      <c r="P683" s="5">
        <f>INDEX([1]products!$A$1:$G$49,MATCH([1]orders!$D683,[1]products!$A$1:$A$49,0),MATCH([1]orders!K$1,[1]products!$A$1:$G$1,0))</f>
        <v>0.2</v>
      </c>
      <c r="Q683" s="6">
        <f>INDEX([1]products!$A$1:$G$49,MATCH([1]orders!$D683,[1]products!$A$1:$A$49,0),MATCH([1]orders!L$1,[1]products!$A$1:$G$1,0))</f>
        <v>4.7549999999999999</v>
      </c>
      <c r="R683" s="6">
        <f t="shared" si="50"/>
        <v>9.51</v>
      </c>
      <c r="S683">
        <f>VLOOKUP(L683,Products!$A$2:$G$49,7,0)</f>
        <v>0.61814999999999998</v>
      </c>
      <c r="T683">
        <f t="shared" si="53"/>
        <v>1.2363</v>
      </c>
      <c r="U683" s="33">
        <f t="shared" si="54"/>
        <v>13</v>
      </c>
    </row>
    <row r="684" spans="1:21" x14ac:dyDescent="0.25">
      <c r="A684" s="1" t="s">
        <v>1325</v>
      </c>
      <c r="B684" s="28">
        <v>43827</v>
      </c>
      <c r="C684" s="21" t="str">
        <f t="shared" si="51"/>
        <v>2019</v>
      </c>
      <c r="D684" s="19" t="str">
        <f t="shared" si="52"/>
        <v>December</v>
      </c>
      <c r="E684" s="3" t="s">
        <v>1326</v>
      </c>
      <c r="F684" s="3" t="str">
        <f>VLOOKUP(E684,Customers!$A$2:$I$1001,2,0)</f>
        <v>Laryssa Benediktovich</v>
      </c>
      <c r="G684" s="3" t="str">
        <f>VLOOKUP(E684,Customers!$A$2:$I$1001,3,0)</f>
        <v>lbenediktovichiy@wunderground.com</v>
      </c>
      <c r="H684" s="3" t="str">
        <f>VLOOKUP(E684,Customers!$A$2:$I$1001,4,0)</f>
        <v>+1 (904) 330-1211</v>
      </c>
      <c r="I684" s="25" t="str">
        <f>VLOOKUP(E684,Customers!$A$2:$I$1001,6,0)</f>
        <v>Jacksonville</v>
      </c>
      <c r="J684" s="25" t="str">
        <f>VLOOKUP(E684,Customers!$A$2:$I$1001,7,0)</f>
        <v>United States</v>
      </c>
      <c r="K684" s="23" t="str">
        <f>VLOOKUP(E684,Customers!$A$2:$I$1001,9,0)</f>
        <v>Yes</v>
      </c>
      <c r="L684" s="4" t="s">
        <v>64</v>
      </c>
      <c r="M684" s="4" t="str">
        <f>VLOOKUP(L684,Products!$A$2:$G$49,2,0)</f>
        <v>Excelsa</v>
      </c>
      <c r="N684" s="4" t="str">
        <f>VLOOKUP(L684,Products!$A$2:$G$49,3,0)</f>
        <v>Medium</v>
      </c>
      <c r="O684" s="25">
        <v>2</v>
      </c>
      <c r="P684" s="5">
        <f>INDEX([1]products!$A$1:$G$49,MATCH([1]orders!$D684,[1]products!$A$1:$A$49,0),MATCH([1]orders!K$1,[1]products!$A$1:$G$1,0))</f>
        <v>0.2</v>
      </c>
      <c r="Q684" s="6">
        <f>INDEX([1]products!$A$1:$G$49,MATCH([1]orders!$D684,[1]products!$A$1:$A$49,0),MATCH([1]orders!L$1,[1]products!$A$1:$G$1,0))</f>
        <v>4.125</v>
      </c>
      <c r="R684" s="6">
        <f t="shared" si="50"/>
        <v>8.25</v>
      </c>
      <c r="S684">
        <f>VLOOKUP(L684,Products!$A$2:$G$49,7,0)</f>
        <v>0.45374999999999999</v>
      </c>
      <c r="T684">
        <f t="shared" si="53"/>
        <v>0.90749999999999997</v>
      </c>
      <c r="U684" s="33">
        <f t="shared" si="54"/>
        <v>11</v>
      </c>
    </row>
    <row r="685" spans="1:21" x14ac:dyDescent="0.25">
      <c r="A685" s="1" t="s">
        <v>1327</v>
      </c>
      <c r="B685" s="28">
        <v>43941</v>
      </c>
      <c r="C685" s="21" t="str">
        <f t="shared" si="51"/>
        <v>2020</v>
      </c>
      <c r="D685" s="19" t="str">
        <f t="shared" si="52"/>
        <v>April</v>
      </c>
      <c r="E685" s="3" t="s">
        <v>1328</v>
      </c>
      <c r="F685" s="3" t="str">
        <f>VLOOKUP(E685,Customers!$A$2:$I$1001,2,0)</f>
        <v>Theo Jacobovitz</v>
      </c>
      <c r="G685" s="3" t="str">
        <f>VLOOKUP(E685,Customers!$A$2:$I$1001,3,0)</f>
        <v>tjacobovitziz@cbc.ca</v>
      </c>
      <c r="H685" s="3" t="str">
        <f>VLOOKUP(E685,Customers!$A$2:$I$1001,4,0)</f>
        <v>+1 (713) 642-2082</v>
      </c>
      <c r="I685" s="25" t="str">
        <f>VLOOKUP(E685,Customers!$A$2:$I$1001,6,0)</f>
        <v>Houston</v>
      </c>
      <c r="J685" s="25" t="str">
        <f>VLOOKUP(E685,Customers!$A$2:$I$1001,7,0)</f>
        <v>United States</v>
      </c>
      <c r="K685" s="23" t="str">
        <f>VLOOKUP(E685,Customers!$A$2:$I$1001,9,0)</f>
        <v>No</v>
      </c>
      <c r="L685" s="4" t="s">
        <v>123</v>
      </c>
      <c r="M685" s="4" t="str">
        <f>VLOOKUP(L685,Products!$A$2:$G$49,2,0)</f>
        <v>Liberica</v>
      </c>
      <c r="N685" s="4" t="str">
        <f>VLOOKUP(L685,Products!$A$2:$G$49,3,0)</f>
        <v>Dark</v>
      </c>
      <c r="O685" s="25">
        <v>6</v>
      </c>
      <c r="P685" s="5">
        <f>INDEX([1]products!$A$1:$G$49,MATCH([1]orders!$D685,[1]products!$A$1:$A$49,0),MATCH([1]orders!K$1,[1]products!$A$1:$G$1,0))</f>
        <v>0.5</v>
      </c>
      <c r="Q685" s="6">
        <f>INDEX([1]products!$A$1:$G$49,MATCH([1]orders!$D685,[1]products!$A$1:$A$49,0),MATCH([1]orders!L$1,[1]products!$A$1:$G$1,0))</f>
        <v>7.77</v>
      </c>
      <c r="R685" s="6">
        <f t="shared" si="50"/>
        <v>46.62</v>
      </c>
      <c r="S685">
        <f>VLOOKUP(L685,Products!$A$2:$G$49,7,0)</f>
        <v>1.0101</v>
      </c>
      <c r="T685">
        <f t="shared" si="53"/>
        <v>6.0606</v>
      </c>
      <c r="U685" s="33">
        <f t="shared" si="54"/>
        <v>13</v>
      </c>
    </row>
    <row r="686" spans="1:21" x14ac:dyDescent="0.25">
      <c r="A686" s="1" t="s">
        <v>1329</v>
      </c>
      <c r="B686" s="28">
        <v>43517</v>
      </c>
      <c r="C686" s="21" t="str">
        <f t="shared" si="51"/>
        <v>2019</v>
      </c>
      <c r="D686" s="19" t="str">
        <f t="shared" si="52"/>
        <v>February</v>
      </c>
      <c r="E686" s="3" t="s">
        <v>1330</v>
      </c>
      <c r="F686" s="3" t="str">
        <f>VLOOKUP(E686,Customers!$A$2:$I$1001,2,0)</f>
        <v>Becca Ableson</v>
      </c>
      <c r="G686" s="3" t="str">
        <f>VLOOKUP(E686,Customers!$A$2:$I$1001,3,0)</f>
        <v>UNKNOWN</v>
      </c>
      <c r="H686" s="3" t="str">
        <f>VLOOKUP(E686,Customers!$A$2:$I$1001,4,0)</f>
        <v>+1 (971) 254-5295</v>
      </c>
      <c r="I686" s="25" t="str">
        <f>VLOOKUP(E686,Customers!$A$2:$I$1001,6,0)</f>
        <v>Portland</v>
      </c>
      <c r="J686" s="25" t="str">
        <f>VLOOKUP(E686,Customers!$A$2:$I$1001,7,0)</f>
        <v>United States</v>
      </c>
      <c r="K686" s="23" t="str">
        <f>VLOOKUP(E686,Customers!$A$2:$I$1001,9,0)</f>
        <v>No</v>
      </c>
      <c r="L686" s="4" t="s">
        <v>189</v>
      </c>
      <c r="M686" s="4" t="str">
        <f>VLOOKUP(L686,Products!$A$2:$G$49,2,0)</f>
        <v>Robusta</v>
      </c>
      <c r="N686" s="4" t="str">
        <f>VLOOKUP(L686,Products!$A$2:$G$49,3,0)</f>
        <v>Light</v>
      </c>
      <c r="O686" s="25">
        <v>6</v>
      </c>
      <c r="P686" s="5">
        <f>INDEX([1]products!$A$1:$G$49,MATCH([1]orders!$D686,[1]products!$A$1:$A$49,0),MATCH([1]orders!K$1,[1]products!$A$1:$G$1,0))</f>
        <v>1</v>
      </c>
      <c r="Q686" s="6">
        <f>INDEX([1]products!$A$1:$G$49,MATCH([1]orders!$D686,[1]products!$A$1:$A$49,0),MATCH([1]orders!L$1,[1]products!$A$1:$G$1,0))</f>
        <v>11.95</v>
      </c>
      <c r="R686" s="6">
        <f t="shared" si="50"/>
        <v>71.699999999999989</v>
      </c>
      <c r="S686">
        <f>VLOOKUP(L686,Products!$A$2:$G$49,7,0)</f>
        <v>0.71699999999999997</v>
      </c>
      <c r="T686">
        <f t="shared" si="53"/>
        <v>4.3019999999999996</v>
      </c>
      <c r="U686" s="33">
        <f t="shared" si="54"/>
        <v>6.0000000000000009</v>
      </c>
    </row>
    <row r="687" spans="1:21" x14ac:dyDescent="0.25">
      <c r="A687" s="1" t="s">
        <v>1331</v>
      </c>
      <c r="B687" s="28">
        <v>44637</v>
      </c>
      <c r="C687" s="21" t="str">
        <f t="shared" si="51"/>
        <v>2022</v>
      </c>
      <c r="D687" s="19" t="str">
        <f t="shared" si="52"/>
        <v>March</v>
      </c>
      <c r="E687" s="3" t="s">
        <v>1332</v>
      </c>
      <c r="F687" s="3" t="str">
        <f>VLOOKUP(E687,Customers!$A$2:$I$1001,2,0)</f>
        <v>Jeno Druitt</v>
      </c>
      <c r="G687" s="3" t="str">
        <f>VLOOKUP(E687,Customers!$A$2:$I$1001,3,0)</f>
        <v>jdruittj1@feedburner.com</v>
      </c>
      <c r="H687" s="3" t="str">
        <f>VLOOKUP(E687,Customers!$A$2:$I$1001,4,0)</f>
        <v>+1 (650) 693-6904</v>
      </c>
      <c r="I687" s="25" t="str">
        <f>VLOOKUP(E687,Customers!$A$2:$I$1001,6,0)</f>
        <v>Pasadena</v>
      </c>
      <c r="J687" s="25" t="str">
        <f>VLOOKUP(E687,Customers!$A$2:$I$1001,7,0)</f>
        <v>United States</v>
      </c>
      <c r="K687" s="23" t="str">
        <f>VLOOKUP(E687,Customers!$A$2:$I$1001,9,0)</f>
        <v>Yes</v>
      </c>
      <c r="L687" s="4" t="s">
        <v>104</v>
      </c>
      <c r="M687" s="4" t="str">
        <f>VLOOKUP(L687,Products!$A$2:$G$49,2,0)</f>
        <v>Liberica</v>
      </c>
      <c r="N687" s="4" t="str">
        <f>VLOOKUP(L687,Products!$A$2:$G$49,3,0)</f>
        <v>Light</v>
      </c>
      <c r="O687" s="25">
        <v>2</v>
      </c>
      <c r="P687" s="5">
        <f>INDEX([1]products!$A$1:$G$49,MATCH([1]orders!$D687,[1]products!$A$1:$A$49,0),MATCH([1]orders!K$1,[1]products!$A$1:$G$1,0))</f>
        <v>2.5</v>
      </c>
      <c r="Q687" s="6">
        <f>INDEX([1]products!$A$1:$G$49,MATCH([1]orders!$D687,[1]products!$A$1:$A$49,0),MATCH([1]orders!L$1,[1]products!$A$1:$G$1,0))</f>
        <v>36.454999999999998</v>
      </c>
      <c r="R687" s="6">
        <f t="shared" si="50"/>
        <v>72.91</v>
      </c>
      <c r="S687">
        <f>VLOOKUP(L687,Products!$A$2:$G$49,7,0)</f>
        <v>4.7391499999999995</v>
      </c>
      <c r="T687">
        <f t="shared" si="53"/>
        <v>9.4782999999999991</v>
      </c>
      <c r="U687" s="33">
        <f t="shared" si="54"/>
        <v>13</v>
      </c>
    </row>
    <row r="688" spans="1:21" x14ac:dyDescent="0.25">
      <c r="A688" s="1" t="s">
        <v>1333</v>
      </c>
      <c r="B688" s="28">
        <v>44330</v>
      </c>
      <c r="C688" s="21" t="str">
        <f t="shared" si="51"/>
        <v>2021</v>
      </c>
      <c r="D688" s="19" t="str">
        <f t="shared" si="52"/>
        <v>May</v>
      </c>
      <c r="E688" s="3" t="s">
        <v>1334</v>
      </c>
      <c r="F688" s="3" t="str">
        <f>VLOOKUP(E688,Customers!$A$2:$I$1001,2,0)</f>
        <v>Deonne Shortall</v>
      </c>
      <c r="G688" s="3" t="str">
        <f>VLOOKUP(E688,Customers!$A$2:$I$1001,3,0)</f>
        <v>dshortallj2@wikipedia.org</v>
      </c>
      <c r="H688" s="3" t="str">
        <f>VLOOKUP(E688,Customers!$A$2:$I$1001,4,0)</f>
        <v>+1 (714) 917-8665</v>
      </c>
      <c r="I688" s="25" t="str">
        <f>VLOOKUP(E688,Customers!$A$2:$I$1001,6,0)</f>
        <v>Santa Ana</v>
      </c>
      <c r="J688" s="25" t="str">
        <f>VLOOKUP(E688,Customers!$A$2:$I$1001,7,0)</f>
        <v>United States</v>
      </c>
      <c r="K688" s="23" t="str">
        <f>VLOOKUP(E688,Customers!$A$2:$I$1001,9,0)</f>
        <v>Yes</v>
      </c>
      <c r="L688" s="4" t="s">
        <v>101</v>
      </c>
      <c r="M688" s="4" t="str">
        <f>VLOOKUP(L688,Products!$A$2:$G$49,2,0)</f>
        <v>Robusta</v>
      </c>
      <c r="N688" s="4" t="str">
        <f>VLOOKUP(L688,Products!$A$2:$G$49,3,0)</f>
        <v>Dark</v>
      </c>
      <c r="O688" s="25">
        <v>3</v>
      </c>
      <c r="P688" s="5">
        <f>INDEX([1]products!$A$1:$G$49,MATCH([1]orders!$D688,[1]products!$A$1:$A$49,0),MATCH([1]orders!K$1,[1]products!$A$1:$G$1,0))</f>
        <v>0.2</v>
      </c>
      <c r="Q688" s="6">
        <f>INDEX([1]products!$A$1:$G$49,MATCH([1]orders!$D688,[1]products!$A$1:$A$49,0),MATCH([1]orders!L$1,[1]products!$A$1:$G$1,0))</f>
        <v>2.6849999999999996</v>
      </c>
      <c r="R688" s="6">
        <f t="shared" si="50"/>
        <v>8.0549999999999997</v>
      </c>
      <c r="S688">
        <f>VLOOKUP(L688,Products!$A$2:$G$49,7,0)</f>
        <v>0.16109999999999997</v>
      </c>
      <c r="T688">
        <f t="shared" si="53"/>
        <v>0.4832999999999999</v>
      </c>
      <c r="U688" s="33">
        <f t="shared" si="54"/>
        <v>5.9999999999999991</v>
      </c>
    </row>
    <row r="689" spans="1:21" x14ac:dyDescent="0.25">
      <c r="A689" s="1" t="s">
        <v>1335</v>
      </c>
      <c r="B689" s="28">
        <v>43471</v>
      </c>
      <c r="C689" s="21" t="str">
        <f t="shared" si="51"/>
        <v>2019</v>
      </c>
      <c r="D689" s="19" t="str">
        <f t="shared" si="52"/>
        <v>January</v>
      </c>
      <c r="E689" s="3" t="s">
        <v>1336</v>
      </c>
      <c r="F689" s="3" t="str">
        <f>VLOOKUP(E689,Customers!$A$2:$I$1001,2,0)</f>
        <v>Wilton Cottier</v>
      </c>
      <c r="G689" s="3" t="str">
        <f>VLOOKUP(E689,Customers!$A$2:$I$1001,3,0)</f>
        <v>wcottierj3@cafepress.com</v>
      </c>
      <c r="H689" s="3" t="str">
        <f>VLOOKUP(E689,Customers!$A$2:$I$1001,4,0)</f>
        <v>+1 (408) 261-7902</v>
      </c>
      <c r="I689" s="25" t="str">
        <f>VLOOKUP(E689,Customers!$A$2:$I$1001,6,0)</f>
        <v>San Jose</v>
      </c>
      <c r="J689" s="25" t="str">
        <f>VLOOKUP(E689,Customers!$A$2:$I$1001,7,0)</f>
        <v>United States</v>
      </c>
      <c r="K689" s="23" t="str">
        <f>VLOOKUP(E689,Customers!$A$2:$I$1001,9,0)</f>
        <v>No</v>
      </c>
      <c r="L689" s="4" t="s">
        <v>3</v>
      </c>
      <c r="M689" s="4" t="str">
        <f>VLOOKUP(L689,Products!$A$2:$G$49,2,0)</f>
        <v>Excelsa</v>
      </c>
      <c r="N689" s="4" t="str">
        <f>VLOOKUP(L689,Products!$A$2:$G$49,3,0)</f>
        <v>Medium</v>
      </c>
      <c r="O689" s="25">
        <v>2</v>
      </c>
      <c r="P689" s="5">
        <f>INDEX([1]products!$A$1:$G$49,MATCH([1]orders!$D689,[1]products!$A$1:$A$49,0),MATCH([1]orders!K$1,[1]products!$A$1:$G$1,0))</f>
        <v>0.5</v>
      </c>
      <c r="Q689" s="6">
        <f>INDEX([1]products!$A$1:$G$49,MATCH([1]orders!$D689,[1]products!$A$1:$A$49,0),MATCH([1]orders!L$1,[1]products!$A$1:$G$1,0))</f>
        <v>8.25</v>
      </c>
      <c r="R689" s="6">
        <f t="shared" si="50"/>
        <v>16.5</v>
      </c>
      <c r="S689">
        <f>VLOOKUP(L689,Products!$A$2:$G$49,7,0)</f>
        <v>0.90749999999999997</v>
      </c>
      <c r="T689">
        <f t="shared" si="53"/>
        <v>1.8149999999999999</v>
      </c>
      <c r="U689" s="33">
        <f t="shared" si="54"/>
        <v>11</v>
      </c>
    </row>
    <row r="690" spans="1:21" x14ac:dyDescent="0.25">
      <c r="A690" s="1" t="s">
        <v>1337</v>
      </c>
      <c r="B690" s="28">
        <v>43579</v>
      </c>
      <c r="C690" s="21" t="str">
        <f t="shared" si="51"/>
        <v>2019</v>
      </c>
      <c r="D690" s="19" t="str">
        <f t="shared" si="52"/>
        <v>April</v>
      </c>
      <c r="E690" s="3" t="s">
        <v>1338</v>
      </c>
      <c r="F690" s="3" t="str">
        <f>VLOOKUP(E690,Customers!$A$2:$I$1001,2,0)</f>
        <v>Kevan Grinsted</v>
      </c>
      <c r="G690" s="3" t="str">
        <f>VLOOKUP(E690,Customers!$A$2:$I$1001,3,0)</f>
        <v>kgrinstedj4@google.com.br</v>
      </c>
      <c r="H690" s="3" t="str">
        <f>VLOOKUP(E690,Customers!$A$2:$I$1001,4,0)</f>
        <v>+353 (773) 225-6216</v>
      </c>
      <c r="I690" s="25" t="str">
        <f>VLOOKUP(E690,Customers!$A$2:$I$1001,6,0)</f>
        <v>Tallaght</v>
      </c>
      <c r="J690" s="25" t="str">
        <f>VLOOKUP(E690,Customers!$A$2:$I$1001,7,0)</f>
        <v>Ireland</v>
      </c>
      <c r="K690" s="23" t="str">
        <f>VLOOKUP(E690,Customers!$A$2:$I$1001,9,0)</f>
        <v>No</v>
      </c>
      <c r="L690" s="4" t="s">
        <v>6</v>
      </c>
      <c r="M690" s="4" t="str">
        <f>VLOOKUP(L690,Products!$A$2:$G$49,2,0)</f>
        <v>Arabica</v>
      </c>
      <c r="N690" s="4" t="str">
        <f>VLOOKUP(L690,Products!$A$2:$G$49,3,0)</f>
        <v>Light</v>
      </c>
      <c r="O690" s="25">
        <v>5</v>
      </c>
      <c r="P690" s="5">
        <f>INDEX([1]products!$A$1:$G$49,MATCH([1]orders!$D690,[1]products!$A$1:$A$49,0),MATCH([1]orders!K$1,[1]products!$A$1:$G$1,0))</f>
        <v>1</v>
      </c>
      <c r="Q690" s="6">
        <f>INDEX([1]products!$A$1:$G$49,MATCH([1]orders!$D690,[1]products!$A$1:$A$49,0),MATCH([1]orders!L$1,[1]products!$A$1:$G$1,0))</f>
        <v>12.95</v>
      </c>
      <c r="R690" s="6">
        <f t="shared" si="50"/>
        <v>64.75</v>
      </c>
      <c r="S690">
        <f>VLOOKUP(L690,Products!$A$2:$G$49,7,0)</f>
        <v>1.1655</v>
      </c>
      <c r="T690">
        <f t="shared" si="53"/>
        <v>5.8274999999999997</v>
      </c>
      <c r="U690" s="33">
        <f t="shared" si="54"/>
        <v>9</v>
      </c>
    </row>
    <row r="691" spans="1:21" x14ac:dyDescent="0.25">
      <c r="A691" s="1" t="s">
        <v>1339</v>
      </c>
      <c r="B691" s="28">
        <v>44346</v>
      </c>
      <c r="C691" s="21" t="str">
        <f t="shared" si="51"/>
        <v>2021</v>
      </c>
      <c r="D691" s="19" t="str">
        <f t="shared" si="52"/>
        <v>May</v>
      </c>
      <c r="E691" s="3" t="s">
        <v>1340</v>
      </c>
      <c r="F691" s="3" t="str">
        <f>VLOOKUP(E691,Customers!$A$2:$I$1001,2,0)</f>
        <v>Dionne Skyner</v>
      </c>
      <c r="G691" s="3" t="str">
        <f>VLOOKUP(E691,Customers!$A$2:$I$1001,3,0)</f>
        <v>dskynerj5@hubpages.com</v>
      </c>
      <c r="H691" s="3" t="str">
        <f>VLOOKUP(E691,Customers!$A$2:$I$1001,4,0)</f>
        <v>+1 (719) 937-4913</v>
      </c>
      <c r="I691" s="25" t="str">
        <f>VLOOKUP(E691,Customers!$A$2:$I$1001,6,0)</f>
        <v>Colorado Springs</v>
      </c>
      <c r="J691" s="25" t="str">
        <f>VLOOKUP(E691,Customers!$A$2:$I$1001,7,0)</f>
        <v>United States</v>
      </c>
      <c r="K691" s="23" t="str">
        <f>VLOOKUP(E691,Customers!$A$2:$I$1001,9,0)</f>
        <v>No</v>
      </c>
      <c r="L691" s="4" t="s">
        <v>67</v>
      </c>
      <c r="M691" s="4" t="str">
        <f>VLOOKUP(L691,Products!$A$2:$G$49,2,0)</f>
        <v>Arabica</v>
      </c>
      <c r="N691" s="4" t="str">
        <f>VLOOKUP(L691,Products!$A$2:$G$49,3,0)</f>
        <v>Medium</v>
      </c>
      <c r="O691" s="25">
        <v>5</v>
      </c>
      <c r="P691" s="5">
        <f>INDEX([1]products!$A$1:$G$49,MATCH([1]orders!$D691,[1]products!$A$1:$A$49,0),MATCH([1]orders!K$1,[1]products!$A$1:$G$1,0))</f>
        <v>0.5</v>
      </c>
      <c r="Q691" s="6">
        <f>INDEX([1]products!$A$1:$G$49,MATCH([1]orders!$D691,[1]products!$A$1:$A$49,0),MATCH([1]orders!L$1,[1]products!$A$1:$G$1,0))</f>
        <v>6.75</v>
      </c>
      <c r="R691" s="6">
        <f t="shared" si="50"/>
        <v>33.75</v>
      </c>
      <c r="S691">
        <f>VLOOKUP(L691,Products!$A$2:$G$49,7,0)</f>
        <v>0.60749999999999993</v>
      </c>
      <c r="T691">
        <f t="shared" si="53"/>
        <v>3.0374999999999996</v>
      </c>
      <c r="U691" s="33">
        <f t="shared" si="54"/>
        <v>8.9999999999999982</v>
      </c>
    </row>
    <row r="692" spans="1:21" x14ac:dyDescent="0.25">
      <c r="A692" s="1" t="s">
        <v>1341</v>
      </c>
      <c r="B692" s="28">
        <v>44754</v>
      </c>
      <c r="C692" s="21" t="str">
        <f t="shared" si="51"/>
        <v>2022</v>
      </c>
      <c r="D692" s="19" t="str">
        <f t="shared" si="52"/>
        <v>July</v>
      </c>
      <c r="E692" s="3" t="s">
        <v>1342</v>
      </c>
      <c r="F692" s="3" t="str">
        <f>VLOOKUP(E692,Customers!$A$2:$I$1001,2,0)</f>
        <v>Francesco Dressel</v>
      </c>
      <c r="G692" s="3" t="str">
        <f>VLOOKUP(E692,Customers!$A$2:$I$1001,3,0)</f>
        <v>UNKNOWN</v>
      </c>
      <c r="H692" s="3" t="str">
        <f>VLOOKUP(E692,Customers!$A$2:$I$1001,4,0)</f>
        <v>UNKNOWN</v>
      </c>
      <c r="I692" s="25" t="str">
        <f>VLOOKUP(E692,Customers!$A$2:$I$1001,6,0)</f>
        <v>Toledo</v>
      </c>
      <c r="J692" s="25" t="str">
        <f>VLOOKUP(E692,Customers!$A$2:$I$1001,7,0)</f>
        <v>United States</v>
      </c>
      <c r="K692" s="23" t="str">
        <f>VLOOKUP(E692,Customers!$A$2:$I$1001,9,0)</f>
        <v>No</v>
      </c>
      <c r="L692" s="4" t="s">
        <v>109</v>
      </c>
      <c r="M692" s="4" t="str">
        <f>VLOOKUP(L692,Products!$A$2:$G$49,2,0)</f>
        <v>Liberica</v>
      </c>
      <c r="N692" s="4" t="str">
        <f>VLOOKUP(L692,Products!$A$2:$G$49,3,0)</f>
        <v>Dark</v>
      </c>
      <c r="O692" s="25">
        <v>6</v>
      </c>
      <c r="P692" s="5">
        <f>INDEX([1]products!$A$1:$G$49,MATCH([1]orders!$D692,[1]products!$A$1:$A$49,0),MATCH([1]orders!K$1,[1]products!$A$1:$G$1,0))</f>
        <v>2.5</v>
      </c>
      <c r="Q692" s="6">
        <f>INDEX([1]products!$A$1:$G$49,MATCH([1]orders!$D692,[1]products!$A$1:$A$49,0),MATCH([1]orders!L$1,[1]products!$A$1:$G$1,0))</f>
        <v>29.784999999999997</v>
      </c>
      <c r="R692" s="6">
        <f t="shared" si="50"/>
        <v>178.70999999999998</v>
      </c>
      <c r="S692">
        <f>VLOOKUP(L692,Products!$A$2:$G$49,7,0)</f>
        <v>3.8720499999999998</v>
      </c>
      <c r="T692">
        <f t="shared" si="53"/>
        <v>23.232299999999999</v>
      </c>
      <c r="U692" s="33">
        <f t="shared" si="54"/>
        <v>13</v>
      </c>
    </row>
    <row r="693" spans="1:21" x14ac:dyDescent="0.25">
      <c r="A693" s="1" t="s">
        <v>1343</v>
      </c>
      <c r="B693" s="28">
        <v>44227</v>
      </c>
      <c r="C693" s="21" t="str">
        <f t="shared" si="51"/>
        <v>2021</v>
      </c>
      <c r="D693" s="19" t="str">
        <f t="shared" si="52"/>
        <v>January</v>
      </c>
      <c r="E693" s="3" t="s">
        <v>1344</v>
      </c>
      <c r="F693" s="3" t="str">
        <f>VLOOKUP(E693,Customers!$A$2:$I$1001,2,0)</f>
        <v>Jimmy Dymoke</v>
      </c>
      <c r="G693" s="3" t="str">
        <f>VLOOKUP(E693,Customers!$A$2:$I$1001,3,0)</f>
        <v>jdymokeje@prnewswire.com</v>
      </c>
      <c r="H693" s="3" t="str">
        <f>VLOOKUP(E693,Customers!$A$2:$I$1001,4,0)</f>
        <v>+353 (390) 459-9269</v>
      </c>
      <c r="I693" s="25" t="str">
        <f>VLOOKUP(E693,Customers!$A$2:$I$1001,6,0)</f>
        <v>Beaumont</v>
      </c>
      <c r="J693" s="25" t="str">
        <f>VLOOKUP(E693,Customers!$A$2:$I$1001,7,0)</f>
        <v>Ireland</v>
      </c>
      <c r="K693" s="23" t="str">
        <f>VLOOKUP(E693,Customers!$A$2:$I$1001,9,0)</f>
        <v>No</v>
      </c>
      <c r="L693" s="4" t="s">
        <v>61</v>
      </c>
      <c r="M693" s="4" t="str">
        <f>VLOOKUP(L693,Products!$A$2:$G$49,2,0)</f>
        <v>Arabica</v>
      </c>
      <c r="N693" s="4" t="str">
        <f>VLOOKUP(L693,Products!$A$2:$G$49,3,0)</f>
        <v>Medium</v>
      </c>
      <c r="O693" s="25">
        <v>2</v>
      </c>
      <c r="P693" s="5">
        <f>INDEX([1]products!$A$1:$G$49,MATCH([1]orders!$D693,[1]products!$A$1:$A$49,0),MATCH([1]orders!K$1,[1]products!$A$1:$G$1,0))</f>
        <v>1</v>
      </c>
      <c r="Q693" s="6">
        <f>INDEX([1]products!$A$1:$G$49,MATCH([1]orders!$D693,[1]products!$A$1:$A$49,0),MATCH([1]orders!L$1,[1]products!$A$1:$G$1,0))</f>
        <v>11.25</v>
      </c>
      <c r="R693" s="6">
        <f t="shared" si="50"/>
        <v>22.5</v>
      </c>
      <c r="S693">
        <f>VLOOKUP(L693,Products!$A$2:$G$49,7,0)</f>
        <v>1.0125</v>
      </c>
      <c r="T693">
        <f t="shared" si="53"/>
        <v>2.0249999999999999</v>
      </c>
      <c r="U693" s="33">
        <f t="shared" si="54"/>
        <v>9</v>
      </c>
    </row>
    <row r="694" spans="1:21" x14ac:dyDescent="0.25">
      <c r="A694" s="1" t="s">
        <v>1345</v>
      </c>
      <c r="B694" s="28">
        <v>43720</v>
      </c>
      <c r="C694" s="21" t="str">
        <f t="shared" si="51"/>
        <v>2019</v>
      </c>
      <c r="D694" s="19" t="str">
        <f t="shared" si="52"/>
        <v>September</v>
      </c>
      <c r="E694" s="3" t="s">
        <v>1346</v>
      </c>
      <c r="F694" s="3" t="str">
        <f>VLOOKUP(E694,Customers!$A$2:$I$1001,2,0)</f>
        <v>Ambrosio Weinmann</v>
      </c>
      <c r="G694" s="3" t="str">
        <f>VLOOKUP(E694,Customers!$A$2:$I$1001,3,0)</f>
        <v>aweinmannj8@shinystat.com</v>
      </c>
      <c r="H694" s="3" t="str">
        <f>VLOOKUP(E694,Customers!$A$2:$I$1001,4,0)</f>
        <v>+1 (513) 966-3308</v>
      </c>
      <c r="I694" s="25" t="str">
        <f>VLOOKUP(E694,Customers!$A$2:$I$1001,6,0)</f>
        <v>Cincinnati</v>
      </c>
      <c r="J694" s="25" t="str">
        <f>VLOOKUP(E694,Customers!$A$2:$I$1001,7,0)</f>
        <v>United States</v>
      </c>
      <c r="K694" s="23" t="str">
        <f>VLOOKUP(E694,Customers!$A$2:$I$1001,9,0)</f>
        <v>No</v>
      </c>
      <c r="L694" s="4" t="s">
        <v>13</v>
      </c>
      <c r="M694" s="4" t="str">
        <f>VLOOKUP(L694,Products!$A$2:$G$49,2,0)</f>
        <v>Liberica</v>
      </c>
      <c r="N694" s="4" t="str">
        <f>VLOOKUP(L694,Products!$A$2:$G$49,3,0)</f>
        <v>Dark</v>
      </c>
      <c r="O694" s="25">
        <v>1</v>
      </c>
      <c r="P694" s="5">
        <f>INDEX([1]products!$A$1:$G$49,MATCH([1]orders!$D694,[1]products!$A$1:$A$49,0),MATCH([1]orders!K$1,[1]products!$A$1:$G$1,0))</f>
        <v>1</v>
      </c>
      <c r="Q694" s="6">
        <f>INDEX([1]products!$A$1:$G$49,MATCH([1]orders!$D694,[1]products!$A$1:$A$49,0),MATCH([1]orders!L$1,[1]products!$A$1:$G$1,0))</f>
        <v>12.95</v>
      </c>
      <c r="R694" s="6">
        <f t="shared" si="50"/>
        <v>12.95</v>
      </c>
      <c r="S694">
        <f>VLOOKUP(L694,Products!$A$2:$G$49,7,0)</f>
        <v>1.6835</v>
      </c>
      <c r="T694">
        <f t="shared" si="53"/>
        <v>1.6835</v>
      </c>
      <c r="U694" s="33">
        <f t="shared" si="54"/>
        <v>13</v>
      </c>
    </row>
    <row r="695" spans="1:21" x14ac:dyDescent="0.25">
      <c r="A695" s="1" t="s">
        <v>1347</v>
      </c>
      <c r="B695" s="28">
        <v>44012</v>
      </c>
      <c r="C695" s="21" t="str">
        <f t="shared" si="51"/>
        <v>2020</v>
      </c>
      <c r="D695" s="19" t="str">
        <f t="shared" si="52"/>
        <v>June</v>
      </c>
      <c r="E695" s="3" t="s">
        <v>1348</v>
      </c>
      <c r="F695" s="3" t="str">
        <f>VLOOKUP(E695,Customers!$A$2:$I$1001,2,0)</f>
        <v>Elden Andriessen</v>
      </c>
      <c r="G695" s="3" t="str">
        <f>VLOOKUP(E695,Customers!$A$2:$I$1001,3,0)</f>
        <v>eandriessenj9@europa.eu</v>
      </c>
      <c r="H695" s="3" t="str">
        <f>VLOOKUP(E695,Customers!$A$2:$I$1001,4,0)</f>
        <v>+1 (314) 307-5250</v>
      </c>
      <c r="I695" s="25" t="str">
        <f>VLOOKUP(E695,Customers!$A$2:$I$1001,6,0)</f>
        <v>Saint Louis</v>
      </c>
      <c r="J695" s="25" t="str">
        <f>VLOOKUP(E695,Customers!$A$2:$I$1001,7,0)</f>
        <v>United States</v>
      </c>
      <c r="K695" s="23" t="str">
        <f>VLOOKUP(E695,Customers!$A$2:$I$1001,9,0)</f>
        <v>Yes</v>
      </c>
      <c r="L695" s="4" t="s">
        <v>171</v>
      </c>
      <c r="M695" s="4" t="str">
        <f>VLOOKUP(L695,Products!$A$2:$G$49,2,0)</f>
        <v>Arabica</v>
      </c>
      <c r="N695" s="4" t="str">
        <f>VLOOKUP(L695,Products!$A$2:$G$49,3,0)</f>
        <v>Medium</v>
      </c>
      <c r="O695" s="25">
        <v>2</v>
      </c>
      <c r="P695" s="5">
        <f>INDEX([1]products!$A$1:$G$49,MATCH([1]orders!$D695,[1]products!$A$1:$A$49,0),MATCH([1]orders!K$1,[1]products!$A$1:$G$1,0))</f>
        <v>2.5</v>
      </c>
      <c r="Q695" s="6">
        <f>INDEX([1]products!$A$1:$G$49,MATCH([1]orders!$D695,[1]products!$A$1:$A$49,0),MATCH([1]orders!L$1,[1]products!$A$1:$G$1,0))</f>
        <v>25.874999999999996</v>
      </c>
      <c r="R695" s="6">
        <f t="shared" si="50"/>
        <v>51.749999999999993</v>
      </c>
      <c r="S695">
        <f>VLOOKUP(L695,Products!$A$2:$G$49,7,0)</f>
        <v>2.3287499999999994</v>
      </c>
      <c r="T695">
        <f t="shared" si="53"/>
        <v>4.6574999999999989</v>
      </c>
      <c r="U695" s="33">
        <f t="shared" si="54"/>
        <v>9</v>
      </c>
    </row>
    <row r="696" spans="1:21" x14ac:dyDescent="0.25">
      <c r="A696" s="1" t="s">
        <v>1349</v>
      </c>
      <c r="B696" s="28">
        <v>43915</v>
      </c>
      <c r="C696" s="21" t="str">
        <f t="shared" si="51"/>
        <v>2020</v>
      </c>
      <c r="D696" s="19" t="str">
        <f t="shared" si="52"/>
        <v>March</v>
      </c>
      <c r="E696" s="3" t="s">
        <v>1350</v>
      </c>
      <c r="F696" s="3" t="str">
        <f>VLOOKUP(E696,Customers!$A$2:$I$1001,2,0)</f>
        <v>Roxie Deaconson</v>
      </c>
      <c r="G696" s="3" t="str">
        <f>VLOOKUP(E696,Customers!$A$2:$I$1001,3,0)</f>
        <v>rdeaconsonja@archive.org</v>
      </c>
      <c r="H696" s="3" t="str">
        <f>VLOOKUP(E696,Customers!$A$2:$I$1001,4,0)</f>
        <v>+1 (914) 524-1161</v>
      </c>
      <c r="I696" s="25" t="str">
        <f>VLOOKUP(E696,Customers!$A$2:$I$1001,6,0)</f>
        <v>Yonkers</v>
      </c>
      <c r="J696" s="25" t="str">
        <f>VLOOKUP(E696,Customers!$A$2:$I$1001,7,0)</f>
        <v>United States</v>
      </c>
      <c r="K696" s="23" t="str">
        <f>VLOOKUP(E696,Customers!$A$2:$I$1001,9,0)</f>
        <v>No</v>
      </c>
      <c r="L696" s="4" t="s">
        <v>16</v>
      </c>
      <c r="M696" s="4" t="str">
        <f>VLOOKUP(L696,Products!$A$2:$G$49,2,0)</f>
        <v>Excelsa</v>
      </c>
      <c r="N696" s="4" t="str">
        <f>VLOOKUP(L696,Products!$A$2:$G$49,3,0)</f>
        <v>Dark</v>
      </c>
      <c r="O696" s="25">
        <v>5</v>
      </c>
      <c r="P696" s="5">
        <f>INDEX([1]products!$A$1:$G$49,MATCH([1]orders!$D696,[1]products!$A$1:$A$49,0),MATCH([1]orders!K$1,[1]products!$A$1:$G$1,0))</f>
        <v>0.5</v>
      </c>
      <c r="Q696" s="6">
        <f>INDEX([1]products!$A$1:$G$49,MATCH([1]orders!$D696,[1]products!$A$1:$A$49,0),MATCH([1]orders!L$1,[1]products!$A$1:$G$1,0))</f>
        <v>7.29</v>
      </c>
      <c r="R696" s="6">
        <f t="shared" si="50"/>
        <v>36.450000000000003</v>
      </c>
      <c r="S696">
        <f>VLOOKUP(L696,Products!$A$2:$G$49,7,0)</f>
        <v>0.80190000000000006</v>
      </c>
      <c r="T696">
        <f t="shared" si="53"/>
        <v>4.0095000000000001</v>
      </c>
      <c r="U696" s="33">
        <f t="shared" si="54"/>
        <v>10.999999999999998</v>
      </c>
    </row>
    <row r="697" spans="1:21" x14ac:dyDescent="0.25">
      <c r="A697" s="1" t="s">
        <v>1351</v>
      </c>
      <c r="B697" s="28">
        <v>44300</v>
      </c>
      <c r="C697" s="21" t="str">
        <f t="shared" si="51"/>
        <v>2021</v>
      </c>
      <c r="D697" s="19" t="str">
        <f t="shared" si="52"/>
        <v>April</v>
      </c>
      <c r="E697" s="3" t="s">
        <v>1352</v>
      </c>
      <c r="F697" s="3" t="str">
        <f>VLOOKUP(E697,Customers!$A$2:$I$1001,2,0)</f>
        <v>Davida Caro</v>
      </c>
      <c r="G697" s="3" t="str">
        <f>VLOOKUP(E697,Customers!$A$2:$I$1001,3,0)</f>
        <v>dcarojb@twitter.com</v>
      </c>
      <c r="H697" s="3" t="str">
        <f>VLOOKUP(E697,Customers!$A$2:$I$1001,4,0)</f>
        <v>+1 (410) 594-3041</v>
      </c>
      <c r="I697" s="25" t="str">
        <f>VLOOKUP(E697,Customers!$A$2:$I$1001,6,0)</f>
        <v>Baltimore</v>
      </c>
      <c r="J697" s="25" t="str">
        <f>VLOOKUP(E697,Customers!$A$2:$I$1001,7,0)</f>
        <v>United States</v>
      </c>
      <c r="K697" s="23" t="str">
        <f>VLOOKUP(E697,Customers!$A$2:$I$1001,9,0)</f>
        <v>Yes</v>
      </c>
      <c r="L697" s="4" t="s">
        <v>104</v>
      </c>
      <c r="M697" s="4" t="str">
        <f>VLOOKUP(L697,Products!$A$2:$G$49,2,0)</f>
        <v>Liberica</v>
      </c>
      <c r="N697" s="4" t="str">
        <f>VLOOKUP(L697,Products!$A$2:$G$49,3,0)</f>
        <v>Light</v>
      </c>
      <c r="O697" s="25">
        <v>5</v>
      </c>
      <c r="P697" s="5">
        <f>INDEX([1]products!$A$1:$G$49,MATCH([1]orders!$D697,[1]products!$A$1:$A$49,0),MATCH([1]orders!K$1,[1]products!$A$1:$G$1,0))</f>
        <v>2.5</v>
      </c>
      <c r="Q697" s="6">
        <f>INDEX([1]products!$A$1:$G$49,MATCH([1]orders!$D697,[1]products!$A$1:$A$49,0),MATCH([1]orders!L$1,[1]products!$A$1:$G$1,0))</f>
        <v>36.454999999999998</v>
      </c>
      <c r="R697" s="6">
        <f t="shared" si="50"/>
        <v>182.27499999999998</v>
      </c>
      <c r="S697">
        <f>VLOOKUP(L697,Products!$A$2:$G$49,7,0)</f>
        <v>4.7391499999999995</v>
      </c>
      <c r="T697">
        <f t="shared" si="53"/>
        <v>23.695749999999997</v>
      </c>
      <c r="U697" s="33">
        <f t="shared" si="54"/>
        <v>13</v>
      </c>
    </row>
    <row r="698" spans="1:21" x14ac:dyDescent="0.25">
      <c r="A698" s="1" t="s">
        <v>1353</v>
      </c>
      <c r="B698" s="28">
        <v>43693</v>
      </c>
      <c r="C698" s="21" t="str">
        <f t="shared" si="51"/>
        <v>2019</v>
      </c>
      <c r="D698" s="19" t="str">
        <f t="shared" si="52"/>
        <v>August</v>
      </c>
      <c r="E698" s="3" t="s">
        <v>1354</v>
      </c>
      <c r="F698" s="3" t="str">
        <f>VLOOKUP(E698,Customers!$A$2:$I$1001,2,0)</f>
        <v>Johna Bluck</v>
      </c>
      <c r="G698" s="3" t="str">
        <f>VLOOKUP(E698,Customers!$A$2:$I$1001,3,0)</f>
        <v>jbluckjc@imageshack.us</v>
      </c>
      <c r="H698" s="3" t="str">
        <f>VLOOKUP(E698,Customers!$A$2:$I$1001,4,0)</f>
        <v>+1 (904) 875-3139</v>
      </c>
      <c r="I698" s="25" t="str">
        <f>VLOOKUP(E698,Customers!$A$2:$I$1001,6,0)</f>
        <v>Jacksonville</v>
      </c>
      <c r="J698" s="25" t="str">
        <f>VLOOKUP(E698,Customers!$A$2:$I$1001,7,0)</f>
        <v>United States</v>
      </c>
      <c r="K698" s="23" t="str">
        <f>VLOOKUP(E698,Customers!$A$2:$I$1001,9,0)</f>
        <v>No</v>
      </c>
      <c r="L698" s="4" t="s">
        <v>123</v>
      </c>
      <c r="M698" s="4" t="str">
        <f>VLOOKUP(L698,Products!$A$2:$G$49,2,0)</f>
        <v>Liberica</v>
      </c>
      <c r="N698" s="4" t="str">
        <f>VLOOKUP(L698,Products!$A$2:$G$49,3,0)</f>
        <v>Dark</v>
      </c>
      <c r="O698" s="25">
        <v>4</v>
      </c>
      <c r="P698" s="5">
        <f>INDEX([1]products!$A$1:$G$49,MATCH([1]orders!$D698,[1]products!$A$1:$A$49,0),MATCH([1]orders!K$1,[1]products!$A$1:$G$1,0))</f>
        <v>0.5</v>
      </c>
      <c r="Q698" s="6">
        <f>INDEX([1]products!$A$1:$G$49,MATCH([1]orders!$D698,[1]products!$A$1:$A$49,0),MATCH([1]orders!L$1,[1]products!$A$1:$G$1,0))</f>
        <v>7.77</v>
      </c>
      <c r="R698" s="6">
        <f t="shared" si="50"/>
        <v>31.08</v>
      </c>
      <c r="S698">
        <f>VLOOKUP(L698,Products!$A$2:$G$49,7,0)</f>
        <v>1.0101</v>
      </c>
      <c r="T698">
        <f t="shared" si="53"/>
        <v>4.0404</v>
      </c>
      <c r="U698" s="33">
        <f t="shared" si="54"/>
        <v>13</v>
      </c>
    </row>
    <row r="699" spans="1:21" x14ac:dyDescent="0.25">
      <c r="A699" s="1" t="s">
        <v>1355</v>
      </c>
      <c r="B699" s="28">
        <v>44547</v>
      </c>
      <c r="C699" s="21" t="str">
        <f t="shared" si="51"/>
        <v>2021</v>
      </c>
      <c r="D699" s="19" t="str">
        <f t="shared" si="52"/>
        <v>December</v>
      </c>
      <c r="E699" s="3" t="s">
        <v>1356</v>
      </c>
      <c r="F699" s="3" t="str">
        <f>VLOOKUP(E699,Customers!$A$2:$I$1001,2,0)</f>
        <v>Myrle Dearden</v>
      </c>
      <c r="G699" s="3" t="str">
        <f>VLOOKUP(E699,Customers!$A$2:$I$1001,3,0)</f>
        <v>UNKNOWN</v>
      </c>
      <c r="H699" s="3" t="str">
        <f>VLOOKUP(E699,Customers!$A$2:$I$1001,4,0)</f>
        <v>UNKNOWN</v>
      </c>
      <c r="I699" s="25" t="str">
        <f>VLOOKUP(E699,Customers!$A$2:$I$1001,6,0)</f>
        <v>Bayside</v>
      </c>
      <c r="J699" s="25" t="str">
        <f>VLOOKUP(E699,Customers!$A$2:$I$1001,7,0)</f>
        <v>Ireland</v>
      </c>
      <c r="K699" s="23" t="str">
        <f>VLOOKUP(E699,Customers!$A$2:$I$1001,9,0)</f>
        <v>No</v>
      </c>
      <c r="L699" s="4" t="s">
        <v>67</v>
      </c>
      <c r="M699" s="4" t="str">
        <f>VLOOKUP(L699,Products!$A$2:$G$49,2,0)</f>
        <v>Arabica</v>
      </c>
      <c r="N699" s="4" t="str">
        <f>VLOOKUP(L699,Products!$A$2:$G$49,3,0)</f>
        <v>Medium</v>
      </c>
      <c r="O699" s="25">
        <v>3</v>
      </c>
      <c r="P699" s="5">
        <f>INDEX([1]products!$A$1:$G$49,MATCH([1]orders!$D699,[1]products!$A$1:$A$49,0),MATCH([1]orders!K$1,[1]products!$A$1:$G$1,0))</f>
        <v>0.5</v>
      </c>
      <c r="Q699" s="6">
        <f>INDEX([1]products!$A$1:$G$49,MATCH([1]orders!$D699,[1]products!$A$1:$A$49,0),MATCH([1]orders!L$1,[1]products!$A$1:$G$1,0))</f>
        <v>6.75</v>
      </c>
      <c r="R699" s="6">
        <f t="shared" si="50"/>
        <v>20.25</v>
      </c>
      <c r="S699">
        <f>VLOOKUP(L699,Products!$A$2:$G$49,7,0)</f>
        <v>0.60749999999999993</v>
      </c>
      <c r="T699">
        <f t="shared" si="53"/>
        <v>1.8224999999999998</v>
      </c>
      <c r="U699" s="33">
        <f t="shared" si="54"/>
        <v>8.9999999999999982</v>
      </c>
    </row>
    <row r="700" spans="1:21" x14ac:dyDescent="0.25">
      <c r="A700" s="1" t="s">
        <v>1357</v>
      </c>
      <c r="B700" s="28">
        <v>43830</v>
      </c>
      <c r="C700" s="21" t="str">
        <f t="shared" si="51"/>
        <v>2019</v>
      </c>
      <c r="D700" s="19" t="str">
        <f t="shared" si="52"/>
        <v>December</v>
      </c>
      <c r="E700" s="3" t="s">
        <v>1344</v>
      </c>
      <c r="F700" s="3" t="str">
        <f>VLOOKUP(E700,Customers!$A$2:$I$1001,2,0)</f>
        <v>Jimmy Dymoke</v>
      </c>
      <c r="G700" s="3" t="str">
        <f>VLOOKUP(E700,Customers!$A$2:$I$1001,3,0)</f>
        <v>jdymokeje@prnewswire.com</v>
      </c>
      <c r="H700" s="3" t="str">
        <f>VLOOKUP(E700,Customers!$A$2:$I$1001,4,0)</f>
        <v>+353 (390) 459-9269</v>
      </c>
      <c r="I700" s="25" t="str">
        <f>VLOOKUP(E700,Customers!$A$2:$I$1001,6,0)</f>
        <v>Beaumont</v>
      </c>
      <c r="J700" s="25" t="str">
        <f>VLOOKUP(E700,Customers!$A$2:$I$1001,7,0)</f>
        <v>Ireland</v>
      </c>
      <c r="K700" s="23" t="str">
        <f>VLOOKUP(E700,Customers!$A$2:$I$1001,9,0)</f>
        <v>No</v>
      </c>
      <c r="L700" s="4" t="s">
        <v>13</v>
      </c>
      <c r="M700" s="4" t="str">
        <f>VLOOKUP(L700,Products!$A$2:$G$49,2,0)</f>
        <v>Liberica</v>
      </c>
      <c r="N700" s="4" t="str">
        <f>VLOOKUP(L700,Products!$A$2:$G$49,3,0)</f>
        <v>Dark</v>
      </c>
      <c r="O700" s="25">
        <v>2</v>
      </c>
      <c r="P700" s="5">
        <f>INDEX([1]products!$A$1:$G$49,MATCH([1]orders!$D700,[1]products!$A$1:$A$49,0),MATCH([1]orders!K$1,[1]products!$A$1:$G$1,0))</f>
        <v>1</v>
      </c>
      <c r="Q700" s="6">
        <f>INDEX([1]products!$A$1:$G$49,MATCH([1]orders!$D700,[1]products!$A$1:$A$49,0),MATCH([1]orders!L$1,[1]products!$A$1:$G$1,0))</f>
        <v>12.95</v>
      </c>
      <c r="R700" s="6">
        <f t="shared" si="50"/>
        <v>25.9</v>
      </c>
      <c r="S700">
        <f>VLOOKUP(L700,Products!$A$2:$G$49,7,0)</f>
        <v>1.6835</v>
      </c>
      <c r="T700">
        <f t="shared" si="53"/>
        <v>3.367</v>
      </c>
      <c r="U700" s="33">
        <f t="shared" si="54"/>
        <v>13</v>
      </c>
    </row>
    <row r="701" spans="1:21" x14ac:dyDescent="0.25">
      <c r="A701" s="1" t="s">
        <v>1358</v>
      </c>
      <c r="B701" s="28">
        <v>44298</v>
      </c>
      <c r="C701" s="21" t="str">
        <f t="shared" si="51"/>
        <v>2021</v>
      </c>
      <c r="D701" s="19" t="str">
        <f t="shared" si="52"/>
        <v>April</v>
      </c>
      <c r="E701" s="3" t="s">
        <v>1359</v>
      </c>
      <c r="F701" s="3" t="str">
        <f>VLOOKUP(E701,Customers!$A$2:$I$1001,2,0)</f>
        <v>Orland Tadman</v>
      </c>
      <c r="G701" s="3" t="str">
        <f>VLOOKUP(E701,Customers!$A$2:$I$1001,3,0)</f>
        <v>otadmanjf@ft.com</v>
      </c>
      <c r="H701" s="3" t="str">
        <f>VLOOKUP(E701,Customers!$A$2:$I$1001,4,0)</f>
        <v>+1 (305) 205-3682</v>
      </c>
      <c r="I701" s="25" t="str">
        <f>VLOOKUP(E701,Customers!$A$2:$I$1001,6,0)</f>
        <v>Miami</v>
      </c>
      <c r="J701" s="25" t="str">
        <f>VLOOKUP(E701,Customers!$A$2:$I$1001,7,0)</f>
        <v>United States</v>
      </c>
      <c r="K701" s="23" t="str">
        <f>VLOOKUP(E701,Customers!$A$2:$I$1001,9,0)</f>
        <v>Yes</v>
      </c>
      <c r="L701" s="4" t="s">
        <v>72</v>
      </c>
      <c r="M701" s="4" t="str">
        <f>VLOOKUP(L701,Products!$A$2:$G$49,2,0)</f>
        <v>Arabica</v>
      </c>
      <c r="N701" s="4" t="str">
        <f>VLOOKUP(L701,Products!$A$2:$G$49,3,0)</f>
        <v>Dark</v>
      </c>
      <c r="O701" s="25">
        <v>4</v>
      </c>
      <c r="P701" s="5">
        <f>INDEX([1]products!$A$1:$G$49,MATCH([1]orders!$D701,[1]products!$A$1:$A$49,0),MATCH([1]orders!K$1,[1]products!$A$1:$G$1,0))</f>
        <v>0.5</v>
      </c>
      <c r="Q701" s="6">
        <f>INDEX([1]products!$A$1:$G$49,MATCH([1]orders!$D701,[1]products!$A$1:$A$49,0),MATCH([1]orders!L$1,[1]products!$A$1:$G$1,0))</f>
        <v>5.97</v>
      </c>
      <c r="R701" s="6">
        <f t="shared" si="50"/>
        <v>23.88</v>
      </c>
      <c r="S701">
        <f>VLOOKUP(L701,Products!$A$2:$G$49,7,0)</f>
        <v>0.5373</v>
      </c>
      <c r="T701">
        <f t="shared" si="53"/>
        <v>2.1492</v>
      </c>
      <c r="U701" s="33">
        <f t="shared" si="54"/>
        <v>9.0000000000000018</v>
      </c>
    </row>
    <row r="702" spans="1:21" x14ac:dyDescent="0.25">
      <c r="A702" s="1" t="s">
        <v>1360</v>
      </c>
      <c r="B702" s="28">
        <v>43736</v>
      </c>
      <c r="C702" s="21" t="str">
        <f t="shared" si="51"/>
        <v>2019</v>
      </c>
      <c r="D702" s="19" t="str">
        <f t="shared" si="52"/>
        <v>September</v>
      </c>
      <c r="E702" s="3" t="s">
        <v>1361</v>
      </c>
      <c r="F702" s="3" t="str">
        <f>VLOOKUP(E702,Customers!$A$2:$I$1001,2,0)</f>
        <v>Barrett Gudde</v>
      </c>
      <c r="G702" s="3" t="str">
        <f>VLOOKUP(E702,Customers!$A$2:$I$1001,3,0)</f>
        <v>bguddejg@dailymotion.com</v>
      </c>
      <c r="H702" s="3" t="str">
        <f>VLOOKUP(E702,Customers!$A$2:$I$1001,4,0)</f>
        <v>UNKNOWN</v>
      </c>
      <c r="I702" s="25" t="str">
        <f>VLOOKUP(E702,Customers!$A$2:$I$1001,6,0)</f>
        <v>San Francisco</v>
      </c>
      <c r="J702" s="25" t="str">
        <f>VLOOKUP(E702,Customers!$A$2:$I$1001,7,0)</f>
        <v>United States</v>
      </c>
      <c r="K702" s="23" t="str">
        <f>VLOOKUP(E702,Customers!$A$2:$I$1001,9,0)</f>
        <v>No</v>
      </c>
      <c r="L702" s="4" t="s">
        <v>83</v>
      </c>
      <c r="M702" s="4" t="str">
        <f>VLOOKUP(L702,Products!$A$2:$G$49,2,0)</f>
        <v>Liberica</v>
      </c>
      <c r="N702" s="4" t="str">
        <f>VLOOKUP(L702,Products!$A$2:$G$49,3,0)</f>
        <v>Light</v>
      </c>
      <c r="O702" s="25">
        <v>2</v>
      </c>
      <c r="P702" s="5">
        <f>INDEX([1]products!$A$1:$G$49,MATCH([1]orders!$D702,[1]products!$A$1:$A$49,0),MATCH([1]orders!K$1,[1]products!$A$1:$G$1,0))</f>
        <v>0.5</v>
      </c>
      <c r="Q702" s="6">
        <f>INDEX([1]products!$A$1:$G$49,MATCH([1]orders!$D702,[1]products!$A$1:$A$49,0),MATCH([1]orders!L$1,[1]products!$A$1:$G$1,0))</f>
        <v>9.51</v>
      </c>
      <c r="R702" s="6">
        <f t="shared" si="50"/>
        <v>19.02</v>
      </c>
      <c r="S702">
        <f>VLOOKUP(L702,Products!$A$2:$G$49,7,0)</f>
        <v>1.2363</v>
      </c>
      <c r="T702">
        <f t="shared" si="53"/>
        <v>2.4725999999999999</v>
      </c>
      <c r="U702" s="33">
        <f t="shared" si="54"/>
        <v>13</v>
      </c>
    </row>
    <row r="703" spans="1:21" x14ac:dyDescent="0.25">
      <c r="A703" s="1" t="s">
        <v>1362</v>
      </c>
      <c r="B703" s="28">
        <v>44727</v>
      </c>
      <c r="C703" s="21" t="str">
        <f t="shared" si="51"/>
        <v>2022</v>
      </c>
      <c r="D703" s="19" t="str">
        <f t="shared" si="52"/>
        <v>June</v>
      </c>
      <c r="E703" s="3" t="s">
        <v>1363</v>
      </c>
      <c r="F703" s="3" t="str">
        <f>VLOOKUP(E703,Customers!$A$2:$I$1001,2,0)</f>
        <v>Nathan Sictornes</v>
      </c>
      <c r="G703" s="3" t="str">
        <f>VLOOKUP(E703,Customers!$A$2:$I$1001,3,0)</f>
        <v>nsictornesjh@buzzfeed.com</v>
      </c>
      <c r="H703" s="3" t="str">
        <f>VLOOKUP(E703,Customers!$A$2:$I$1001,4,0)</f>
        <v>+353 (410) 713-0145</v>
      </c>
      <c r="I703" s="25" t="str">
        <f>VLOOKUP(E703,Customers!$A$2:$I$1001,6,0)</f>
        <v>Sandyford</v>
      </c>
      <c r="J703" s="25" t="str">
        <f>VLOOKUP(E703,Customers!$A$2:$I$1001,7,0)</f>
        <v>Ireland</v>
      </c>
      <c r="K703" s="23" t="str">
        <f>VLOOKUP(E703,Customers!$A$2:$I$1001,9,0)</f>
        <v>Yes</v>
      </c>
      <c r="L703" s="4" t="s">
        <v>72</v>
      </c>
      <c r="M703" s="4" t="str">
        <f>VLOOKUP(L703,Products!$A$2:$G$49,2,0)</f>
        <v>Arabica</v>
      </c>
      <c r="N703" s="4" t="str">
        <f>VLOOKUP(L703,Products!$A$2:$G$49,3,0)</f>
        <v>Dark</v>
      </c>
      <c r="O703" s="25">
        <v>5</v>
      </c>
      <c r="P703" s="5">
        <f>INDEX([1]products!$A$1:$G$49,MATCH([1]orders!$D703,[1]products!$A$1:$A$49,0),MATCH([1]orders!K$1,[1]products!$A$1:$G$1,0))</f>
        <v>0.5</v>
      </c>
      <c r="Q703" s="6">
        <f>INDEX([1]products!$A$1:$G$49,MATCH([1]orders!$D703,[1]products!$A$1:$A$49,0),MATCH([1]orders!L$1,[1]products!$A$1:$G$1,0))</f>
        <v>5.97</v>
      </c>
      <c r="R703" s="6">
        <f t="shared" si="50"/>
        <v>29.849999999999998</v>
      </c>
      <c r="S703">
        <f>VLOOKUP(L703,Products!$A$2:$G$49,7,0)</f>
        <v>0.5373</v>
      </c>
      <c r="T703">
        <f t="shared" si="53"/>
        <v>2.6865000000000001</v>
      </c>
      <c r="U703" s="33">
        <f t="shared" si="54"/>
        <v>9.0000000000000018</v>
      </c>
    </row>
    <row r="704" spans="1:21" x14ac:dyDescent="0.25">
      <c r="A704" s="1" t="s">
        <v>1364</v>
      </c>
      <c r="B704" s="28">
        <v>43661</v>
      </c>
      <c r="C704" s="21" t="str">
        <f t="shared" si="51"/>
        <v>2019</v>
      </c>
      <c r="D704" s="19" t="str">
        <f t="shared" si="52"/>
        <v>July</v>
      </c>
      <c r="E704" s="3" t="s">
        <v>1365</v>
      </c>
      <c r="F704" s="3" t="str">
        <f>VLOOKUP(E704,Customers!$A$2:$I$1001,2,0)</f>
        <v>Vivyan Dunning</v>
      </c>
      <c r="G704" s="3" t="str">
        <f>VLOOKUP(E704,Customers!$A$2:$I$1001,3,0)</f>
        <v>vdunningji@independent.co.uk</v>
      </c>
      <c r="H704" s="3" t="str">
        <f>VLOOKUP(E704,Customers!$A$2:$I$1001,4,0)</f>
        <v>UNKNOWN</v>
      </c>
      <c r="I704" s="25" t="str">
        <f>VLOOKUP(E704,Customers!$A$2:$I$1001,6,0)</f>
        <v>Punta Gorda</v>
      </c>
      <c r="J704" s="25" t="str">
        <f>VLOOKUP(E704,Customers!$A$2:$I$1001,7,0)</f>
        <v>United States</v>
      </c>
      <c r="K704" s="23" t="str">
        <f>VLOOKUP(E704,Customers!$A$2:$I$1001,9,0)</f>
        <v>Yes</v>
      </c>
      <c r="L704" s="4" t="s">
        <v>192</v>
      </c>
      <c r="M704" s="4" t="str">
        <f>VLOOKUP(L704,Products!$A$2:$G$49,2,0)</f>
        <v>Arabica</v>
      </c>
      <c r="N704" s="4" t="str">
        <f>VLOOKUP(L704,Products!$A$2:$G$49,3,0)</f>
        <v>Light</v>
      </c>
      <c r="O704" s="25">
        <v>1</v>
      </c>
      <c r="P704" s="5">
        <f>INDEX([1]products!$A$1:$G$49,MATCH([1]orders!$D704,[1]products!$A$1:$A$49,0),MATCH([1]orders!K$1,[1]products!$A$1:$G$1,0))</f>
        <v>0.5</v>
      </c>
      <c r="Q704" s="6">
        <f>INDEX([1]products!$A$1:$G$49,MATCH([1]orders!$D704,[1]products!$A$1:$A$49,0),MATCH([1]orders!L$1,[1]products!$A$1:$G$1,0))</f>
        <v>7.77</v>
      </c>
      <c r="R704" s="6">
        <f t="shared" si="50"/>
        <v>7.77</v>
      </c>
      <c r="S704">
        <f>VLOOKUP(L704,Products!$A$2:$G$49,7,0)</f>
        <v>0.69929999999999992</v>
      </c>
      <c r="T704">
        <f t="shared" si="53"/>
        <v>0.69929999999999992</v>
      </c>
      <c r="U704" s="33">
        <f t="shared" si="54"/>
        <v>9</v>
      </c>
    </row>
    <row r="705" spans="1:21" x14ac:dyDescent="0.25">
      <c r="A705" s="1" t="s">
        <v>1366</v>
      </c>
      <c r="B705" s="28">
        <v>43506</v>
      </c>
      <c r="C705" s="21" t="str">
        <f t="shared" si="51"/>
        <v>2019</v>
      </c>
      <c r="D705" s="19" t="str">
        <f t="shared" si="52"/>
        <v>February</v>
      </c>
      <c r="E705" s="3" t="s">
        <v>1367</v>
      </c>
      <c r="F705" s="3" t="str">
        <f>VLOOKUP(E705,Customers!$A$2:$I$1001,2,0)</f>
        <v>Doralin Baison</v>
      </c>
      <c r="G705" s="3" t="str">
        <f>VLOOKUP(E705,Customers!$A$2:$I$1001,3,0)</f>
        <v>UNKNOWN</v>
      </c>
      <c r="H705" s="3" t="str">
        <f>VLOOKUP(E705,Customers!$A$2:$I$1001,4,0)</f>
        <v>+353 (214) 406-4884</v>
      </c>
      <c r="I705" s="25" t="str">
        <f>VLOOKUP(E705,Customers!$A$2:$I$1001,6,0)</f>
        <v>Ballivor</v>
      </c>
      <c r="J705" s="25" t="str">
        <f>VLOOKUP(E705,Customers!$A$2:$I$1001,7,0)</f>
        <v>Ireland</v>
      </c>
      <c r="K705" s="23" t="str">
        <f>VLOOKUP(E705,Customers!$A$2:$I$1001,9,0)</f>
        <v>Yes</v>
      </c>
      <c r="L705" s="4" t="s">
        <v>109</v>
      </c>
      <c r="M705" s="4" t="str">
        <f>VLOOKUP(L705,Products!$A$2:$G$49,2,0)</f>
        <v>Liberica</v>
      </c>
      <c r="N705" s="4" t="str">
        <f>VLOOKUP(L705,Products!$A$2:$G$49,3,0)</f>
        <v>Dark</v>
      </c>
      <c r="O705" s="25">
        <v>4</v>
      </c>
      <c r="P705" s="5">
        <f>INDEX([1]products!$A$1:$G$49,MATCH([1]orders!$D705,[1]products!$A$1:$A$49,0),MATCH([1]orders!K$1,[1]products!$A$1:$G$1,0))</f>
        <v>2.5</v>
      </c>
      <c r="Q705" s="6">
        <f>INDEX([1]products!$A$1:$G$49,MATCH([1]orders!$D705,[1]products!$A$1:$A$49,0),MATCH([1]orders!L$1,[1]products!$A$1:$G$1,0))</f>
        <v>29.784999999999997</v>
      </c>
      <c r="R705" s="6">
        <f t="shared" si="50"/>
        <v>119.13999999999999</v>
      </c>
      <c r="S705">
        <f>VLOOKUP(L705,Products!$A$2:$G$49,7,0)</f>
        <v>3.8720499999999998</v>
      </c>
      <c r="T705">
        <f t="shared" si="53"/>
        <v>15.488199999999999</v>
      </c>
      <c r="U705" s="33">
        <f t="shared" si="54"/>
        <v>13</v>
      </c>
    </row>
    <row r="706" spans="1:21" x14ac:dyDescent="0.25">
      <c r="A706" s="1" t="s">
        <v>1368</v>
      </c>
      <c r="B706" s="28">
        <v>44716</v>
      </c>
      <c r="C706" s="21" t="str">
        <f t="shared" si="51"/>
        <v>2022</v>
      </c>
      <c r="D706" s="19" t="str">
        <f t="shared" si="52"/>
        <v>June</v>
      </c>
      <c r="E706" s="3" t="s">
        <v>1369</v>
      </c>
      <c r="F706" s="3" t="str">
        <f>VLOOKUP(E706,Customers!$A$2:$I$1001,2,0)</f>
        <v>Josefina Ferens</v>
      </c>
      <c r="G706" s="3" t="str">
        <f>VLOOKUP(E706,Customers!$A$2:$I$1001,3,0)</f>
        <v>UNKNOWN</v>
      </c>
      <c r="H706" s="3" t="str">
        <f>VLOOKUP(E706,Customers!$A$2:$I$1001,4,0)</f>
        <v>+1 (212) 163-1916</v>
      </c>
      <c r="I706" s="25" t="str">
        <f>VLOOKUP(E706,Customers!$A$2:$I$1001,6,0)</f>
        <v>New York City</v>
      </c>
      <c r="J706" s="25" t="str">
        <f>VLOOKUP(E706,Customers!$A$2:$I$1001,7,0)</f>
        <v>United States</v>
      </c>
      <c r="K706" s="23" t="str">
        <f>VLOOKUP(E706,Customers!$A$2:$I$1001,9,0)</f>
        <v>Yes</v>
      </c>
      <c r="L706" s="4" t="s">
        <v>51</v>
      </c>
      <c r="M706" s="4" t="str">
        <f>VLOOKUP(L706,Products!$A$2:$G$49,2,0)</f>
        <v>Excelsa</v>
      </c>
      <c r="N706" s="4" t="str">
        <f>VLOOKUP(L706,Products!$A$2:$G$49,3,0)</f>
        <v>Dark</v>
      </c>
      <c r="O706" s="25">
        <v>6</v>
      </c>
      <c r="P706" s="5">
        <f>INDEX([1]products!$A$1:$G$49,MATCH([1]orders!$D706,[1]products!$A$1:$A$49,0),MATCH([1]orders!K$1,[1]products!$A$1:$G$1,0))</f>
        <v>0.2</v>
      </c>
      <c r="Q706" s="6">
        <f>INDEX([1]products!$A$1:$G$49,MATCH([1]orders!$D706,[1]products!$A$1:$A$49,0),MATCH([1]orders!L$1,[1]products!$A$1:$G$1,0))</f>
        <v>3.645</v>
      </c>
      <c r="R706" s="6">
        <f t="shared" ref="R706:R769" si="55">O706*Q706</f>
        <v>21.87</v>
      </c>
      <c r="S706">
        <f>VLOOKUP(L706,Products!$A$2:$G$49,7,0)</f>
        <v>0.40095000000000003</v>
      </c>
      <c r="T706">
        <f t="shared" si="53"/>
        <v>2.4057000000000004</v>
      </c>
      <c r="U706" s="33">
        <f t="shared" si="54"/>
        <v>11.000000000000002</v>
      </c>
    </row>
    <row r="707" spans="1:21" x14ac:dyDescent="0.25">
      <c r="A707" s="1" t="s">
        <v>1370</v>
      </c>
      <c r="B707" s="28">
        <v>44114</v>
      </c>
      <c r="C707" s="21" t="str">
        <f t="shared" ref="C707:C770" si="56">TEXT(B707,"yyyy")</f>
        <v>2020</v>
      </c>
      <c r="D707" s="19" t="str">
        <f t="shared" ref="D707:D770" si="57">TEXT(B707,"mmmm")</f>
        <v>October</v>
      </c>
      <c r="E707" s="3" t="s">
        <v>1371</v>
      </c>
      <c r="F707" s="3" t="str">
        <f>VLOOKUP(E707,Customers!$A$2:$I$1001,2,0)</f>
        <v>Shelley Gehring</v>
      </c>
      <c r="G707" s="3" t="str">
        <f>VLOOKUP(E707,Customers!$A$2:$I$1001,3,0)</f>
        <v>sgehringjl@gnu.org</v>
      </c>
      <c r="H707" s="3" t="str">
        <f>VLOOKUP(E707,Customers!$A$2:$I$1001,4,0)</f>
        <v>+1 (864) 940-7075</v>
      </c>
      <c r="I707" s="25" t="str">
        <f>VLOOKUP(E707,Customers!$A$2:$I$1001,6,0)</f>
        <v>Spartanburg</v>
      </c>
      <c r="J707" s="25" t="str">
        <f>VLOOKUP(E707,Customers!$A$2:$I$1001,7,0)</f>
        <v>United States</v>
      </c>
      <c r="K707" s="23" t="str">
        <f>VLOOKUP(E707,Customers!$A$2:$I$1001,9,0)</f>
        <v>No</v>
      </c>
      <c r="L707" s="4" t="s">
        <v>176</v>
      </c>
      <c r="M707" s="4" t="str">
        <f>VLOOKUP(L707,Products!$A$2:$G$49,2,0)</f>
        <v>Excelsa</v>
      </c>
      <c r="N707" s="4" t="str">
        <f>VLOOKUP(L707,Products!$A$2:$G$49,3,0)</f>
        <v>Light</v>
      </c>
      <c r="O707" s="25">
        <v>2</v>
      </c>
      <c r="P707" s="5">
        <f>INDEX([1]products!$A$1:$G$49,MATCH([1]orders!$D707,[1]products!$A$1:$A$49,0),MATCH([1]orders!K$1,[1]products!$A$1:$G$1,0))</f>
        <v>0.5</v>
      </c>
      <c r="Q707" s="6">
        <f>INDEX([1]products!$A$1:$G$49,MATCH([1]orders!$D707,[1]products!$A$1:$A$49,0),MATCH([1]orders!L$1,[1]products!$A$1:$G$1,0))</f>
        <v>8.91</v>
      </c>
      <c r="R707" s="6">
        <f t="shared" si="55"/>
        <v>17.82</v>
      </c>
      <c r="S707">
        <f>VLOOKUP(L707,Products!$A$2:$G$49,7,0)</f>
        <v>0.98009999999999997</v>
      </c>
      <c r="T707">
        <f t="shared" ref="T707:T770" si="58">O707*S707</f>
        <v>1.9601999999999999</v>
      </c>
      <c r="U707" s="33">
        <f t="shared" ref="U707:U770" si="59">T707/R707*100</f>
        <v>11</v>
      </c>
    </row>
    <row r="708" spans="1:21" x14ac:dyDescent="0.25">
      <c r="A708" s="1" t="s">
        <v>1372</v>
      </c>
      <c r="B708" s="28">
        <v>44353</v>
      </c>
      <c r="C708" s="21" t="str">
        <f t="shared" si="56"/>
        <v>2021</v>
      </c>
      <c r="D708" s="19" t="str">
        <f t="shared" si="57"/>
        <v>June</v>
      </c>
      <c r="E708" s="3" t="s">
        <v>1373</v>
      </c>
      <c r="F708" s="3" t="str">
        <f>VLOOKUP(E708,Customers!$A$2:$I$1001,2,0)</f>
        <v>Barrie Fallowes</v>
      </c>
      <c r="G708" s="3" t="str">
        <f>VLOOKUP(E708,Customers!$A$2:$I$1001,3,0)</f>
        <v>bfallowesjm@purevolume.com</v>
      </c>
      <c r="H708" s="3" t="str">
        <f>VLOOKUP(E708,Customers!$A$2:$I$1001,4,0)</f>
        <v>+1 (805) 975-3527</v>
      </c>
      <c r="I708" s="25" t="str">
        <f>VLOOKUP(E708,Customers!$A$2:$I$1001,6,0)</f>
        <v>Bakersfield</v>
      </c>
      <c r="J708" s="25" t="str">
        <f>VLOOKUP(E708,Customers!$A$2:$I$1001,7,0)</f>
        <v>United States</v>
      </c>
      <c r="K708" s="23" t="str">
        <f>VLOOKUP(E708,Customers!$A$2:$I$1001,9,0)</f>
        <v>No</v>
      </c>
      <c r="L708" s="4" t="s">
        <v>64</v>
      </c>
      <c r="M708" s="4" t="str">
        <f>VLOOKUP(L708,Products!$A$2:$G$49,2,0)</f>
        <v>Excelsa</v>
      </c>
      <c r="N708" s="4" t="str">
        <f>VLOOKUP(L708,Products!$A$2:$G$49,3,0)</f>
        <v>Medium</v>
      </c>
      <c r="O708" s="25">
        <v>3</v>
      </c>
      <c r="P708" s="5">
        <f>INDEX([1]products!$A$1:$G$49,MATCH([1]orders!$D708,[1]products!$A$1:$A$49,0),MATCH([1]orders!K$1,[1]products!$A$1:$G$1,0))</f>
        <v>0.2</v>
      </c>
      <c r="Q708" s="6">
        <f>INDEX([1]products!$A$1:$G$49,MATCH([1]orders!$D708,[1]products!$A$1:$A$49,0),MATCH([1]orders!L$1,[1]products!$A$1:$G$1,0))</f>
        <v>4.125</v>
      </c>
      <c r="R708" s="6">
        <f t="shared" si="55"/>
        <v>12.375</v>
      </c>
      <c r="S708">
        <f>VLOOKUP(L708,Products!$A$2:$G$49,7,0)</f>
        <v>0.45374999999999999</v>
      </c>
      <c r="T708">
        <f t="shared" si="58"/>
        <v>1.3612500000000001</v>
      </c>
      <c r="U708" s="33">
        <f t="shared" si="59"/>
        <v>11</v>
      </c>
    </row>
    <row r="709" spans="1:21" x14ac:dyDescent="0.25">
      <c r="A709" s="1" t="s">
        <v>1374</v>
      </c>
      <c r="B709" s="28">
        <v>43540</v>
      </c>
      <c r="C709" s="21" t="str">
        <f t="shared" si="56"/>
        <v>2019</v>
      </c>
      <c r="D709" s="19" t="str">
        <f t="shared" si="57"/>
        <v>March</v>
      </c>
      <c r="E709" s="3" t="s">
        <v>1375</v>
      </c>
      <c r="F709" s="3" t="str">
        <f>VLOOKUP(E709,Customers!$A$2:$I$1001,2,0)</f>
        <v>Nicolas Aiton</v>
      </c>
      <c r="G709" s="3" t="str">
        <f>VLOOKUP(E709,Customers!$A$2:$I$1001,3,0)</f>
        <v>UNKNOWN</v>
      </c>
      <c r="H709" s="3" t="str">
        <f>VLOOKUP(E709,Customers!$A$2:$I$1001,4,0)</f>
        <v>+353 (861) 791-0313</v>
      </c>
      <c r="I709" s="25" t="str">
        <f>VLOOKUP(E709,Customers!$A$2:$I$1001,6,0)</f>
        <v>Dungarvan</v>
      </c>
      <c r="J709" s="25" t="str">
        <f>VLOOKUP(E709,Customers!$A$2:$I$1001,7,0)</f>
        <v>Ireland</v>
      </c>
      <c r="K709" s="23" t="str">
        <f>VLOOKUP(E709,Customers!$A$2:$I$1001,9,0)</f>
        <v>No</v>
      </c>
      <c r="L709" s="4" t="s">
        <v>13</v>
      </c>
      <c r="M709" s="4" t="str">
        <f>VLOOKUP(L709,Products!$A$2:$G$49,2,0)</f>
        <v>Liberica</v>
      </c>
      <c r="N709" s="4" t="str">
        <f>VLOOKUP(L709,Products!$A$2:$G$49,3,0)</f>
        <v>Dark</v>
      </c>
      <c r="O709" s="25">
        <v>2</v>
      </c>
      <c r="P709" s="5">
        <f>INDEX([1]products!$A$1:$G$49,MATCH([1]orders!$D709,[1]products!$A$1:$A$49,0),MATCH([1]orders!K$1,[1]products!$A$1:$G$1,0))</f>
        <v>1</v>
      </c>
      <c r="Q709" s="6">
        <f>INDEX([1]products!$A$1:$G$49,MATCH([1]orders!$D709,[1]products!$A$1:$A$49,0),MATCH([1]orders!L$1,[1]products!$A$1:$G$1,0))</f>
        <v>12.95</v>
      </c>
      <c r="R709" s="6">
        <f t="shared" si="55"/>
        <v>25.9</v>
      </c>
      <c r="S709">
        <f>VLOOKUP(L709,Products!$A$2:$G$49,7,0)</f>
        <v>1.6835</v>
      </c>
      <c r="T709">
        <f t="shared" si="58"/>
        <v>3.367</v>
      </c>
      <c r="U709" s="33">
        <f t="shared" si="59"/>
        <v>13</v>
      </c>
    </row>
    <row r="710" spans="1:21" x14ac:dyDescent="0.25">
      <c r="A710" s="1" t="s">
        <v>1376</v>
      </c>
      <c r="B710" s="28">
        <v>43804</v>
      </c>
      <c r="C710" s="21" t="str">
        <f t="shared" si="56"/>
        <v>2019</v>
      </c>
      <c r="D710" s="19" t="str">
        <f t="shared" si="57"/>
        <v>December</v>
      </c>
      <c r="E710" s="3" t="s">
        <v>1377</v>
      </c>
      <c r="F710" s="3" t="str">
        <f>VLOOKUP(E710,Customers!$A$2:$I$1001,2,0)</f>
        <v>Shelli De Banke</v>
      </c>
      <c r="G710" s="3" t="str">
        <f>VLOOKUP(E710,Customers!$A$2:$I$1001,3,0)</f>
        <v>sdejo@newsvine.com</v>
      </c>
      <c r="H710" s="3" t="str">
        <f>VLOOKUP(E710,Customers!$A$2:$I$1001,4,0)</f>
        <v>+1 (314) 496-2561</v>
      </c>
      <c r="I710" s="25" t="str">
        <f>VLOOKUP(E710,Customers!$A$2:$I$1001,6,0)</f>
        <v>Saint Louis</v>
      </c>
      <c r="J710" s="25" t="str">
        <f>VLOOKUP(E710,Customers!$A$2:$I$1001,7,0)</f>
        <v>United States</v>
      </c>
      <c r="K710" s="23" t="str">
        <f>VLOOKUP(E710,Customers!$A$2:$I$1001,9,0)</f>
        <v>Yes</v>
      </c>
      <c r="L710" s="4" t="s">
        <v>67</v>
      </c>
      <c r="M710" s="4" t="str">
        <f>VLOOKUP(L710,Products!$A$2:$G$49,2,0)</f>
        <v>Arabica</v>
      </c>
      <c r="N710" s="4" t="str">
        <f>VLOOKUP(L710,Products!$A$2:$G$49,3,0)</f>
        <v>Medium</v>
      </c>
      <c r="O710" s="25">
        <v>2</v>
      </c>
      <c r="P710" s="5">
        <f>INDEX([1]products!$A$1:$G$49,MATCH([1]orders!$D710,[1]products!$A$1:$A$49,0),MATCH([1]orders!K$1,[1]products!$A$1:$G$1,0))</f>
        <v>0.5</v>
      </c>
      <c r="Q710" s="6">
        <f>INDEX([1]products!$A$1:$G$49,MATCH([1]orders!$D710,[1]products!$A$1:$A$49,0),MATCH([1]orders!L$1,[1]products!$A$1:$G$1,0))</f>
        <v>6.75</v>
      </c>
      <c r="R710" s="6">
        <f t="shared" si="55"/>
        <v>13.5</v>
      </c>
      <c r="S710">
        <f>VLOOKUP(L710,Products!$A$2:$G$49,7,0)</f>
        <v>0.60749999999999993</v>
      </c>
      <c r="T710">
        <f t="shared" si="58"/>
        <v>1.2149999999999999</v>
      </c>
      <c r="U710" s="33">
        <f t="shared" si="59"/>
        <v>8.9999999999999982</v>
      </c>
    </row>
    <row r="711" spans="1:21" x14ac:dyDescent="0.25">
      <c r="A711" s="1" t="s">
        <v>1378</v>
      </c>
      <c r="B711" s="28">
        <v>43485</v>
      </c>
      <c r="C711" s="21" t="str">
        <f t="shared" si="56"/>
        <v>2019</v>
      </c>
      <c r="D711" s="19" t="str">
        <f t="shared" si="57"/>
        <v>January</v>
      </c>
      <c r="E711" s="3" t="s">
        <v>1379</v>
      </c>
      <c r="F711" s="3" t="str">
        <f>VLOOKUP(E711,Customers!$A$2:$I$1001,2,0)</f>
        <v>Lyell Murch</v>
      </c>
      <c r="G711" s="3" t="str">
        <f>VLOOKUP(E711,Customers!$A$2:$I$1001,3,0)</f>
        <v>UNKNOWN</v>
      </c>
      <c r="H711" s="3" t="str">
        <f>VLOOKUP(E711,Customers!$A$2:$I$1001,4,0)</f>
        <v>+1 (260) 280-7251</v>
      </c>
      <c r="I711" s="25" t="str">
        <f>VLOOKUP(E711,Customers!$A$2:$I$1001,6,0)</f>
        <v>Fort Wayne</v>
      </c>
      <c r="J711" s="25" t="str">
        <f>VLOOKUP(E711,Customers!$A$2:$I$1001,7,0)</f>
        <v>United States</v>
      </c>
      <c r="K711" s="23" t="str">
        <f>VLOOKUP(E711,Customers!$A$2:$I$1001,9,0)</f>
        <v>Yes</v>
      </c>
      <c r="L711" s="4" t="s">
        <v>176</v>
      </c>
      <c r="M711" s="4" t="str">
        <f>VLOOKUP(L711,Products!$A$2:$G$49,2,0)</f>
        <v>Excelsa</v>
      </c>
      <c r="N711" s="4" t="str">
        <f>VLOOKUP(L711,Products!$A$2:$G$49,3,0)</f>
        <v>Light</v>
      </c>
      <c r="O711" s="25">
        <v>2</v>
      </c>
      <c r="P711" s="5">
        <f>INDEX([1]products!$A$1:$G$49,MATCH([1]orders!$D711,[1]products!$A$1:$A$49,0),MATCH([1]orders!K$1,[1]products!$A$1:$G$1,0))</f>
        <v>0.5</v>
      </c>
      <c r="Q711" s="6">
        <f>INDEX([1]products!$A$1:$G$49,MATCH([1]orders!$D711,[1]products!$A$1:$A$49,0),MATCH([1]orders!L$1,[1]products!$A$1:$G$1,0))</f>
        <v>8.91</v>
      </c>
      <c r="R711" s="6">
        <f t="shared" si="55"/>
        <v>17.82</v>
      </c>
      <c r="S711">
        <f>VLOOKUP(L711,Products!$A$2:$G$49,7,0)</f>
        <v>0.98009999999999997</v>
      </c>
      <c r="T711">
        <f t="shared" si="58"/>
        <v>1.9601999999999999</v>
      </c>
      <c r="U711" s="33">
        <f t="shared" si="59"/>
        <v>11</v>
      </c>
    </row>
    <row r="712" spans="1:21" x14ac:dyDescent="0.25">
      <c r="A712" s="1" t="s">
        <v>1380</v>
      </c>
      <c r="B712" s="28">
        <v>44655</v>
      </c>
      <c r="C712" s="21" t="str">
        <f t="shared" si="56"/>
        <v>2022</v>
      </c>
      <c r="D712" s="19" t="str">
        <f t="shared" si="57"/>
        <v>April</v>
      </c>
      <c r="E712" s="3" t="s">
        <v>1381</v>
      </c>
      <c r="F712" s="3" t="str">
        <f>VLOOKUP(E712,Customers!$A$2:$I$1001,2,0)</f>
        <v>Stearne Count</v>
      </c>
      <c r="G712" s="3" t="str">
        <f>VLOOKUP(E712,Customers!$A$2:$I$1001,3,0)</f>
        <v>scountjq@nba.com</v>
      </c>
      <c r="H712" s="3" t="str">
        <f>VLOOKUP(E712,Customers!$A$2:$I$1001,4,0)</f>
        <v>+1 (952) 721-7276</v>
      </c>
      <c r="I712" s="25" t="str">
        <f>VLOOKUP(E712,Customers!$A$2:$I$1001,6,0)</f>
        <v>Young America</v>
      </c>
      <c r="J712" s="25" t="str">
        <f>VLOOKUP(E712,Customers!$A$2:$I$1001,7,0)</f>
        <v>United States</v>
      </c>
      <c r="K712" s="23" t="str">
        <f>VLOOKUP(E712,Customers!$A$2:$I$1001,9,0)</f>
        <v>No</v>
      </c>
      <c r="L712" s="4" t="s">
        <v>3</v>
      </c>
      <c r="M712" s="4" t="str">
        <f>VLOOKUP(L712,Products!$A$2:$G$49,2,0)</f>
        <v>Excelsa</v>
      </c>
      <c r="N712" s="4" t="str">
        <f>VLOOKUP(L712,Products!$A$2:$G$49,3,0)</f>
        <v>Medium</v>
      </c>
      <c r="O712" s="25">
        <v>3</v>
      </c>
      <c r="P712" s="5">
        <f>INDEX([1]products!$A$1:$G$49,MATCH([1]orders!$D712,[1]products!$A$1:$A$49,0),MATCH([1]orders!K$1,[1]products!$A$1:$G$1,0))</f>
        <v>0.5</v>
      </c>
      <c r="Q712" s="6">
        <f>INDEX([1]products!$A$1:$G$49,MATCH([1]orders!$D712,[1]products!$A$1:$A$49,0),MATCH([1]orders!L$1,[1]products!$A$1:$G$1,0))</f>
        <v>8.25</v>
      </c>
      <c r="R712" s="6">
        <f t="shared" si="55"/>
        <v>24.75</v>
      </c>
      <c r="S712">
        <f>VLOOKUP(L712,Products!$A$2:$G$49,7,0)</f>
        <v>0.90749999999999997</v>
      </c>
      <c r="T712">
        <f t="shared" si="58"/>
        <v>2.7225000000000001</v>
      </c>
      <c r="U712" s="33">
        <f t="shared" si="59"/>
        <v>11</v>
      </c>
    </row>
    <row r="713" spans="1:21" x14ac:dyDescent="0.25">
      <c r="A713" s="1" t="s">
        <v>1382</v>
      </c>
      <c r="B713" s="28">
        <v>44600</v>
      </c>
      <c r="C713" s="21" t="str">
        <f t="shared" si="56"/>
        <v>2022</v>
      </c>
      <c r="D713" s="19" t="str">
        <f t="shared" si="57"/>
        <v>February</v>
      </c>
      <c r="E713" s="3" t="s">
        <v>1383</v>
      </c>
      <c r="F713" s="3" t="str">
        <f>VLOOKUP(E713,Customers!$A$2:$I$1001,2,0)</f>
        <v>Selia Ragles</v>
      </c>
      <c r="G713" s="3" t="str">
        <f>VLOOKUP(E713,Customers!$A$2:$I$1001,3,0)</f>
        <v>sraglesjr@blogtalkradio.com</v>
      </c>
      <c r="H713" s="3" t="str">
        <f>VLOOKUP(E713,Customers!$A$2:$I$1001,4,0)</f>
        <v>+1 (479) 494-1369</v>
      </c>
      <c r="I713" s="25" t="str">
        <f>VLOOKUP(E713,Customers!$A$2:$I$1001,6,0)</f>
        <v>Fort Smith</v>
      </c>
      <c r="J713" s="25" t="str">
        <f>VLOOKUP(E713,Customers!$A$2:$I$1001,7,0)</f>
        <v>United States</v>
      </c>
      <c r="K713" s="23" t="str">
        <f>VLOOKUP(E713,Customers!$A$2:$I$1001,9,0)</f>
        <v>No</v>
      </c>
      <c r="L713" s="4" t="s">
        <v>162</v>
      </c>
      <c r="M713" s="4" t="str">
        <f>VLOOKUP(L713,Products!$A$2:$G$49,2,0)</f>
        <v>Robusta</v>
      </c>
      <c r="N713" s="4" t="str">
        <f>VLOOKUP(L713,Products!$A$2:$G$49,3,0)</f>
        <v>Medium</v>
      </c>
      <c r="O713" s="25">
        <v>6</v>
      </c>
      <c r="P713" s="5">
        <f>INDEX([1]products!$A$1:$G$49,MATCH([1]orders!$D713,[1]products!$A$1:$A$49,0),MATCH([1]orders!K$1,[1]products!$A$1:$G$1,0))</f>
        <v>0.2</v>
      </c>
      <c r="Q713" s="6">
        <f>INDEX([1]products!$A$1:$G$49,MATCH([1]orders!$D713,[1]products!$A$1:$A$49,0),MATCH([1]orders!L$1,[1]products!$A$1:$G$1,0))</f>
        <v>2.9849999999999999</v>
      </c>
      <c r="R713" s="6">
        <f t="shared" si="55"/>
        <v>17.91</v>
      </c>
      <c r="S713">
        <f>VLOOKUP(L713,Products!$A$2:$G$49,7,0)</f>
        <v>0.17909999999999998</v>
      </c>
      <c r="T713">
        <f t="shared" si="58"/>
        <v>1.0745999999999998</v>
      </c>
      <c r="U713" s="33">
        <f t="shared" si="59"/>
        <v>5.9999999999999982</v>
      </c>
    </row>
    <row r="714" spans="1:21" x14ac:dyDescent="0.25">
      <c r="A714" s="1" t="s">
        <v>1384</v>
      </c>
      <c r="B714" s="28">
        <v>43646</v>
      </c>
      <c r="C714" s="21" t="str">
        <f t="shared" si="56"/>
        <v>2019</v>
      </c>
      <c r="D714" s="19" t="str">
        <f t="shared" si="57"/>
        <v>June</v>
      </c>
      <c r="E714" s="3" t="s">
        <v>1385</v>
      </c>
      <c r="F714" s="3" t="str">
        <f>VLOOKUP(E714,Customers!$A$2:$I$1001,2,0)</f>
        <v>Silas Deehan</v>
      </c>
      <c r="G714" s="3" t="str">
        <f>VLOOKUP(E714,Customers!$A$2:$I$1001,3,0)</f>
        <v>UNKNOWN</v>
      </c>
      <c r="H714" s="3" t="str">
        <f>VLOOKUP(E714,Customers!$A$2:$I$1001,4,0)</f>
        <v>UNKNOWN</v>
      </c>
      <c r="I714" s="25" t="str">
        <f>VLOOKUP(E714,Customers!$A$2:$I$1001,6,0)</f>
        <v>Charlton</v>
      </c>
      <c r="J714" s="25" t="str">
        <f>VLOOKUP(E714,Customers!$A$2:$I$1001,7,0)</f>
        <v>United Kingdom</v>
      </c>
      <c r="K714" s="23" t="str">
        <f>VLOOKUP(E714,Customers!$A$2:$I$1001,9,0)</f>
        <v>No</v>
      </c>
      <c r="L714" s="4" t="s">
        <v>3</v>
      </c>
      <c r="M714" s="4" t="str">
        <f>VLOOKUP(L714,Products!$A$2:$G$49,2,0)</f>
        <v>Excelsa</v>
      </c>
      <c r="N714" s="4" t="str">
        <f>VLOOKUP(L714,Products!$A$2:$G$49,3,0)</f>
        <v>Medium</v>
      </c>
      <c r="O714" s="25">
        <v>2</v>
      </c>
      <c r="P714" s="5">
        <f>INDEX([1]products!$A$1:$G$49,MATCH([1]orders!$D714,[1]products!$A$1:$A$49,0),MATCH([1]orders!K$1,[1]products!$A$1:$G$1,0))</f>
        <v>0.5</v>
      </c>
      <c r="Q714" s="6">
        <f>INDEX([1]products!$A$1:$G$49,MATCH([1]orders!$D714,[1]products!$A$1:$A$49,0),MATCH([1]orders!L$1,[1]products!$A$1:$G$1,0))</f>
        <v>8.25</v>
      </c>
      <c r="R714" s="6">
        <f t="shared" si="55"/>
        <v>16.5</v>
      </c>
      <c r="S714">
        <f>VLOOKUP(L714,Products!$A$2:$G$49,7,0)</f>
        <v>0.90749999999999997</v>
      </c>
      <c r="T714">
        <f t="shared" si="58"/>
        <v>1.8149999999999999</v>
      </c>
      <c r="U714" s="33">
        <f t="shared" si="59"/>
        <v>11</v>
      </c>
    </row>
    <row r="715" spans="1:21" x14ac:dyDescent="0.25">
      <c r="A715" s="1" t="s">
        <v>1386</v>
      </c>
      <c r="B715" s="28">
        <v>43960</v>
      </c>
      <c r="C715" s="21" t="str">
        <f t="shared" si="56"/>
        <v>2020</v>
      </c>
      <c r="D715" s="19" t="str">
        <f t="shared" si="57"/>
        <v>May</v>
      </c>
      <c r="E715" s="3" t="s">
        <v>1387</v>
      </c>
      <c r="F715" s="3" t="str">
        <f>VLOOKUP(E715,Customers!$A$2:$I$1001,2,0)</f>
        <v>Sacha Bruun</v>
      </c>
      <c r="G715" s="3" t="str">
        <f>VLOOKUP(E715,Customers!$A$2:$I$1001,3,0)</f>
        <v>sbruunjt@blogtalkradio.com</v>
      </c>
      <c r="H715" s="3" t="str">
        <f>VLOOKUP(E715,Customers!$A$2:$I$1001,4,0)</f>
        <v>+1 (209) 784-1969</v>
      </c>
      <c r="I715" s="25" t="str">
        <f>VLOOKUP(E715,Customers!$A$2:$I$1001,6,0)</f>
        <v>Stockton</v>
      </c>
      <c r="J715" s="25" t="str">
        <f>VLOOKUP(E715,Customers!$A$2:$I$1001,7,0)</f>
        <v>United States</v>
      </c>
      <c r="K715" s="23" t="str">
        <f>VLOOKUP(E715,Customers!$A$2:$I$1001,9,0)</f>
        <v>No</v>
      </c>
      <c r="L715" s="4" t="s">
        <v>162</v>
      </c>
      <c r="M715" s="4" t="str">
        <f>VLOOKUP(L715,Products!$A$2:$G$49,2,0)</f>
        <v>Robusta</v>
      </c>
      <c r="N715" s="4" t="str">
        <f>VLOOKUP(L715,Products!$A$2:$G$49,3,0)</f>
        <v>Medium</v>
      </c>
      <c r="O715" s="25">
        <v>1</v>
      </c>
      <c r="P715" s="5">
        <f>INDEX([1]products!$A$1:$G$49,MATCH([1]orders!$D715,[1]products!$A$1:$A$49,0),MATCH([1]orders!K$1,[1]products!$A$1:$G$1,0))</f>
        <v>0.2</v>
      </c>
      <c r="Q715" s="6">
        <f>INDEX([1]products!$A$1:$G$49,MATCH([1]orders!$D715,[1]products!$A$1:$A$49,0),MATCH([1]orders!L$1,[1]products!$A$1:$G$1,0))</f>
        <v>2.9849999999999999</v>
      </c>
      <c r="R715" s="6">
        <f t="shared" si="55"/>
        <v>2.9849999999999999</v>
      </c>
      <c r="S715">
        <f>VLOOKUP(L715,Products!$A$2:$G$49,7,0)</f>
        <v>0.17909999999999998</v>
      </c>
      <c r="T715">
        <f t="shared" si="58"/>
        <v>0.17909999999999998</v>
      </c>
      <c r="U715" s="33">
        <f t="shared" si="59"/>
        <v>6</v>
      </c>
    </row>
    <row r="716" spans="1:21" x14ac:dyDescent="0.25">
      <c r="A716" s="1" t="s">
        <v>1388</v>
      </c>
      <c r="B716" s="28">
        <v>44358</v>
      </c>
      <c r="C716" s="21" t="str">
        <f t="shared" si="56"/>
        <v>2021</v>
      </c>
      <c r="D716" s="19" t="str">
        <f t="shared" si="57"/>
        <v>June</v>
      </c>
      <c r="E716" s="3" t="s">
        <v>1389</v>
      </c>
      <c r="F716" s="3" t="str">
        <f>VLOOKUP(E716,Customers!$A$2:$I$1001,2,0)</f>
        <v>Alon Pllu</v>
      </c>
      <c r="G716" s="3" t="str">
        <f>VLOOKUP(E716,Customers!$A$2:$I$1001,3,0)</f>
        <v>aplluju@dagondesign.com</v>
      </c>
      <c r="H716" s="3" t="str">
        <f>VLOOKUP(E716,Customers!$A$2:$I$1001,4,0)</f>
        <v>+353 (915) 742-6707</v>
      </c>
      <c r="I716" s="25" t="str">
        <f>VLOOKUP(E716,Customers!$A$2:$I$1001,6,0)</f>
        <v>Navan</v>
      </c>
      <c r="J716" s="25" t="str">
        <f>VLOOKUP(E716,Customers!$A$2:$I$1001,7,0)</f>
        <v>Ireland</v>
      </c>
      <c r="K716" s="23" t="str">
        <f>VLOOKUP(E716,Customers!$A$2:$I$1001,9,0)</f>
        <v>Yes</v>
      </c>
      <c r="L716" s="4" t="s">
        <v>51</v>
      </c>
      <c r="M716" s="4" t="str">
        <f>VLOOKUP(L716,Products!$A$2:$G$49,2,0)</f>
        <v>Excelsa</v>
      </c>
      <c r="N716" s="4" t="str">
        <f>VLOOKUP(L716,Products!$A$2:$G$49,3,0)</f>
        <v>Dark</v>
      </c>
      <c r="O716" s="25">
        <v>4</v>
      </c>
      <c r="P716" s="5">
        <f>INDEX([1]products!$A$1:$G$49,MATCH([1]orders!$D716,[1]products!$A$1:$A$49,0),MATCH([1]orders!K$1,[1]products!$A$1:$G$1,0))</f>
        <v>0.2</v>
      </c>
      <c r="Q716" s="6">
        <f>INDEX([1]products!$A$1:$G$49,MATCH([1]orders!$D716,[1]products!$A$1:$A$49,0),MATCH([1]orders!L$1,[1]products!$A$1:$G$1,0))</f>
        <v>3.645</v>
      </c>
      <c r="R716" s="6">
        <f t="shared" si="55"/>
        <v>14.58</v>
      </c>
      <c r="S716">
        <f>VLOOKUP(L716,Products!$A$2:$G$49,7,0)</f>
        <v>0.40095000000000003</v>
      </c>
      <c r="T716">
        <f t="shared" si="58"/>
        <v>1.6038000000000001</v>
      </c>
      <c r="U716" s="33">
        <f t="shared" si="59"/>
        <v>11</v>
      </c>
    </row>
    <row r="717" spans="1:21" x14ac:dyDescent="0.25">
      <c r="A717" s="1" t="s">
        <v>1390</v>
      </c>
      <c r="B717" s="28">
        <v>44504</v>
      </c>
      <c r="C717" s="21" t="str">
        <f t="shared" si="56"/>
        <v>2021</v>
      </c>
      <c r="D717" s="19" t="str">
        <f t="shared" si="57"/>
        <v>November</v>
      </c>
      <c r="E717" s="3" t="s">
        <v>1391</v>
      </c>
      <c r="F717" s="3" t="str">
        <f>VLOOKUP(E717,Customers!$A$2:$I$1001,2,0)</f>
        <v>Gilberto Cornier</v>
      </c>
      <c r="G717" s="3" t="str">
        <f>VLOOKUP(E717,Customers!$A$2:$I$1001,3,0)</f>
        <v>gcornierjv@techcrunch.com</v>
      </c>
      <c r="H717" s="3" t="str">
        <f>VLOOKUP(E717,Customers!$A$2:$I$1001,4,0)</f>
        <v>UNKNOWN</v>
      </c>
      <c r="I717" s="25" t="str">
        <f>VLOOKUP(E717,Customers!$A$2:$I$1001,6,0)</f>
        <v>Tampa</v>
      </c>
      <c r="J717" s="25" t="str">
        <f>VLOOKUP(E717,Customers!$A$2:$I$1001,7,0)</f>
        <v>United States</v>
      </c>
      <c r="K717" s="23" t="str">
        <f>VLOOKUP(E717,Customers!$A$2:$I$1001,9,0)</f>
        <v>No</v>
      </c>
      <c r="L717" s="4" t="s">
        <v>137</v>
      </c>
      <c r="M717" s="4" t="str">
        <f>VLOOKUP(L717,Products!$A$2:$G$49,2,0)</f>
        <v>Excelsa</v>
      </c>
      <c r="N717" s="4" t="str">
        <f>VLOOKUP(L717,Products!$A$2:$G$49,3,0)</f>
        <v>Light</v>
      </c>
      <c r="O717" s="25">
        <v>6</v>
      </c>
      <c r="P717" s="5">
        <f>INDEX([1]products!$A$1:$G$49,MATCH([1]orders!$D717,[1]products!$A$1:$A$49,0),MATCH([1]orders!K$1,[1]products!$A$1:$G$1,0))</f>
        <v>1</v>
      </c>
      <c r="Q717" s="6">
        <f>INDEX([1]products!$A$1:$G$49,MATCH([1]orders!$D717,[1]products!$A$1:$A$49,0),MATCH([1]orders!L$1,[1]products!$A$1:$G$1,0))</f>
        <v>14.85</v>
      </c>
      <c r="R717" s="6">
        <f t="shared" si="55"/>
        <v>89.1</v>
      </c>
      <c r="S717">
        <f>VLOOKUP(L717,Products!$A$2:$G$49,7,0)</f>
        <v>1.6335</v>
      </c>
      <c r="T717">
        <f t="shared" si="58"/>
        <v>9.8010000000000002</v>
      </c>
      <c r="U717" s="33">
        <f t="shared" si="59"/>
        <v>11.000000000000002</v>
      </c>
    </row>
    <row r="718" spans="1:21" x14ac:dyDescent="0.25">
      <c r="A718" s="1" t="s">
        <v>1392</v>
      </c>
      <c r="B718" s="28">
        <v>44612</v>
      </c>
      <c r="C718" s="21" t="str">
        <f t="shared" si="56"/>
        <v>2022</v>
      </c>
      <c r="D718" s="19" t="str">
        <f t="shared" si="57"/>
        <v>February</v>
      </c>
      <c r="E718" s="3" t="s">
        <v>1344</v>
      </c>
      <c r="F718" s="3" t="str">
        <f>VLOOKUP(E718,Customers!$A$2:$I$1001,2,0)</f>
        <v>Jimmy Dymoke</v>
      </c>
      <c r="G718" s="3" t="str">
        <f>VLOOKUP(E718,Customers!$A$2:$I$1001,3,0)</f>
        <v>jdymokeje@prnewswire.com</v>
      </c>
      <c r="H718" s="3" t="str">
        <f>VLOOKUP(E718,Customers!$A$2:$I$1001,4,0)</f>
        <v>+353 (390) 459-9269</v>
      </c>
      <c r="I718" s="25" t="str">
        <f>VLOOKUP(E718,Customers!$A$2:$I$1001,6,0)</f>
        <v>Beaumont</v>
      </c>
      <c r="J718" s="25" t="str">
        <f>VLOOKUP(E718,Customers!$A$2:$I$1001,7,0)</f>
        <v>Ireland</v>
      </c>
      <c r="K718" s="23" t="str">
        <f>VLOOKUP(E718,Customers!$A$2:$I$1001,9,0)</f>
        <v>No</v>
      </c>
      <c r="L718" s="4" t="s">
        <v>189</v>
      </c>
      <c r="M718" s="4" t="str">
        <f>VLOOKUP(L718,Products!$A$2:$G$49,2,0)</f>
        <v>Robusta</v>
      </c>
      <c r="N718" s="4" t="str">
        <f>VLOOKUP(L718,Products!$A$2:$G$49,3,0)</f>
        <v>Light</v>
      </c>
      <c r="O718" s="25">
        <v>3</v>
      </c>
      <c r="P718" s="5">
        <f>INDEX([1]products!$A$1:$G$49,MATCH([1]orders!$D718,[1]products!$A$1:$A$49,0),MATCH([1]orders!K$1,[1]products!$A$1:$G$1,0))</f>
        <v>1</v>
      </c>
      <c r="Q718" s="6">
        <f>INDEX([1]products!$A$1:$G$49,MATCH([1]orders!$D718,[1]products!$A$1:$A$49,0),MATCH([1]orders!L$1,[1]products!$A$1:$G$1,0))</f>
        <v>11.95</v>
      </c>
      <c r="R718" s="6">
        <f t="shared" si="55"/>
        <v>35.849999999999994</v>
      </c>
      <c r="S718">
        <f>VLOOKUP(L718,Products!$A$2:$G$49,7,0)</f>
        <v>0.71699999999999997</v>
      </c>
      <c r="T718">
        <f t="shared" si="58"/>
        <v>2.1509999999999998</v>
      </c>
      <c r="U718" s="33">
        <f t="shared" si="59"/>
        <v>6.0000000000000009</v>
      </c>
    </row>
    <row r="719" spans="1:21" x14ac:dyDescent="0.25">
      <c r="A719" s="1" t="s">
        <v>1393</v>
      </c>
      <c r="B719" s="28">
        <v>43649</v>
      </c>
      <c r="C719" s="21" t="str">
        <f t="shared" si="56"/>
        <v>2019</v>
      </c>
      <c r="D719" s="19" t="str">
        <f t="shared" si="57"/>
        <v>July</v>
      </c>
      <c r="E719" s="3" t="s">
        <v>1394</v>
      </c>
      <c r="F719" s="3" t="str">
        <f>VLOOKUP(E719,Customers!$A$2:$I$1001,2,0)</f>
        <v>Willabella Harvison</v>
      </c>
      <c r="G719" s="3" t="str">
        <f>VLOOKUP(E719,Customers!$A$2:$I$1001,3,0)</f>
        <v>wharvisonjx@gizmodo.com</v>
      </c>
      <c r="H719" s="3" t="str">
        <f>VLOOKUP(E719,Customers!$A$2:$I$1001,4,0)</f>
        <v>+1 (610) 316-8430</v>
      </c>
      <c r="I719" s="25" t="str">
        <f>VLOOKUP(E719,Customers!$A$2:$I$1001,6,0)</f>
        <v>Philadelphia</v>
      </c>
      <c r="J719" s="25" t="str">
        <f>VLOOKUP(E719,Customers!$A$2:$I$1001,7,0)</f>
        <v>United States</v>
      </c>
      <c r="K719" s="23" t="str">
        <f>VLOOKUP(E719,Customers!$A$2:$I$1001,9,0)</f>
        <v>No</v>
      </c>
      <c r="L719" s="4" t="s">
        <v>118</v>
      </c>
      <c r="M719" s="4" t="str">
        <f>VLOOKUP(L719,Products!$A$2:$G$49,2,0)</f>
        <v>Arabica</v>
      </c>
      <c r="N719" s="4" t="str">
        <f>VLOOKUP(L719,Products!$A$2:$G$49,3,0)</f>
        <v>Dark</v>
      </c>
      <c r="O719" s="25">
        <v>3</v>
      </c>
      <c r="P719" s="5">
        <f>INDEX([1]products!$A$1:$G$49,MATCH([1]orders!$D719,[1]products!$A$1:$A$49,0),MATCH([1]orders!K$1,[1]products!$A$1:$G$1,0))</f>
        <v>2.5</v>
      </c>
      <c r="Q719" s="6">
        <f>INDEX([1]products!$A$1:$G$49,MATCH([1]orders!$D719,[1]products!$A$1:$A$49,0),MATCH([1]orders!L$1,[1]products!$A$1:$G$1,0))</f>
        <v>22.884999999999998</v>
      </c>
      <c r="R719" s="6">
        <f t="shared" si="55"/>
        <v>68.655000000000001</v>
      </c>
      <c r="S719">
        <f>VLOOKUP(L719,Products!$A$2:$G$49,7,0)</f>
        <v>2.0596499999999995</v>
      </c>
      <c r="T719">
        <f t="shared" si="58"/>
        <v>6.1789499999999986</v>
      </c>
      <c r="U719" s="33">
        <f t="shared" si="59"/>
        <v>8.9999999999999982</v>
      </c>
    </row>
    <row r="720" spans="1:21" x14ac:dyDescent="0.25">
      <c r="A720" s="1" t="s">
        <v>1395</v>
      </c>
      <c r="B720" s="28">
        <v>44348</v>
      </c>
      <c r="C720" s="21" t="str">
        <f t="shared" si="56"/>
        <v>2021</v>
      </c>
      <c r="D720" s="19" t="str">
        <f t="shared" si="57"/>
        <v>June</v>
      </c>
      <c r="E720" s="3" t="s">
        <v>1396</v>
      </c>
      <c r="F720" s="3" t="str">
        <f>VLOOKUP(E720,Customers!$A$2:$I$1001,2,0)</f>
        <v>Darice Heaford</v>
      </c>
      <c r="G720" s="3" t="str">
        <f>VLOOKUP(E720,Customers!$A$2:$I$1001,3,0)</f>
        <v>dheafordjy@twitpic.com</v>
      </c>
      <c r="H720" s="3" t="str">
        <f>VLOOKUP(E720,Customers!$A$2:$I$1001,4,0)</f>
        <v>+1 (325) 537-8835</v>
      </c>
      <c r="I720" s="25" t="str">
        <f>VLOOKUP(E720,Customers!$A$2:$I$1001,6,0)</f>
        <v>San Angelo</v>
      </c>
      <c r="J720" s="25" t="str">
        <f>VLOOKUP(E720,Customers!$A$2:$I$1001,7,0)</f>
        <v>United States</v>
      </c>
      <c r="K720" s="23" t="str">
        <f>VLOOKUP(E720,Customers!$A$2:$I$1001,9,0)</f>
        <v>No</v>
      </c>
      <c r="L720" s="4" t="s">
        <v>13</v>
      </c>
      <c r="M720" s="4" t="str">
        <f>VLOOKUP(L720,Products!$A$2:$G$49,2,0)</f>
        <v>Liberica</v>
      </c>
      <c r="N720" s="4" t="str">
        <f>VLOOKUP(L720,Products!$A$2:$G$49,3,0)</f>
        <v>Dark</v>
      </c>
      <c r="O720" s="25">
        <v>3</v>
      </c>
      <c r="P720" s="5">
        <f>INDEX([1]products!$A$1:$G$49,MATCH([1]orders!$D720,[1]products!$A$1:$A$49,0),MATCH([1]orders!K$1,[1]products!$A$1:$G$1,0))</f>
        <v>1</v>
      </c>
      <c r="Q720" s="6">
        <f>INDEX([1]products!$A$1:$G$49,MATCH([1]orders!$D720,[1]products!$A$1:$A$49,0),MATCH([1]orders!L$1,[1]products!$A$1:$G$1,0))</f>
        <v>12.95</v>
      </c>
      <c r="R720" s="6">
        <f t="shared" si="55"/>
        <v>38.849999999999994</v>
      </c>
      <c r="S720">
        <f>VLOOKUP(L720,Products!$A$2:$G$49,7,0)</f>
        <v>1.6835</v>
      </c>
      <c r="T720">
        <f t="shared" si="58"/>
        <v>5.0504999999999995</v>
      </c>
      <c r="U720" s="33">
        <f t="shared" si="59"/>
        <v>13</v>
      </c>
    </row>
    <row r="721" spans="1:21" x14ac:dyDescent="0.25">
      <c r="A721" s="1" t="s">
        <v>1397</v>
      </c>
      <c r="B721" s="28">
        <v>44150</v>
      </c>
      <c r="C721" s="21" t="str">
        <f t="shared" si="56"/>
        <v>2020</v>
      </c>
      <c r="D721" s="19" t="str">
        <f t="shared" si="57"/>
        <v>November</v>
      </c>
      <c r="E721" s="3" t="s">
        <v>1398</v>
      </c>
      <c r="F721" s="3" t="str">
        <f>VLOOKUP(E721,Customers!$A$2:$I$1001,2,0)</f>
        <v>Granger Fantham</v>
      </c>
      <c r="G721" s="3" t="str">
        <f>VLOOKUP(E721,Customers!$A$2:$I$1001,3,0)</f>
        <v>gfanthamjz@hexun.com</v>
      </c>
      <c r="H721" s="3" t="str">
        <f>VLOOKUP(E721,Customers!$A$2:$I$1001,4,0)</f>
        <v>+1 (323) 878-8818</v>
      </c>
      <c r="I721" s="25" t="str">
        <f>VLOOKUP(E721,Customers!$A$2:$I$1001,6,0)</f>
        <v>Los Angeles</v>
      </c>
      <c r="J721" s="25" t="str">
        <f>VLOOKUP(E721,Customers!$A$2:$I$1001,7,0)</f>
        <v>United States</v>
      </c>
      <c r="K721" s="23" t="str">
        <f>VLOOKUP(E721,Customers!$A$2:$I$1001,9,0)</f>
        <v>Yes</v>
      </c>
      <c r="L721" s="4" t="s">
        <v>132</v>
      </c>
      <c r="M721" s="4" t="str">
        <f>VLOOKUP(L721,Products!$A$2:$G$49,2,0)</f>
        <v>Liberica</v>
      </c>
      <c r="N721" s="4" t="str">
        <f>VLOOKUP(L721,Products!$A$2:$G$49,3,0)</f>
        <v>Light</v>
      </c>
      <c r="O721" s="25">
        <v>5</v>
      </c>
      <c r="P721" s="5">
        <f>INDEX([1]products!$A$1:$G$49,MATCH([1]orders!$D721,[1]products!$A$1:$A$49,0),MATCH([1]orders!K$1,[1]products!$A$1:$G$1,0))</f>
        <v>1</v>
      </c>
      <c r="Q721" s="6">
        <f>INDEX([1]products!$A$1:$G$49,MATCH([1]orders!$D721,[1]products!$A$1:$A$49,0),MATCH([1]orders!L$1,[1]products!$A$1:$G$1,0))</f>
        <v>15.85</v>
      </c>
      <c r="R721" s="6">
        <f t="shared" si="55"/>
        <v>79.25</v>
      </c>
      <c r="S721">
        <f>VLOOKUP(L721,Products!$A$2:$G$49,7,0)</f>
        <v>2.0605000000000002</v>
      </c>
      <c r="T721">
        <f t="shared" si="58"/>
        <v>10.302500000000002</v>
      </c>
      <c r="U721" s="33">
        <f t="shared" si="59"/>
        <v>13.000000000000004</v>
      </c>
    </row>
    <row r="722" spans="1:21" x14ac:dyDescent="0.25">
      <c r="A722" s="1" t="s">
        <v>1399</v>
      </c>
      <c r="B722" s="28">
        <v>44215</v>
      </c>
      <c r="C722" s="21" t="str">
        <f t="shared" si="56"/>
        <v>2021</v>
      </c>
      <c r="D722" s="19" t="str">
        <f t="shared" si="57"/>
        <v>January</v>
      </c>
      <c r="E722" s="3" t="s">
        <v>1400</v>
      </c>
      <c r="F722" s="3" t="str">
        <f>VLOOKUP(E722,Customers!$A$2:$I$1001,2,0)</f>
        <v>Reynolds Crookshanks</v>
      </c>
      <c r="G722" s="3" t="str">
        <f>VLOOKUP(E722,Customers!$A$2:$I$1001,3,0)</f>
        <v>rcrookshanksk0@unc.edu</v>
      </c>
      <c r="H722" s="3" t="str">
        <f>VLOOKUP(E722,Customers!$A$2:$I$1001,4,0)</f>
        <v>+1 (517) 654-6004</v>
      </c>
      <c r="I722" s="25" t="str">
        <f>VLOOKUP(E722,Customers!$A$2:$I$1001,6,0)</f>
        <v>Lansing</v>
      </c>
      <c r="J722" s="25" t="str">
        <f>VLOOKUP(E722,Customers!$A$2:$I$1001,7,0)</f>
        <v>United States</v>
      </c>
      <c r="K722" s="23" t="str">
        <f>VLOOKUP(E722,Customers!$A$2:$I$1001,9,0)</f>
        <v>Yes</v>
      </c>
      <c r="L722" s="4" t="s">
        <v>16</v>
      </c>
      <c r="M722" s="4" t="str">
        <f>VLOOKUP(L722,Products!$A$2:$G$49,2,0)</f>
        <v>Excelsa</v>
      </c>
      <c r="N722" s="4" t="str">
        <f>VLOOKUP(L722,Products!$A$2:$G$49,3,0)</f>
        <v>Dark</v>
      </c>
      <c r="O722" s="25">
        <v>5</v>
      </c>
      <c r="P722" s="5">
        <f>INDEX([1]products!$A$1:$G$49,MATCH([1]orders!$D722,[1]products!$A$1:$A$49,0),MATCH([1]orders!K$1,[1]products!$A$1:$G$1,0))</f>
        <v>0.5</v>
      </c>
      <c r="Q722" s="6">
        <f>INDEX([1]products!$A$1:$G$49,MATCH([1]orders!$D722,[1]products!$A$1:$A$49,0),MATCH([1]orders!L$1,[1]products!$A$1:$G$1,0))</f>
        <v>7.29</v>
      </c>
      <c r="R722" s="6">
        <f t="shared" si="55"/>
        <v>36.450000000000003</v>
      </c>
      <c r="S722">
        <f>VLOOKUP(L722,Products!$A$2:$G$49,7,0)</f>
        <v>0.80190000000000006</v>
      </c>
      <c r="T722">
        <f t="shared" si="58"/>
        <v>4.0095000000000001</v>
      </c>
      <c r="U722" s="33">
        <f t="shared" si="59"/>
        <v>10.999999999999998</v>
      </c>
    </row>
    <row r="723" spans="1:21" x14ac:dyDescent="0.25">
      <c r="A723" s="1" t="s">
        <v>1401</v>
      </c>
      <c r="B723" s="28">
        <v>44479</v>
      </c>
      <c r="C723" s="21" t="str">
        <f t="shared" si="56"/>
        <v>2021</v>
      </c>
      <c r="D723" s="19" t="str">
        <f t="shared" si="57"/>
        <v>October</v>
      </c>
      <c r="E723" s="3" t="s">
        <v>1402</v>
      </c>
      <c r="F723" s="3" t="str">
        <f>VLOOKUP(E723,Customers!$A$2:$I$1001,2,0)</f>
        <v>Niels Leake</v>
      </c>
      <c r="G723" s="3" t="str">
        <f>VLOOKUP(E723,Customers!$A$2:$I$1001,3,0)</f>
        <v>nleakek1@cmu.edu</v>
      </c>
      <c r="H723" s="3" t="str">
        <f>VLOOKUP(E723,Customers!$A$2:$I$1001,4,0)</f>
        <v>+1 (786) 470-1233</v>
      </c>
      <c r="I723" s="25" t="str">
        <f>VLOOKUP(E723,Customers!$A$2:$I$1001,6,0)</f>
        <v>Clearwater</v>
      </c>
      <c r="J723" s="25" t="str">
        <f>VLOOKUP(E723,Customers!$A$2:$I$1001,7,0)</f>
        <v>United States</v>
      </c>
      <c r="K723" s="23" t="str">
        <f>VLOOKUP(E723,Customers!$A$2:$I$1001,9,0)</f>
        <v>Yes</v>
      </c>
      <c r="L723" s="4" t="s">
        <v>162</v>
      </c>
      <c r="M723" s="4" t="str">
        <f>VLOOKUP(L723,Products!$A$2:$G$49,2,0)</f>
        <v>Robusta</v>
      </c>
      <c r="N723" s="4" t="str">
        <f>VLOOKUP(L723,Products!$A$2:$G$49,3,0)</f>
        <v>Medium</v>
      </c>
      <c r="O723" s="25">
        <v>3</v>
      </c>
      <c r="P723" s="5">
        <f>INDEX([1]products!$A$1:$G$49,MATCH([1]orders!$D723,[1]products!$A$1:$A$49,0),MATCH([1]orders!K$1,[1]products!$A$1:$G$1,0))</f>
        <v>0.2</v>
      </c>
      <c r="Q723" s="6">
        <f>INDEX([1]products!$A$1:$G$49,MATCH([1]orders!$D723,[1]products!$A$1:$A$49,0),MATCH([1]orders!L$1,[1]products!$A$1:$G$1,0))</f>
        <v>2.9849999999999999</v>
      </c>
      <c r="R723" s="6">
        <f t="shared" si="55"/>
        <v>8.9550000000000001</v>
      </c>
      <c r="S723">
        <f>VLOOKUP(L723,Products!$A$2:$G$49,7,0)</f>
        <v>0.17909999999999998</v>
      </c>
      <c r="T723">
        <f t="shared" si="58"/>
        <v>0.53729999999999989</v>
      </c>
      <c r="U723" s="33">
        <f t="shared" si="59"/>
        <v>5.9999999999999982</v>
      </c>
    </row>
    <row r="724" spans="1:21" x14ac:dyDescent="0.25">
      <c r="A724" s="1" t="s">
        <v>1403</v>
      </c>
      <c r="B724" s="28">
        <v>44620</v>
      </c>
      <c r="C724" s="21" t="str">
        <f t="shared" si="56"/>
        <v>2022</v>
      </c>
      <c r="D724" s="19" t="str">
        <f t="shared" si="57"/>
        <v>February</v>
      </c>
      <c r="E724" s="3" t="s">
        <v>1404</v>
      </c>
      <c r="F724" s="3" t="str">
        <f>VLOOKUP(E724,Customers!$A$2:$I$1001,2,0)</f>
        <v>Hetti Measures</v>
      </c>
      <c r="G724" s="3" t="str">
        <f>VLOOKUP(E724,Customers!$A$2:$I$1001,3,0)</f>
        <v>UNKNOWN</v>
      </c>
      <c r="H724" s="3" t="str">
        <f>VLOOKUP(E724,Customers!$A$2:$I$1001,4,0)</f>
        <v>+1 (562) 343-9707</v>
      </c>
      <c r="I724" s="25" t="str">
        <f>VLOOKUP(E724,Customers!$A$2:$I$1001,6,0)</f>
        <v>Whittier</v>
      </c>
      <c r="J724" s="25" t="str">
        <f>VLOOKUP(E724,Customers!$A$2:$I$1001,7,0)</f>
        <v>United States</v>
      </c>
      <c r="K724" s="23" t="str">
        <f>VLOOKUP(E724,Customers!$A$2:$I$1001,9,0)</f>
        <v>No</v>
      </c>
      <c r="L724" s="4" t="s">
        <v>245</v>
      </c>
      <c r="M724" s="4" t="str">
        <f>VLOOKUP(L724,Products!$A$2:$G$49,2,0)</f>
        <v>Excelsa</v>
      </c>
      <c r="N724" s="4" t="str">
        <f>VLOOKUP(L724,Products!$A$2:$G$49,3,0)</f>
        <v>Dark</v>
      </c>
      <c r="O724" s="25">
        <v>2</v>
      </c>
      <c r="P724" s="5">
        <f>INDEX([1]products!$A$1:$G$49,MATCH([1]orders!$D724,[1]products!$A$1:$A$49,0),MATCH([1]orders!K$1,[1]products!$A$1:$G$1,0))</f>
        <v>1</v>
      </c>
      <c r="Q724" s="6">
        <f>INDEX([1]products!$A$1:$G$49,MATCH([1]orders!$D724,[1]products!$A$1:$A$49,0),MATCH([1]orders!L$1,[1]products!$A$1:$G$1,0))</f>
        <v>12.15</v>
      </c>
      <c r="R724" s="6">
        <f t="shared" si="55"/>
        <v>24.3</v>
      </c>
      <c r="S724">
        <f>VLOOKUP(L724,Products!$A$2:$G$49,7,0)</f>
        <v>1.3365</v>
      </c>
      <c r="T724">
        <f t="shared" si="58"/>
        <v>2.673</v>
      </c>
      <c r="U724" s="33">
        <f t="shared" si="59"/>
        <v>11</v>
      </c>
    </row>
    <row r="725" spans="1:21" x14ac:dyDescent="0.25">
      <c r="A725" s="1" t="s">
        <v>1405</v>
      </c>
      <c r="B725" s="28">
        <v>44470</v>
      </c>
      <c r="C725" s="21" t="str">
        <f t="shared" si="56"/>
        <v>2021</v>
      </c>
      <c r="D725" s="19" t="str">
        <f t="shared" si="57"/>
        <v>October</v>
      </c>
      <c r="E725" s="3" t="s">
        <v>1406</v>
      </c>
      <c r="F725" s="3" t="str">
        <f>VLOOKUP(E725,Customers!$A$2:$I$1001,2,0)</f>
        <v>Gay Eilhersen</v>
      </c>
      <c r="G725" s="3" t="str">
        <f>VLOOKUP(E725,Customers!$A$2:$I$1001,3,0)</f>
        <v>geilhersenk3@networksolutions.com</v>
      </c>
      <c r="H725" s="3" t="str">
        <f>VLOOKUP(E725,Customers!$A$2:$I$1001,4,0)</f>
        <v>+1 (559) 791-5117</v>
      </c>
      <c r="I725" s="25" t="str">
        <f>VLOOKUP(E725,Customers!$A$2:$I$1001,6,0)</f>
        <v>Fresno</v>
      </c>
      <c r="J725" s="25" t="str">
        <f>VLOOKUP(E725,Customers!$A$2:$I$1001,7,0)</f>
        <v>United States</v>
      </c>
      <c r="K725" s="23" t="str">
        <f>VLOOKUP(E725,Customers!$A$2:$I$1001,9,0)</f>
        <v>No</v>
      </c>
      <c r="L725" s="4" t="s">
        <v>112</v>
      </c>
      <c r="M725" s="4" t="str">
        <f>VLOOKUP(L725,Products!$A$2:$G$49,2,0)</f>
        <v>Excelsa</v>
      </c>
      <c r="N725" s="4" t="str">
        <f>VLOOKUP(L725,Products!$A$2:$G$49,3,0)</f>
        <v>Medium</v>
      </c>
      <c r="O725" s="25">
        <v>2</v>
      </c>
      <c r="P725" s="5">
        <f>INDEX([1]products!$A$1:$G$49,MATCH([1]orders!$D725,[1]products!$A$1:$A$49,0),MATCH([1]orders!K$1,[1]products!$A$1:$G$1,0))</f>
        <v>2.5</v>
      </c>
      <c r="Q725" s="6">
        <f>INDEX([1]products!$A$1:$G$49,MATCH([1]orders!$D725,[1]products!$A$1:$A$49,0),MATCH([1]orders!L$1,[1]products!$A$1:$G$1,0))</f>
        <v>31.624999999999996</v>
      </c>
      <c r="R725" s="6">
        <f t="shared" si="55"/>
        <v>63.249999999999993</v>
      </c>
      <c r="S725">
        <f>VLOOKUP(L725,Products!$A$2:$G$49,7,0)</f>
        <v>3.4787499999999998</v>
      </c>
      <c r="T725">
        <f t="shared" si="58"/>
        <v>6.9574999999999996</v>
      </c>
      <c r="U725" s="33">
        <f t="shared" si="59"/>
        <v>11</v>
      </c>
    </row>
    <row r="726" spans="1:21" x14ac:dyDescent="0.25">
      <c r="A726" s="1" t="s">
        <v>1407</v>
      </c>
      <c r="B726" s="28">
        <v>44076</v>
      </c>
      <c r="C726" s="21" t="str">
        <f t="shared" si="56"/>
        <v>2020</v>
      </c>
      <c r="D726" s="19" t="str">
        <f t="shared" si="57"/>
        <v>September</v>
      </c>
      <c r="E726" s="3" t="s">
        <v>1408</v>
      </c>
      <c r="F726" s="3" t="str">
        <f>VLOOKUP(E726,Customers!$A$2:$I$1001,2,0)</f>
        <v>Nico Hubert</v>
      </c>
      <c r="G726" s="3" t="str">
        <f>VLOOKUP(E726,Customers!$A$2:$I$1001,3,0)</f>
        <v>UNKNOWN</v>
      </c>
      <c r="H726" s="3" t="str">
        <f>VLOOKUP(E726,Customers!$A$2:$I$1001,4,0)</f>
        <v>+1 (646) 228-3492</v>
      </c>
      <c r="I726" s="25" t="str">
        <f>VLOOKUP(E726,Customers!$A$2:$I$1001,6,0)</f>
        <v>New York City</v>
      </c>
      <c r="J726" s="25" t="str">
        <f>VLOOKUP(E726,Customers!$A$2:$I$1001,7,0)</f>
        <v>United States</v>
      </c>
      <c r="K726" s="23" t="str">
        <f>VLOOKUP(E726,Customers!$A$2:$I$1001,9,0)</f>
        <v>Yes</v>
      </c>
      <c r="L726" s="4" t="s">
        <v>44</v>
      </c>
      <c r="M726" s="4" t="str">
        <f>VLOOKUP(L726,Products!$A$2:$G$49,2,0)</f>
        <v>Arabica</v>
      </c>
      <c r="N726" s="4" t="str">
        <f>VLOOKUP(L726,Products!$A$2:$G$49,3,0)</f>
        <v>Medium</v>
      </c>
      <c r="O726" s="25">
        <v>2</v>
      </c>
      <c r="P726" s="5">
        <f>INDEX([1]products!$A$1:$G$49,MATCH([1]orders!$D726,[1]products!$A$1:$A$49,0),MATCH([1]orders!K$1,[1]products!$A$1:$G$1,0))</f>
        <v>0.2</v>
      </c>
      <c r="Q726" s="6">
        <f>INDEX([1]products!$A$1:$G$49,MATCH([1]orders!$D726,[1]products!$A$1:$A$49,0),MATCH([1]orders!L$1,[1]products!$A$1:$G$1,0))</f>
        <v>3.375</v>
      </c>
      <c r="R726" s="6">
        <f t="shared" si="55"/>
        <v>6.75</v>
      </c>
      <c r="S726">
        <f>VLOOKUP(L726,Products!$A$2:$G$49,7,0)</f>
        <v>0.30374999999999996</v>
      </c>
      <c r="T726">
        <f t="shared" si="58"/>
        <v>0.60749999999999993</v>
      </c>
      <c r="U726" s="33">
        <f t="shared" si="59"/>
        <v>8.9999999999999982</v>
      </c>
    </row>
    <row r="727" spans="1:21" x14ac:dyDescent="0.25">
      <c r="A727" s="1" t="s">
        <v>1409</v>
      </c>
      <c r="B727" s="28">
        <v>44043</v>
      </c>
      <c r="C727" s="21" t="str">
        <f t="shared" si="56"/>
        <v>2020</v>
      </c>
      <c r="D727" s="19" t="str">
        <f t="shared" si="57"/>
        <v>July</v>
      </c>
      <c r="E727" s="3" t="s">
        <v>1410</v>
      </c>
      <c r="F727" s="3" t="str">
        <f>VLOOKUP(E727,Customers!$A$2:$I$1001,2,0)</f>
        <v>Cristina Aleixo</v>
      </c>
      <c r="G727" s="3" t="str">
        <f>VLOOKUP(E727,Customers!$A$2:$I$1001,3,0)</f>
        <v>caleixok5@globo.com</v>
      </c>
      <c r="H727" s="3" t="str">
        <f>VLOOKUP(E727,Customers!$A$2:$I$1001,4,0)</f>
        <v>+1 (719) 241-4639</v>
      </c>
      <c r="I727" s="25" t="str">
        <f>VLOOKUP(E727,Customers!$A$2:$I$1001,6,0)</f>
        <v>Colorado Springs</v>
      </c>
      <c r="J727" s="25" t="str">
        <f>VLOOKUP(E727,Customers!$A$2:$I$1001,7,0)</f>
        <v>United States</v>
      </c>
      <c r="K727" s="23" t="str">
        <f>VLOOKUP(E727,Customers!$A$2:$I$1001,9,0)</f>
        <v>No</v>
      </c>
      <c r="L727" s="4" t="s">
        <v>115</v>
      </c>
      <c r="M727" s="4" t="str">
        <f>VLOOKUP(L727,Products!$A$2:$G$49,2,0)</f>
        <v>Arabica</v>
      </c>
      <c r="N727" s="4" t="str">
        <f>VLOOKUP(L727,Products!$A$2:$G$49,3,0)</f>
        <v>Light</v>
      </c>
      <c r="O727" s="25">
        <v>6</v>
      </c>
      <c r="P727" s="5">
        <f>INDEX([1]products!$A$1:$G$49,MATCH([1]orders!$D727,[1]products!$A$1:$A$49,0),MATCH([1]orders!K$1,[1]products!$A$1:$G$1,0))</f>
        <v>0.2</v>
      </c>
      <c r="Q727" s="6">
        <f>INDEX([1]products!$A$1:$G$49,MATCH([1]orders!$D727,[1]products!$A$1:$A$49,0),MATCH([1]orders!L$1,[1]products!$A$1:$G$1,0))</f>
        <v>3.8849999999999998</v>
      </c>
      <c r="R727" s="6">
        <f t="shared" si="55"/>
        <v>23.31</v>
      </c>
      <c r="S727">
        <f>VLOOKUP(L727,Products!$A$2:$G$49,7,0)</f>
        <v>0.34964999999999996</v>
      </c>
      <c r="T727">
        <f t="shared" si="58"/>
        <v>2.0978999999999997</v>
      </c>
      <c r="U727" s="33">
        <f t="shared" si="59"/>
        <v>9</v>
      </c>
    </row>
    <row r="728" spans="1:21" x14ac:dyDescent="0.25">
      <c r="A728" s="1" t="s">
        <v>1411</v>
      </c>
      <c r="B728" s="28">
        <v>44571</v>
      </c>
      <c r="C728" s="21" t="str">
        <f t="shared" si="56"/>
        <v>2022</v>
      </c>
      <c r="D728" s="19" t="str">
        <f t="shared" si="57"/>
        <v>January</v>
      </c>
      <c r="E728" s="3" t="s">
        <v>1412</v>
      </c>
      <c r="F728" s="3" t="str">
        <f>VLOOKUP(E728,Customers!$A$2:$I$1001,2,0)</f>
        <v>Derrek Allpress</v>
      </c>
      <c r="G728" s="3" t="str">
        <f>VLOOKUP(E728,Customers!$A$2:$I$1001,3,0)</f>
        <v>UNKNOWN</v>
      </c>
      <c r="H728" s="3" t="str">
        <f>VLOOKUP(E728,Customers!$A$2:$I$1001,4,0)</f>
        <v>+1 (562) 723-4457</v>
      </c>
      <c r="I728" s="25" t="str">
        <f>VLOOKUP(E728,Customers!$A$2:$I$1001,6,0)</f>
        <v>Long Beach</v>
      </c>
      <c r="J728" s="25" t="str">
        <f>VLOOKUP(E728,Customers!$A$2:$I$1001,7,0)</f>
        <v>United States</v>
      </c>
      <c r="K728" s="23" t="str">
        <f>VLOOKUP(E728,Customers!$A$2:$I$1001,9,0)</f>
        <v>No</v>
      </c>
      <c r="L728" s="4" t="s">
        <v>104</v>
      </c>
      <c r="M728" s="4" t="str">
        <f>VLOOKUP(L728,Products!$A$2:$G$49,2,0)</f>
        <v>Liberica</v>
      </c>
      <c r="N728" s="4" t="str">
        <f>VLOOKUP(L728,Products!$A$2:$G$49,3,0)</f>
        <v>Light</v>
      </c>
      <c r="O728" s="25">
        <v>4</v>
      </c>
      <c r="P728" s="5">
        <f>INDEX([1]products!$A$1:$G$49,MATCH([1]orders!$D728,[1]products!$A$1:$A$49,0),MATCH([1]orders!K$1,[1]products!$A$1:$G$1,0))</f>
        <v>2.5</v>
      </c>
      <c r="Q728" s="6">
        <f>INDEX([1]products!$A$1:$G$49,MATCH([1]orders!$D728,[1]products!$A$1:$A$49,0),MATCH([1]orders!L$1,[1]products!$A$1:$G$1,0))</f>
        <v>36.454999999999998</v>
      </c>
      <c r="R728" s="6">
        <f t="shared" si="55"/>
        <v>145.82</v>
      </c>
      <c r="S728">
        <f>VLOOKUP(L728,Products!$A$2:$G$49,7,0)</f>
        <v>4.7391499999999995</v>
      </c>
      <c r="T728">
        <f t="shared" si="58"/>
        <v>18.956599999999998</v>
      </c>
      <c r="U728" s="33">
        <f t="shared" si="59"/>
        <v>13</v>
      </c>
    </row>
    <row r="729" spans="1:21" x14ac:dyDescent="0.25">
      <c r="A729" s="1" t="s">
        <v>1413</v>
      </c>
      <c r="B729" s="28">
        <v>44264</v>
      </c>
      <c r="C729" s="21" t="str">
        <f t="shared" si="56"/>
        <v>2021</v>
      </c>
      <c r="D729" s="19" t="str">
        <f t="shared" si="57"/>
        <v>March</v>
      </c>
      <c r="E729" s="3" t="s">
        <v>1414</v>
      </c>
      <c r="F729" s="3" t="str">
        <f>VLOOKUP(E729,Customers!$A$2:$I$1001,2,0)</f>
        <v>Rikki Tomkowicz</v>
      </c>
      <c r="G729" s="3" t="str">
        <f>VLOOKUP(E729,Customers!$A$2:$I$1001,3,0)</f>
        <v>rtomkowiczk7@bravesites.com</v>
      </c>
      <c r="H729" s="3" t="str">
        <f>VLOOKUP(E729,Customers!$A$2:$I$1001,4,0)</f>
        <v>+353 (849) 645-1593</v>
      </c>
      <c r="I729" s="25" t="str">
        <f>VLOOKUP(E729,Customers!$A$2:$I$1001,6,0)</f>
        <v>Lusk</v>
      </c>
      <c r="J729" s="25" t="str">
        <f>VLOOKUP(E729,Customers!$A$2:$I$1001,7,0)</f>
        <v>Ireland</v>
      </c>
      <c r="K729" s="23" t="str">
        <f>VLOOKUP(E729,Customers!$A$2:$I$1001,9,0)</f>
        <v>Yes</v>
      </c>
      <c r="L729" s="4" t="s">
        <v>22</v>
      </c>
      <c r="M729" s="4" t="str">
        <f>VLOOKUP(L729,Products!$A$2:$G$49,2,0)</f>
        <v>Robusta</v>
      </c>
      <c r="N729" s="4" t="str">
        <f>VLOOKUP(L729,Products!$A$2:$G$49,3,0)</f>
        <v>Medium</v>
      </c>
      <c r="O729" s="25">
        <v>5</v>
      </c>
      <c r="P729" s="5">
        <f>INDEX([1]products!$A$1:$G$49,MATCH([1]orders!$D729,[1]products!$A$1:$A$49,0),MATCH([1]orders!K$1,[1]products!$A$1:$G$1,0))</f>
        <v>0.5</v>
      </c>
      <c r="Q729" s="6">
        <f>INDEX([1]products!$A$1:$G$49,MATCH([1]orders!$D729,[1]products!$A$1:$A$49,0),MATCH([1]orders!L$1,[1]products!$A$1:$G$1,0))</f>
        <v>5.97</v>
      </c>
      <c r="R729" s="6">
        <f t="shared" si="55"/>
        <v>29.849999999999998</v>
      </c>
      <c r="S729">
        <f>VLOOKUP(L729,Products!$A$2:$G$49,7,0)</f>
        <v>0.35819999999999996</v>
      </c>
      <c r="T729">
        <f t="shared" si="58"/>
        <v>1.7909999999999999</v>
      </c>
      <c r="U729" s="33">
        <f t="shared" si="59"/>
        <v>6.0000000000000009</v>
      </c>
    </row>
    <row r="730" spans="1:21" x14ac:dyDescent="0.25">
      <c r="A730" s="1" t="s">
        <v>1415</v>
      </c>
      <c r="B730" s="28">
        <v>44155</v>
      </c>
      <c r="C730" s="21" t="str">
        <f t="shared" si="56"/>
        <v>2020</v>
      </c>
      <c r="D730" s="19" t="str">
        <f t="shared" si="57"/>
        <v>November</v>
      </c>
      <c r="E730" s="3" t="s">
        <v>1416</v>
      </c>
      <c r="F730" s="3" t="str">
        <f>VLOOKUP(E730,Customers!$A$2:$I$1001,2,0)</f>
        <v>Rochette Huscroft</v>
      </c>
      <c r="G730" s="3" t="str">
        <f>VLOOKUP(E730,Customers!$A$2:$I$1001,3,0)</f>
        <v>rhuscroftk8@jimdo.com</v>
      </c>
      <c r="H730" s="3" t="str">
        <f>VLOOKUP(E730,Customers!$A$2:$I$1001,4,0)</f>
        <v>+1 (775) 223-5044</v>
      </c>
      <c r="I730" s="25" t="str">
        <f>VLOOKUP(E730,Customers!$A$2:$I$1001,6,0)</f>
        <v>Reno</v>
      </c>
      <c r="J730" s="25" t="str">
        <f>VLOOKUP(E730,Customers!$A$2:$I$1001,7,0)</f>
        <v>United States</v>
      </c>
      <c r="K730" s="23" t="str">
        <f>VLOOKUP(E730,Customers!$A$2:$I$1001,9,0)</f>
        <v>Yes</v>
      </c>
      <c r="L730" s="4" t="s">
        <v>16</v>
      </c>
      <c r="M730" s="4" t="str">
        <f>VLOOKUP(L730,Products!$A$2:$G$49,2,0)</f>
        <v>Excelsa</v>
      </c>
      <c r="N730" s="4" t="str">
        <f>VLOOKUP(L730,Products!$A$2:$G$49,3,0)</f>
        <v>Dark</v>
      </c>
      <c r="O730" s="25">
        <v>3</v>
      </c>
      <c r="P730" s="5">
        <f>INDEX([1]products!$A$1:$G$49,MATCH([1]orders!$D730,[1]products!$A$1:$A$49,0),MATCH([1]orders!K$1,[1]products!$A$1:$G$1,0))</f>
        <v>0.5</v>
      </c>
      <c r="Q730" s="6">
        <f>INDEX([1]products!$A$1:$G$49,MATCH([1]orders!$D730,[1]products!$A$1:$A$49,0),MATCH([1]orders!L$1,[1]products!$A$1:$G$1,0))</f>
        <v>7.29</v>
      </c>
      <c r="R730" s="6">
        <f t="shared" si="55"/>
        <v>21.87</v>
      </c>
      <c r="S730">
        <f>VLOOKUP(L730,Products!$A$2:$G$49,7,0)</f>
        <v>0.80190000000000006</v>
      </c>
      <c r="T730">
        <f t="shared" si="58"/>
        <v>2.4057000000000004</v>
      </c>
      <c r="U730" s="33">
        <f t="shared" si="59"/>
        <v>11.000000000000002</v>
      </c>
    </row>
    <row r="731" spans="1:21" x14ac:dyDescent="0.25">
      <c r="A731" s="1" t="s">
        <v>1417</v>
      </c>
      <c r="B731" s="28">
        <v>44634</v>
      </c>
      <c r="C731" s="21" t="str">
        <f t="shared" si="56"/>
        <v>2022</v>
      </c>
      <c r="D731" s="19" t="str">
        <f t="shared" si="57"/>
        <v>March</v>
      </c>
      <c r="E731" s="3" t="s">
        <v>1418</v>
      </c>
      <c r="F731" s="3" t="str">
        <f>VLOOKUP(E731,Customers!$A$2:$I$1001,2,0)</f>
        <v>Selle Scurrer</v>
      </c>
      <c r="G731" s="3" t="str">
        <f>VLOOKUP(E731,Customers!$A$2:$I$1001,3,0)</f>
        <v>sscurrerk9@flavors.me</v>
      </c>
      <c r="H731" s="3" t="str">
        <f>VLOOKUP(E731,Customers!$A$2:$I$1001,4,0)</f>
        <v>+44 (520) 402-1303</v>
      </c>
      <c r="I731" s="25" t="str">
        <f>VLOOKUP(E731,Customers!$A$2:$I$1001,6,0)</f>
        <v>Upton</v>
      </c>
      <c r="J731" s="25" t="str">
        <f>VLOOKUP(E731,Customers!$A$2:$I$1001,7,0)</f>
        <v>United Kingdom</v>
      </c>
      <c r="K731" s="23" t="str">
        <f>VLOOKUP(E731,Customers!$A$2:$I$1001,9,0)</f>
        <v>No</v>
      </c>
      <c r="L731" s="4" t="s">
        <v>77</v>
      </c>
      <c r="M731" s="4" t="str">
        <f>VLOOKUP(L731,Products!$A$2:$G$49,2,0)</f>
        <v>Liberica</v>
      </c>
      <c r="N731" s="4" t="str">
        <f>VLOOKUP(L731,Products!$A$2:$G$49,3,0)</f>
        <v>Medium</v>
      </c>
      <c r="O731" s="25">
        <v>1</v>
      </c>
      <c r="P731" s="5">
        <f>INDEX([1]products!$A$1:$G$49,MATCH([1]orders!$D731,[1]products!$A$1:$A$49,0),MATCH([1]orders!K$1,[1]products!$A$1:$G$1,0))</f>
        <v>0.2</v>
      </c>
      <c r="Q731" s="6">
        <f>INDEX([1]products!$A$1:$G$49,MATCH([1]orders!$D731,[1]products!$A$1:$A$49,0),MATCH([1]orders!L$1,[1]products!$A$1:$G$1,0))</f>
        <v>4.3650000000000002</v>
      </c>
      <c r="R731" s="6">
        <f t="shared" si="55"/>
        <v>4.3650000000000002</v>
      </c>
      <c r="S731">
        <f>VLOOKUP(L731,Products!$A$2:$G$49,7,0)</f>
        <v>0.56745000000000001</v>
      </c>
      <c r="T731">
        <f t="shared" si="58"/>
        <v>0.56745000000000001</v>
      </c>
      <c r="U731" s="33">
        <f t="shared" si="59"/>
        <v>13</v>
      </c>
    </row>
    <row r="732" spans="1:21" x14ac:dyDescent="0.25">
      <c r="A732" s="1" t="s">
        <v>1419</v>
      </c>
      <c r="B732" s="28">
        <v>43475</v>
      </c>
      <c r="C732" s="21" t="str">
        <f t="shared" si="56"/>
        <v>2019</v>
      </c>
      <c r="D732" s="19" t="str">
        <f t="shared" si="57"/>
        <v>January</v>
      </c>
      <c r="E732" s="3" t="s">
        <v>1420</v>
      </c>
      <c r="F732" s="3" t="str">
        <f>VLOOKUP(E732,Customers!$A$2:$I$1001,2,0)</f>
        <v>Andie Rudram</v>
      </c>
      <c r="G732" s="3" t="str">
        <f>VLOOKUP(E732,Customers!$A$2:$I$1001,3,0)</f>
        <v>arudramka@prnewswire.com</v>
      </c>
      <c r="H732" s="3" t="str">
        <f>VLOOKUP(E732,Customers!$A$2:$I$1001,4,0)</f>
        <v>+1 (702) 333-7442</v>
      </c>
      <c r="I732" s="25" t="str">
        <f>VLOOKUP(E732,Customers!$A$2:$I$1001,6,0)</f>
        <v>Las Vegas</v>
      </c>
      <c r="J732" s="25" t="str">
        <f>VLOOKUP(E732,Customers!$A$2:$I$1001,7,0)</f>
        <v>United States</v>
      </c>
      <c r="K732" s="23" t="str">
        <f>VLOOKUP(E732,Customers!$A$2:$I$1001,9,0)</f>
        <v>No</v>
      </c>
      <c r="L732" s="4" t="s">
        <v>104</v>
      </c>
      <c r="M732" s="4" t="str">
        <f>VLOOKUP(L732,Products!$A$2:$G$49,2,0)</f>
        <v>Liberica</v>
      </c>
      <c r="N732" s="4" t="str">
        <f>VLOOKUP(L732,Products!$A$2:$G$49,3,0)</f>
        <v>Light</v>
      </c>
      <c r="O732" s="25">
        <v>1</v>
      </c>
      <c r="P732" s="5">
        <f>INDEX([1]products!$A$1:$G$49,MATCH([1]orders!$D732,[1]products!$A$1:$A$49,0),MATCH([1]orders!K$1,[1]products!$A$1:$G$1,0))</f>
        <v>2.5</v>
      </c>
      <c r="Q732" s="6">
        <f>INDEX([1]products!$A$1:$G$49,MATCH([1]orders!$D732,[1]products!$A$1:$A$49,0),MATCH([1]orders!L$1,[1]products!$A$1:$G$1,0))</f>
        <v>36.454999999999998</v>
      </c>
      <c r="R732" s="6">
        <f t="shared" si="55"/>
        <v>36.454999999999998</v>
      </c>
      <c r="S732">
        <f>VLOOKUP(L732,Products!$A$2:$G$49,7,0)</f>
        <v>4.7391499999999995</v>
      </c>
      <c r="T732">
        <f t="shared" si="58"/>
        <v>4.7391499999999995</v>
      </c>
      <c r="U732" s="33">
        <f t="shared" si="59"/>
        <v>13</v>
      </c>
    </row>
    <row r="733" spans="1:21" x14ac:dyDescent="0.25">
      <c r="A733" s="1" t="s">
        <v>1421</v>
      </c>
      <c r="B733" s="28">
        <v>44222</v>
      </c>
      <c r="C733" s="21" t="str">
        <f t="shared" si="56"/>
        <v>2021</v>
      </c>
      <c r="D733" s="19" t="str">
        <f t="shared" si="57"/>
        <v>January</v>
      </c>
      <c r="E733" s="3" t="s">
        <v>1422</v>
      </c>
      <c r="F733" s="3" t="str">
        <f>VLOOKUP(E733,Customers!$A$2:$I$1001,2,0)</f>
        <v>Leta Clarricoates</v>
      </c>
      <c r="G733" s="3" t="str">
        <f>VLOOKUP(E733,Customers!$A$2:$I$1001,3,0)</f>
        <v>UNKNOWN</v>
      </c>
      <c r="H733" s="3" t="str">
        <f>VLOOKUP(E733,Customers!$A$2:$I$1001,4,0)</f>
        <v>+1 (302) 620-1205</v>
      </c>
      <c r="I733" s="25" t="str">
        <f>VLOOKUP(E733,Customers!$A$2:$I$1001,6,0)</f>
        <v>Wilmington</v>
      </c>
      <c r="J733" s="25" t="str">
        <f>VLOOKUP(E733,Customers!$A$2:$I$1001,7,0)</f>
        <v>United States</v>
      </c>
      <c r="K733" s="23" t="str">
        <f>VLOOKUP(E733,Customers!$A$2:$I$1001,9,0)</f>
        <v>Yes</v>
      </c>
      <c r="L733" s="4" t="s">
        <v>38</v>
      </c>
      <c r="M733" s="4" t="str">
        <f>VLOOKUP(L733,Products!$A$2:$G$49,2,0)</f>
        <v>Liberica</v>
      </c>
      <c r="N733" s="4" t="str">
        <f>VLOOKUP(L733,Products!$A$2:$G$49,3,0)</f>
        <v>Dark</v>
      </c>
      <c r="O733" s="25">
        <v>4</v>
      </c>
      <c r="P733" s="5">
        <f>INDEX([1]products!$A$1:$G$49,MATCH([1]orders!$D733,[1]products!$A$1:$A$49,0),MATCH([1]orders!K$1,[1]products!$A$1:$G$1,0))</f>
        <v>0.2</v>
      </c>
      <c r="Q733" s="6">
        <f>INDEX([1]products!$A$1:$G$49,MATCH([1]orders!$D733,[1]products!$A$1:$A$49,0),MATCH([1]orders!L$1,[1]products!$A$1:$G$1,0))</f>
        <v>3.8849999999999998</v>
      </c>
      <c r="R733" s="6">
        <f t="shared" si="55"/>
        <v>15.54</v>
      </c>
      <c r="S733">
        <f>VLOOKUP(L733,Products!$A$2:$G$49,7,0)</f>
        <v>0.50505</v>
      </c>
      <c r="T733">
        <f t="shared" si="58"/>
        <v>2.0202</v>
      </c>
      <c r="U733" s="33">
        <f t="shared" si="59"/>
        <v>13</v>
      </c>
    </row>
    <row r="734" spans="1:21" x14ac:dyDescent="0.25">
      <c r="A734" s="1" t="s">
        <v>1423</v>
      </c>
      <c r="B734" s="28">
        <v>44312</v>
      </c>
      <c r="C734" s="21" t="str">
        <f t="shared" si="56"/>
        <v>2021</v>
      </c>
      <c r="D734" s="19" t="str">
        <f t="shared" si="57"/>
        <v>April</v>
      </c>
      <c r="E734" s="3" t="s">
        <v>1424</v>
      </c>
      <c r="F734" s="3" t="str">
        <f>VLOOKUP(E734,Customers!$A$2:$I$1001,2,0)</f>
        <v>Jacquelyn Maha</v>
      </c>
      <c r="G734" s="3" t="str">
        <f>VLOOKUP(E734,Customers!$A$2:$I$1001,3,0)</f>
        <v>jmahakc@cyberchimps.com</v>
      </c>
      <c r="H734" s="3" t="str">
        <f>VLOOKUP(E734,Customers!$A$2:$I$1001,4,0)</f>
        <v>+1 (702) 238-8287</v>
      </c>
      <c r="I734" s="25" t="str">
        <f>VLOOKUP(E734,Customers!$A$2:$I$1001,6,0)</f>
        <v>Reno</v>
      </c>
      <c r="J734" s="25" t="str">
        <f>VLOOKUP(E734,Customers!$A$2:$I$1001,7,0)</f>
        <v>United States</v>
      </c>
      <c r="K734" s="23" t="str">
        <f>VLOOKUP(E734,Customers!$A$2:$I$1001,9,0)</f>
        <v>No</v>
      </c>
      <c r="L734" s="4" t="s">
        <v>254</v>
      </c>
      <c r="M734" s="4" t="str">
        <f>VLOOKUP(L734,Products!$A$2:$G$49,2,0)</f>
        <v>Excelsa</v>
      </c>
      <c r="N734" s="4" t="str">
        <f>VLOOKUP(L734,Products!$A$2:$G$49,3,0)</f>
        <v>Light</v>
      </c>
      <c r="O734" s="25">
        <v>2</v>
      </c>
      <c r="P734" s="5">
        <f>INDEX([1]products!$A$1:$G$49,MATCH([1]orders!$D734,[1]products!$A$1:$A$49,0),MATCH([1]orders!K$1,[1]products!$A$1:$G$1,0))</f>
        <v>0.2</v>
      </c>
      <c r="Q734" s="6">
        <f>INDEX([1]products!$A$1:$G$49,MATCH([1]orders!$D734,[1]products!$A$1:$A$49,0),MATCH([1]orders!L$1,[1]products!$A$1:$G$1,0))</f>
        <v>4.4550000000000001</v>
      </c>
      <c r="R734" s="6">
        <f t="shared" si="55"/>
        <v>8.91</v>
      </c>
      <c r="S734">
        <f>VLOOKUP(L734,Products!$A$2:$G$49,7,0)</f>
        <v>0.49004999999999999</v>
      </c>
      <c r="T734">
        <f t="shared" si="58"/>
        <v>0.98009999999999997</v>
      </c>
      <c r="U734" s="33">
        <f t="shared" si="59"/>
        <v>11</v>
      </c>
    </row>
    <row r="735" spans="1:21" x14ac:dyDescent="0.25">
      <c r="A735" s="1" t="s">
        <v>1425</v>
      </c>
      <c r="B735" s="28">
        <v>44565</v>
      </c>
      <c r="C735" s="21" t="str">
        <f t="shared" si="56"/>
        <v>2022</v>
      </c>
      <c r="D735" s="19" t="str">
        <f t="shared" si="57"/>
        <v>January</v>
      </c>
      <c r="E735" s="3" t="s">
        <v>1426</v>
      </c>
      <c r="F735" s="3" t="str">
        <f>VLOOKUP(E735,Customers!$A$2:$I$1001,2,0)</f>
        <v>Glory Clemon</v>
      </c>
      <c r="G735" s="3" t="str">
        <f>VLOOKUP(E735,Customers!$A$2:$I$1001,3,0)</f>
        <v>gclemonkd@networksolutions.com</v>
      </c>
      <c r="H735" s="3" t="str">
        <f>VLOOKUP(E735,Customers!$A$2:$I$1001,4,0)</f>
        <v>+1 (205) 681-2376</v>
      </c>
      <c r="I735" s="25" t="str">
        <f>VLOOKUP(E735,Customers!$A$2:$I$1001,6,0)</f>
        <v>Tuscaloosa</v>
      </c>
      <c r="J735" s="25" t="str">
        <f>VLOOKUP(E735,Customers!$A$2:$I$1001,7,0)</f>
        <v>United States</v>
      </c>
      <c r="K735" s="23" t="str">
        <f>VLOOKUP(E735,Customers!$A$2:$I$1001,9,0)</f>
        <v>Yes</v>
      </c>
      <c r="L735" s="4" t="s">
        <v>197</v>
      </c>
      <c r="M735" s="4" t="str">
        <f>VLOOKUP(L735,Products!$A$2:$G$49,2,0)</f>
        <v>Liberica</v>
      </c>
      <c r="N735" s="4" t="str">
        <f>VLOOKUP(L735,Products!$A$2:$G$49,3,0)</f>
        <v>Medium</v>
      </c>
      <c r="O735" s="25">
        <v>3</v>
      </c>
      <c r="P735" s="5">
        <f>INDEX([1]products!$A$1:$G$49,MATCH([1]orders!$D735,[1]products!$A$1:$A$49,0),MATCH([1]orders!K$1,[1]products!$A$1:$G$1,0))</f>
        <v>2.5</v>
      </c>
      <c r="Q735" s="6">
        <f>INDEX([1]products!$A$1:$G$49,MATCH([1]orders!$D735,[1]products!$A$1:$A$49,0),MATCH([1]orders!L$1,[1]products!$A$1:$G$1,0))</f>
        <v>33.464999999999996</v>
      </c>
      <c r="R735" s="6">
        <f t="shared" si="55"/>
        <v>100.39499999999998</v>
      </c>
      <c r="S735">
        <f>VLOOKUP(L735,Products!$A$2:$G$49,7,0)</f>
        <v>4.3504499999999995</v>
      </c>
      <c r="T735">
        <f t="shared" si="58"/>
        <v>13.051349999999999</v>
      </c>
      <c r="U735" s="33">
        <f t="shared" si="59"/>
        <v>13</v>
      </c>
    </row>
    <row r="736" spans="1:21" x14ac:dyDescent="0.25">
      <c r="A736" s="1" t="s">
        <v>1427</v>
      </c>
      <c r="B736" s="28">
        <v>43697</v>
      </c>
      <c r="C736" s="21" t="str">
        <f t="shared" si="56"/>
        <v>2019</v>
      </c>
      <c r="D736" s="19" t="str">
        <f t="shared" si="57"/>
        <v>August</v>
      </c>
      <c r="E736" s="3" t="s">
        <v>1428</v>
      </c>
      <c r="F736" s="3" t="str">
        <f>VLOOKUP(E736,Customers!$A$2:$I$1001,2,0)</f>
        <v>Alica Kift</v>
      </c>
      <c r="G736" s="3" t="str">
        <f>VLOOKUP(E736,Customers!$A$2:$I$1001,3,0)</f>
        <v>UNKNOWN</v>
      </c>
      <c r="H736" s="3" t="str">
        <f>VLOOKUP(E736,Customers!$A$2:$I$1001,4,0)</f>
        <v>+1 (209) 133-9447</v>
      </c>
      <c r="I736" s="25" t="str">
        <f>VLOOKUP(E736,Customers!$A$2:$I$1001,6,0)</f>
        <v>Garden Grove</v>
      </c>
      <c r="J736" s="25" t="str">
        <f>VLOOKUP(E736,Customers!$A$2:$I$1001,7,0)</f>
        <v>United States</v>
      </c>
      <c r="K736" s="23" t="str">
        <f>VLOOKUP(E736,Customers!$A$2:$I$1001,9,0)</f>
        <v>No</v>
      </c>
      <c r="L736" s="4" t="s">
        <v>101</v>
      </c>
      <c r="M736" s="4" t="str">
        <f>VLOOKUP(L736,Products!$A$2:$G$49,2,0)</f>
        <v>Robusta</v>
      </c>
      <c r="N736" s="4" t="str">
        <f>VLOOKUP(L736,Products!$A$2:$G$49,3,0)</f>
        <v>Dark</v>
      </c>
      <c r="O736" s="25">
        <v>5</v>
      </c>
      <c r="P736" s="5">
        <f>INDEX([1]products!$A$1:$G$49,MATCH([1]orders!$D736,[1]products!$A$1:$A$49,0),MATCH([1]orders!K$1,[1]products!$A$1:$G$1,0))</f>
        <v>0.2</v>
      </c>
      <c r="Q736" s="6">
        <f>INDEX([1]products!$A$1:$G$49,MATCH([1]orders!$D736,[1]products!$A$1:$A$49,0),MATCH([1]orders!L$1,[1]products!$A$1:$G$1,0))</f>
        <v>2.6849999999999996</v>
      </c>
      <c r="R736" s="6">
        <f t="shared" si="55"/>
        <v>13.424999999999997</v>
      </c>
      <c r="S736">
        <f>VLOOKUP(L736,Products!$A$2:$G$49,7,0)</f>
        <v>0.16109999999999997</v>
      </c>
      <c r="T736">
        <f t="shared" si="58"/>
        <v>0.80549999999999988</v>
      </c>
      <c r="U736" s="33">
        <f t="shared" si="59"/>
        <v>6.0000000000000009</v>
      </c>
    </row>
    <row r="737" spans="1:21" x14ac:dyDescent="0.25">
      <c r="A737" s="1" t="s">
        <v>1429</v>
      </c>
      <c r="B737" s="28">
        <v>44757</v>
      </c>
      <c r="C737" s="21" t="str">
        <f t="shared" si="56"/>
        <v>2022</v>
      </c>
      <c r="D737" s="19" t="str">
        <f t="shared" si="57"/>
        <v>July</v>
      </c>
      <c r="E737" s="3" t="s">
        <v>1430</v>
      </c>
      <c r="F737" s="3" t="str">
        <f>VLOOKUP(E737,Customers!$A$2:$I$1001,2,0)</f>
        <v>Babb Pollins</v>
      </c>
      <c r="G737" s="3" t="str">
        <f>VLOOKUP(E737,Customers!$A$2:$I$1001,3,0)</f>
        <v>bpollinskf@shinystat.com</v>
      </c>
      <c r="H737" s="3" t="str">
        <f>VLOOKUP(E737,Customers!$A$2:$I$1001,4,0)</f>
        <v>UNKNOWN</v>
      </c>
      <c r="I737" s="25" t="str">
        <f>VLOOKUP(E737,Customers!$A$2:$I$1001,6,0)</f>
        <v>Shawnee Mission</v>
      </c>
      <c r="J737" s="25" t="str">
        <f>VLOOKUP(E737,Customers!$A$2:$I$1001,7,0)</f>
        <v>United States</v>
      </c>
      <c r="K737" s="23" t="str">
        <f>VLOOKUP(E737,Customers!$A$2:$I$1001,9,0)</f>
        <v>No</v>
      </c>
      <c r="L737" s="4" t="s">
        <v>51</v>
      </c>
      <c r="M737" s="4" t="str">
        <f>VLOOKUP(L737,Products!$A$2:$G$49,2,0)</f>
        <v>Excelsa</v>
      </c>
      <c r="N737" s="4" t="str">
        <f>VLOOKUP(L737,Products!$A$2:$G$49,3,0)</f>
        <v>Dark</v>
      </c>
      <c r="O737" s="25">
        <v>6</v>
      </c>
      <c r="P737" s="5">
        <f>INDEX([1]products!$A$1:$G$49,MATCH([1]orders!$D737,[1]products!$A$1:$A$49,0),MATCH([1]orders!K$1,[1]products!$A$1:$G$1,0))</f>
        <v>0.2</v>
      </c>
      <c r="Q737" s="6">
        <f>INDEX([1]products!$A$1:$G$49,MATCH([1]orders!$D737,[1]products!$A$1:$A$49,0),MATCH([1]orders!L$1,[1]products!$A$1:$G$1,0))</f>
        <v>3.645</v>
      </c>
      <c r="R737" s="6">
        <f t="shared" si="55"/>
        <v>21.87</v>
      </c>
      <c r="S737">
        <f>VLOOKUP(L737,Products!$A$2:$G$49,7,0)</f>
        <v>0.40095000000000003</v>
      </c>
      <c r="T737">
        <f t="shared" si="58"/>
        <v>2.4057000000000004</v>
      </c>
      <c r="U737" s="33">
        <f t="shared" si="59"/>
        <v>11.000000000000002</v>
      </c>
    </row>
    <row r="738" spans="1:21" x14ac:dyDescent="0.25">
      <c r="A738" s="1" t="s">
        <v>1431</v>
      </c>
      <c r="B738" s="28">
        <v>43508</v>
      </c>
      <c r="C738" s="21" t="str">
        <f t="shared" si="56"/>
        <v>2019</v>
      </c>
      <c r="D738" s="19" t="str">
        <f t="shared" si="57"/>
        <v>February</v>
      </c>
      <c r="E738" s="3" t="s">
        <v>1432</v>
      </c>
      <c r="F738" s="3" t="str">
        <f>VLOOKUP(E738,Customers!$A$2:$I$1001,2,0)</f>
        <v>Jarret Toye</v>
      </c>
      <c r="G738" s="3" t="str">
        <f>VLOOKUP(E738,Customers!$A$2:$I$1001,3,0)</f>
        <v>jtoyekg@pinterest.com</v>
      </c>
      <c r="H738" s="3" t="str">
        <f>VLOOKUP(E738,Customers!$A$2:$I$1001,4,0)</f>
        <v>+353 (587) 270-6561</v>
      </c>
      <c r="I738" s="25" t="str">
        <f>VLOOKUP(E738,Customers!$A$2:$I$1001,6,0)</f>
        <v>Ballivor</v>
      </c>
      <c r="J738" s="25" t="str">
        <f>VLOOKUP(E738,Customers!$A$2:$I$1001,7,0)</f>
        <v>Ireland</v>
      </c>
      <c r="K738" s="23" t="str">
        <f>VLOOKUP(E738,Customers!$A$2:$I$1001,9,0)</f>
        <v>Yes</v>
      </c>
      <c r="L738" s="4" t="s">
        <v>13</v>
      </c>
      <c r="M738" s="4" t="str">
        <f>VLOOKUP(L738,Products!$A$2:$G$49,2,0)</f>
        <v>Liberica</v>
      </c>
      <c r="N738" s="4" t="str">
        <f>VLOOKUP(L738,Products!$A$2:$G$49,3,0)</f>
        <v>Dark</v>
      </c>
      <c r="O738" s="25">
        <v>2</v>
      </c>
      <c r="P738" s="5">
        <f>INDEX([1]products!$A$1:$G$49,MATCH([1]orders!$D738,[1]products!$A$1:$A$49,0),MATCH([1]orders!K$1,[1]products!$A$1:$G$1,0))</f>
        <v>1</v>
      </c>
      <c r="Q738" s="6">
        <f>INDEX([1]products!$A$1:$G$49,MATCH([1]orders!$D738,[1]products!$A$1:$A$49,0),MATCH([1]orders!L$1,[1]products!$A$1:$G$1,0))</f>
        <v>12.95</v>
      </c>
      <c r="R738" s="6">
        <f t="shared" si="55"/>
        <v>25.9</v>
      </c>
      <c r="S738">
        <f>VLOOKUP(L738,Products!$A$2:$G$49,7,0)</f>
        <v>1.6835</v>
      </c>
      <c r="T738">
        <f t="shared" si="58"/>
        <v>3.367</v>
      </c>
      <c r="U738" s="33">
        <f t="shared" si="59"/>
        <v>13</v>
      </c>
    </row>
    <row r="739" spans="1:21" x14ac:dyDescent="0.25">
      <c r="A739" s="1" t="s">
        <v>1433</v>
      </c>
      <c r="B739" s="28">
        <v>44447</v>
      </c>
      <c r="C739" s="21" t="str">
        <f t="shared" si="56"/>
        <v>2021</v>
      </c>
      <c r="D739" s="19" t="str">
        <f t="shared" si="57"/>
        <v>September</v>
      </c>
      <c r="E739" s="3" t="s">
        <v>1434</v>
      </c>
      <c r="F739" s="3" t="str">
        <f>VLOOKUP(E739,Customers!$A$2:$I$1001,2,0)</f>
        <v>Carlie Linskill</v>
      </c>
      <c r="G739" s="3" t="str">
        <f>VLOOKUP(E739,Customers!$A$2:$I$1001,3,0)</f>
        <v>clinskillkh@sphinn.com</v>
      </c>
      <c r="H739" s="3" t="str">
        <f>VLOOKUP(E739,Customers!$A$2:$I$1001,4,0)</f>
        <v>+1 (513) 743-7556</v>
      </c>
      <c r="I739" s="25" t="str">
        <f>VLOOKUP(E739,Customers!$A$2:$I$1001,6,0)</f>
        <v>Cincinnati</v>
      </c>
      <c r="J739" s="25" t="str">
        <f>VLOOKUP(E739,Customers!$A$2:$I$1001,7,0)</f>
        <v>United States</v>
      </c>
      <c r="K739" s="23" t="str">
        <f>VLOOKUP(E739,Customers!$A$2:$I$1001,9,0)</f>
        <v>No</v>
      </c>
      <c r="L739" s="4" t="s">
        <v>61</v>
      </c>
      <c r="M739" s="4" t="str">
        <f>VLOOKUP(L739,Products!$A$2:$G$49,2,0)</f>
        <v>Arabica</v>
      </c>
      <c r="N739" s="4" t="str">
        <f>VLOOKUP(L739,Products!$A$2:$G$49,3,0)</f>
        <v>Medium</v>
      </c>
      <c r="O739" s="25">
        <v>5</v>
      </c>
      <c r="P739" s="5">
        <f>INDEX([1]products!$A$1:$G$49,MATCH([1]orders!$D739,[1]products!$A$1:$A$49,0),MATCH([1]orders!K$1,[1]products!$A$1:$G$1,0))</f>
        <v>1</v>
      </c>
      <c r="Q739" s="6">
        <f>INDEX([1]products!$A$1:$G$49,MATCH([1]orders!$D739,[1]products!$A$1:$A$49,0),MATCH([1]orders!L$1,[1]products!$A$1:$G$1,0))</f>
        <v>11.25</v>
      </c>
      <c r="R739" s="6">
        <f t="shared" si="55"/>
        <v>56.25</v>
      </c>
      <c r="S739">
        <f>VLOOKUP(L739,Products!$A$2:$G$49,7,0)</f>
        <v>1.0125</v>
      </c>
      <c r="T739">
        <f t="shared" si="58"/>
        <v>5.0625</v>
      </c>
      <c r="U739" s="33">
        <f t="shared" si="59"/>
        <v>9</v>
      </c>
    </row>
    <row r="740" spans="1:21" x14ac:dyDescent="0.25">
      <c r="A740" s="1" t="s">
        <v>1435</v>
      </c>
      <c r="B740" s="28">
        <v>43812</v>
      </c>
      <c r="C740" s="21" t="str">
        <f t="shared" si="56"/>
        <v>2019</v>
      </c>
      <c r="D740" s="19" t="str">
        <f t="shared" si="57"/>
        <v>December</v>
      </c>
      <c r="E740" s="3" t="s">
        <v>1436</v>
      </c>
      <c r="F740" s="3" t="str">
        <f>VLOOKUP(E740,Customers!$A$2:$I$1001,2,0)</f>
        <v>Natal Vigrass</v>
      </c>
      <c r="G740" s="3" t="str">
        <f>VLOOKUP(E740,Customers!$A$2:$I$1001,3,0)</f>
        <v>nvigrasski@ezinearticles.com</v>
      </c>
      <c r="H740" s="3" t="str">
        <f>VLOOKUP(E740,Customers!$A$2:$I$1001,4,0)</f>
        <v>+44 (336) 257-7415</v>
      </c>
      <c r="I740" s="25" t="str">
        <f>VLOOKUP(E740,Customers!$A$2:$I$1001,6,0)</f>
        <v>Whitwell</v>
      </c>
      <c r="J740" s="25" t="str">
        <f>VLOOKUP(E740,Customers!$A$2:$I$1001,7,0)</f>
        <v>United Kingdom</v>
      </c>
      <c r="K740" s="23" t="str">
        <f>VLOOKUP(E740,Customers!$A$2:$I$1001,9,0)</f>
        <v>No</v>
      </c>
      <c r="L740" s="4" t="s">
        <v>182</v>
      </c>
      <c r="M740" s="4" t="str">
        <f>VLOOKUP(L740,Products!$A$2:$G$49,2,0)</f>
        <v>Robusta</v>
      </c>
      <c r="N740" s="4" t="str">
        <f>VLOOKUP(L740,Products!$A$2:$G$49,3,0)</f>
        <v>Light</v>
      </c>
      <c r="O740" s="25">
        <v>3</v>
      </c>
      <c r="P740" s="5">
        <f>INDEX([1]products!$A$1:$G$49,MATCH([1]orders!$D740,[1]products!$A$1:$A$49,0),MATCH([1]orders!K$1,[1]products!$A$1:$G$1,0))</f>
        <v>0.2</v>
      </c>
      <c r="Q740" s="6">
        <f>INDEX([1]products!$A$1:$G$49,MATCH([1]orders!$D740,[1]products!$A$1:$A$49,0),MATCH([1]orders!L$1,[1]products!$A$1:$G$1,0))</f>
        <v>3.5849999999999995</v>
      </c>
      <c r="R740" s="6">
        <f t="shared" si="55"/>
        <v>10.754999999999999</v>
      </c>
      <c r="S740">
        <f>VLOOKUP(L740,Products!$A$2:$G$49,7,0)</f>
        <v>0.21509999999999996</v>
      </c>
      <c r="T740">
        <f t="shared" si="58"/>
        <v>0.64529999999999987</v>
      </c>
      <c r="U740" s="33">
        <f t="shared" si="59"/>
        <v>5.9999999999999991</v>
      </c>
    </row>
    <row r="741" spans="1:21" x14ac:dyDescent="0.25">
      <c r="A741" s="1" t="s">
        <v>1437</v>
      </c>
      <c r="B741" s="28">
        <v>44433</v>
      </c>
      <c r="C741" s="21" t="str">
        <f t="shared" si="56"/>
        <v>2021</v>
      </c>
      <c r="D741" s="19" t="str">
        <f t="shared" si="57"/>
        <v>August</v>
      </c>
      <c r="E741" s="3" t="s">
        <v>1344</v>
      </c>
      <c r="F741" s="3" t="str">
        <f>VLOOKUP(E741,Customers!$A$2:$I$1001,2,0)</f>
        <v>Jimmy Dymoke</v>
      </c>
      <c r="G741" s="3" t="str">
        <f>VLOOKUP(E741,Customers!$A$2:$I$1001,3,0)</f>
        <v>jdymokeje@prnewswire.com</v>
      </c>
      <c r="H741" s="3" t="str">
        <f>VLOOKUP(E741,Customers!$A$2:$I$1001,4,0)</f>
        <v>+353 (390) 459-9269</v>
      </c>
      <c r="I741" s="25" t="str">
        <f>VLOOKUP(E741,Customers!$A$2:$I$1001,6,0)</f>
        <v>Beaumont</v>
      </c>
      <c r="J741" s="25" t="str">
        <f>VLOOKUP(E741,Customers!$A$2:$I$1001,7,0)</f>
        <v>Ireland</v>
      </c>
      <c r="K741" s="23" t="str">
        <f>VLOOKUP(E741,Customers!$A$2:$I$1001,9,0)</f>
        <v>No</v>
      </c>
      <c r="L741" s="4" t="s">
        <v>51</v>
      </c>
      <c r="M741" s="4" t="str">
        <f>VLOOKUP(L741,Products!$A$2:$G$49,2,0)</f>
        <v>Excelsa</v>
      </c>
      <c r="N741" s="4" t="str">
        <f>VLOOKUP(L741,Products!$A$2:$G$49,3,0)</f>
        <v>Dark</v>
      </c>
      <c r="O741" s="25">
        <v>5</v>
      </c>
      <c r="P741" s="5">
        <f>INDEX([1]products!$A$1:$G$49,MATCH([1]orders!$D741,[1]products!$A$1:$A$49,0),MATCH([1]orders!K$1,[1]products!$A$1:$G$1,0))</f>
        <v>0.2</v>
      </c>
      <c r="Q741" s="6">
        <f>INDEX([1]products!$A$1:$G$49,MATCH([1]orders!$D741,[1]products!$A$1:$A$49,0),MATCH([1]orders!L$1,[1]products!$A$1:$G$1,0))</f>
        <v>3.645</v>
      </c>
      <c r="R741" s="6">
        <f t="shared" si="55"/>
        <v>18.225000000000001</v>
      </c>
      <c r="S741">
        <f>VLOOKUP(L741,Products!$A$2:$G$49,7,0)</f>
        <v>0.40095000000000003</v>
      </c>
      <c r="T741">
        <f t="shared" si="58"/>
        <v>2.00475</v>
      </c>
      <c r="U741" s="33">
        <f t="shared" si="59"/>
        <v>10.999999999999998</v>
      </c>
    </row>
    <row r="742" spans="1:21" x14ac:dyDescent="0.25">
      <c r="A742" s="1" t="s">
        <v>1438</v>
      </c>
      <c r="B742" s="28">
        <v>44643</v>
      </c>
      <c r="C742" s="21" t="str">
        <f t="shared" si="56"/>
        <v>2022</v>
      </c>
      <c r="D742" s="19" t="str">
        <f t="shared" si="57"/>
        <v>March</v>
      </c>
      <c r="E742" s="3" t="s">
        <v>1439</v>
      </c>
      <c r="F742" s="3" t="str">
        <f>VLOOKUP(E742,Customers!$A$2:$I$1001,2,0)</f>
        <v>Kandace Cragell</v>
      </c>
      <c r="G742" s="3" t="str">
        <f>VLOOKUP(E742,Customers!$A$2:$I$1001,3,0)</f>
        <v>kcragellkk@google.com</v>
      </c>
      <c r="H742" s="3" t="str">
        <f>VLOOKUP(E742,Customers!$A$2:$I$1001,4,0)</f>
        <v>+353 (458) 634-2269</v>
      </c>
      <c r="I742" s="25" t="str">
        <f>VLOOKUP(E742,Customers!$A$2:$I$1001,6,0)</f>
        <v>Dungarvan</v>
      </c>
      <c r="J742" s="25" t="str">
        <f>VLOOKUP(E742,Customers!$A$2:$I$1001,7,0)</f>
        <v>Ireland</v>
      </c>
      <c r="K742" s="23" t="str">
        <f>VLOOKUP(E742,Customers!$A$2:$I$1001,9,0)</f>
        <v>No</v>
      </c>
      <c r="L742" s="4" t="s">
        <v>157</v>
      </c>
      <c r="M742" s="4" t="str">
        <f>VLOOKUP(L742,Products!$A$2:$G$49,2,0)</f>
        <v>Robusta</v>
      </c>
      <c r="N742" s="4" t="str">
        <f>VLOOKUP(L742,Products!$A$2:$G$49,3,0)</f>
        <v>Light</v>
      </c>
      <c r="O742" s="25">
        <v>4</v>
      </c>
      <c r="P742" s="5">
        <f>INDEX([1]products!$A$1:$G$49,MATCH([1]orders!$D742,[1]products!$A$1:$A$49,0),MATCH([1]orders!K$1,[1]products!$A$1:$G$1,0))</f>
        <v>0.5</v>
      </c>
      <c r="Q742" s="6">
        <f>INDEX([1]products!$A$1:$G$49,MATCH([1]orders!$D742,[1]products!$A$1:$A$49,0),MATCH([1]orders!L$1,[1]products!$A$1:$G$1,0))</f>
        <v>7.169999999999999</v>
      </c>
      <c r="R742" s="6">
        <f t="shared" si="55"/>
        <v>28.679999999999996</v>
      </c>
      <c r="S742">
        <f>VLOOKUP(L742,Products!$A$2:$G$49,7,0)</f>
        <v>0.43019999999999992</v>
      </c>
      <c r="T742">
        <f t="shared" si="58"/>
        <v>1.7207999999999997</v>
      </c>
      <c r="U742" s="33">
        <f t="shared" si="59"/>
        <v>6</v>
      </c>
    </row>
    <row r="743" spans="1:21" x14ac:dyDescent="0.25">
      <c r="A743" s="1" t="s">
        <v>1440</v>
      </c>
      <c r="B743" s="28">
        <v>43566</v>
      </c>
      <c r="C743" s="21" t="str">
        <f t="shared" si="56"/>
        <v>2019</v>
      </c>
      <c r="D743" s="19" t="str">
        <f t="shared" si="57"/>
        <v>April</v>
      </c>
      <c r="E743" s="3" t="s">
        <v>1441</v>
      </c>
      <c r="F743" s="3" t="str">
        <f>VLOOKUP(E743,Customers!$A$2:$I$1001,2,0)</f>
        <v>Lyon Ibert</v>
      </c>
      <c r="G743" s="3" t="str">
        <f>VLOOKUP(E743,Customers!$A$2:$I$1001,3,0)</f>
        <v>libertkl@huffingtonpost.com</v>
      </c>
      <c r="H743" s="3" t="str">
        <f>VLOOKUP(E743,Customers!$A$2:$I$1001,4,0)</f>
        <v>+1 (408) 546-0790</v>
      </c>
      <c r="I743" s="25" t="str">
        <f>VLOOKUP(E743,Customers!$A$2:$I$1001,6,0)</f>
        <v>Sunnyvale</v>
      </c>
      <c r="J743" s="25" t="str">
        <f>VLOOKUP(E743,Customers!$A$2:$I$1001,7,0)</f>
        <v>United States</v>
      </c>
      <c r="K743" s="23" t="str">
        <f>VLOOKUP(E743,Customers!$A$2:$I$1001,9,0)</f>
        <v>No</v>
      </c>
      <c r="L743" s="4" t="s">
        <v>77</v>
      </c>
      <c r="M743" s="4" t="str">
        <f>VLOOKUP(L743,Products!$A$2:$G$49,2,0)</f>
        <v>Liberica</v>
      </c>
      <c r="N743" s="4" t="str">
        <f>VLOOKUP(L743,Products!$A$2:$G$49,3,0)</f>
        <v>Medium</v>
      </c>
      <c r="O743" s="25">
        <v>2</v>
      </c>
      <c r="P743" s="5">
        <f>INDEX([1]products!$A$1:$G$49,MATCH([1]orders!$D743,[1]products!$A$1:$A$49,0),MATCH([1]orders!K$1,[1]products!$A$1:$G$1,0))</f>
        <v>0.2</v>
      </c>
      <c r="Q743" s="6">
        <f>INDEX([1]products!$A$1:$G$49,MATCH([1]orders!$D743,[1]products!$A$1:$A$49,0),MATCH([1]orders!L$1,[1]products!$A$1:$G$1,0))</f>
        <v>4.3650000000000002</v>
      </c>
      <c r="R743" s="6">
        <f t="shared" si="55"/>
        <v>8.73</v>
      </c>
      <c r="S743">
        <f>VLOOKUP(L743,Products!$A$2:$G$49,7,0)</f>
        <v>0.56745000000000001</v>
      </c>
      <c r="T743">
        <f t="shared" si="58"/>
        <v>1.1349</v>
      </c>
      <c r="U743" s="33">
        <f t="shared" si="59"/>
        <v>13</v>
      </c>
    </row>
    <row r="744" spans="1:21" x14ac:dyDescent="0.25">
      <c r="A744" s="1" t="s">
        <v>1442</v>
      </c>
      <c r="B744" s="28">
        <v>44133</v>
      </c>
      <c r="C744" s="21" t="str">
        <f t="shared" si="56"/>
        <v>2020</v>
      </c>
      <c r="D744" s="19" t="str">
        <f t="shared" si="57"/>
        <v>October</v>
      </c>
      <c r="E744" s="3" t="s">
        <v>1443</v>
      </c>
      <c r="F744" s="3" t="str">
        <f>VLOOKUP(E744,Customers!$A$2:$I$1001,2,0)</f>
        <v>Reese Lidgey</v>
      </c>
      <c r="G744" s="3" t="str">
        <f>VLOOKUP(E744,Customers!$A$2:$I$1001,3,0)</f>
        <v>rlidgeykm@vimeo.com</v>
      </c>
      <c r="H744" s="3" t="str">
        <f>VLOOKUP(E744,Customers!$A$2:$I$1001,4,0)</f>
        <v>+1 (901) 276-4141</v>
      </c>
      <c r="I744" s="25" t="str">
        <f>VLOOKUP(E744,Customers!$A$2:$I$1001,6,0)</f>
        <v>Memphis</v>
      </c>
      <c r="J744" s="25" t="str">
        <f>VLOOKUP(E744,Customers!$A$2:$I$1001,7,0)</f>
        <v>United States</v>
      </c>
      <c r="K744" s="23" t="str">
        <f>VLOOKUP(E744,Customers!$A$2:$I$1001,9,0)</f>
        <v>No</v>
      </c>
      <c r="L744" s="4" t="s">
        <v>96</v>
      </c>
      <c r="M744" s="4" t="str">
        <f>VLOOKUP(L744,Products!$A$2:$G$49,2,0)</f>
        <v>Liberica</v>
      </c>
      <c r="N744" s="4" t="str">
        <f>VLOOKUP(L744,Products!$A$2:$G$49,3,0)</f>
        <v>Medium</v>
      </c>
      <c r="O744" s="25">
        <v>4</v>
      </c>
      <c r="P744" s="5">
        <f>INDEX([1]products!$A$1:$G$49,MATCH([1]orders!$D744,[1]products!$A$1:$A$49,0),MATCH([1]orders!K$1,[1]products!$A$1:$G$1,0))</f>
        <v>1</v>
      </c>
      <c r="Q744" s="6">
        <f>INDEX([1]products!$A$1:$G$49,MATCH([1]orders!$D744,[1]products!$A$1:$A$49,0),MATCH([1]orders!L$1,[1]products!$A$1:$G$1,0))</f>
        <v>14.55</v>
      </c>
      <c r="R744" s="6">
        <f t="shared" si="55"/>
        <v>58.2</v>
      </c>
      <c r="S744">
        <f>VLOOKUP(L744,Products!$A$2:$G$49,7,0)</f>
        <v>1.8915000000000002</v>
      </c>
      <c r="T744">
        <f t="shared" si="58"/>
        <v>7.5660000000000007</v>
      </c>
      <c r="U744" s="33">
        <f t="shared" si="59"/>
        <v>13</v>
      </c>
    </row>
    <row r="745" spans="1:21" x14ac:dyDescent="0.25">
      <c r="A745" s="1" t="s">
        <v>1444</v>
      </c>
      <c r="B745" s="28">
        <v>44042</v>
      </c>
      <c r="C745" s="21" t="str">
        <f t="shared" si="56"/>
        <v>2020</v>
      </c>
      <c r="D745" s="19" t="str">
        <f t="shared" si="57"/>
        <v>July</v>
      </c>
      <c r="E745" s="3" t="s">
        <v>1445</v>
      </c>
      <c r="F745" s="3" t="str">
        <f>VLOOKUP(E745,Customers!$A$2:$I$1001,2,0)</f>
        <v>Tersina Castagne</v>
      </c>
      <c r="G745" s="3" t="str">
        <f>VLOOKUP(E745,Customers!$A$2:$I$1001,3,0)</f>
        <v>tcastagnekn@wikia.com</v>
      </c>
      <c r="H745" s="3" t="str">
        <f>VLOOKUP(E745,Customers!$A$2:$I$1001,4,0)</f>
        <v>+1 (407) 154-6967</v>
      </c>
      <c r="I745" s="25" t="str">
        <f>VLOOKUP(E745,Customers!$A$2:$I$1001,6,0)</f>
        <v>Orlando</v>
      </c>
      <c r="J745" s="25" t="str">
        <f>VLOOKUP(E745,Customers!$A$2:$I$1001,7,0)</f>
        <v>United States</v>
      </c>
      <c r="K745" s="23" t="str">
        <f>VLOOKUP(E745,Customers!$A$2:$I$1001,9,0)</f>
        <v>No</v>
      </c>
      <c r="L745" s="4" t="s">
        <v>72</v>
      </c>
      <c r="M745" s="4" t="str">
        <f>VLOOKUP(L745,Products!$A$2:$G$49,2,0)</f>
        <v>Arabica</v>
      </c>
      <c r="N745" s="4" t="str">
        <f>VLOOKUP(L745,Products!$A$2:$G$49,3,0)</f>
        <v>Dark</v>
      </c>
      <c r="O745" s="25">
        <v>3</v>
      </c>
      <c r="P745" s="5">
        <f>INDEX([1]products!$A$1:$G$49,MATCH([1]orders!$D745,[1]products!$A$1:$A$49,0),MATCH([1]orders!K$1,[1]products!$A$1:$G$1,0))</f>
        <v>0.5</v>
      </c>
      <c r="Q745" s="6">
        <f>INDEX([1]products!$A$1:$G$49,MATCH([1]orders!$D745,[1]products!$A$1:$A$49,0),MATCH([1]orders!L$1,[1]products!$A$1:$G$1,0))</f>
        <v>5.97</v>
      </c>
      <c r="R745" s="6">
        <f t="shared" si="55"/>
        <v>17.91</v>
      </c>
      <c r="S745">
        <f>VLOOKUP(L745,Products!$A$2:$G$49,7,0)</f>
        <v>0.5373</v>
      </c>
      <c r="T745">
        <f t="shared" si="58"/>
        <v>1.6118999999999999</v>
      </c>
      <c r="U745" s="33">
        <f t="shared" si="59"/>
        <v>9</v>
      </c>
    </row>
    <row r="746" spans="1:21" x14ac:dyDescent="0.25">
      <c r="A746" s="1" t="s">
        <v>1446</v>
      </c>
      <c r="B746" s="28">
        <v>43539</v>
      </c>
      <c r="C746" s="21" t="str">
        <f t="shared" si="56"/>
        <v>2019</v>
      </c>
      <c r="D746" s="19" t="str">
        <f t="shared" si="57"/>
        <v>March</v>
      </c>
      <c r="E746" s="3" t="s">
        <v>1447</v>
      </c>
      <c r="F746" s="3" t="str">
        <f>VLOOKUP(E746,Customers!$A$2:$I$1001,2,0)</f>
        <v>Samuele Klaaassen</v>
      </c>
      <c r="G746" s="3" t="str">
        <f>VLOOKUP(E746,Customers!$A$2:$I$1001,3,0)</f>
        <v>UNKNOWN</v>
      </c>
      <c r="H746" s="3" t="str">
        <f>VLOOKUP(E746,Customers!$A$2:$I$1001,4,0)</f>
        <v>+1 (313) 436-2249</v>
      </c>
      <c r="I746" s="25" t="str">
        <f>VLOOKUP(E746,Customers!$A$2:$I$1001,6,0)</f>
        <v>Detroit</v>
      </c>
      <c r="J746" s="25" t="str">
        <f>VLOOKUP(E746,Customers!$A$2:$I$1001,7,0)</f>
        <v>United States</v>
      </c>
      <c r="K746" s="23" t="str">
        <f>VLOOKUP(E746,Customers!$A$2:$I$1001,9,0)</f>
        <v>Yes</v>
      </c>
      <c r="L746" s="4" t="s">
        <v>162</v>
      </c>
      <c r="M746" s="4" t="str">
        <f>VLOOKUP(L746,Products!$A$2:$G$49,2,0)</f>
        <v>Robusta</v>
      </c>
      <c r="N746" s="4" t="str">
        <f>VLOOKUP(L746,Products!$A$2:$G$49,3,0)</f>
        <v>Medium</v>
      </c>
      <c r="O746" s="25">
        <v>6</v>
      </c>
      <c r="P746" s="5">
        <f>INDEX([1]products!$A$1:$G$49,MATCH([1]orders!$D746,[1]products!$A$1:$A$49,0),MATCH([1]orders!K$1,[1]products!$A$1:$G$1,0))</f>
        <v>0.2</v>
      </c>
      <c r="Q746" s="6">
        <f>INDEX([1]products!$A$1:$G$49,MATCH([1]orders!$D746,[1]products!$A$1:$A$49,0),MATCH([1]orders!L$1,[1]products!$A$1:$G$1,0))</f>
        <v>2.9849999999999999</v>
      </c>
      <c r="R746" s="6">
        <f t="shared" si="55"/>
        <v>17.91</v>
      </c>
      <c r="S746">
        <f>VLOOKUP(L746,Products!$A$2:$G$49,7,0)</f>
        <v>0.17909999999999998</v>
      </c>
      <c r="T746">
        <f t="shared" si="58"/>
        <v>1.0745999999999998</v>
      </c>
      <c r="U746" s="33">
        <f t="shared" si="59"/>
        <v>5.9999999999999982</v>
      </c>
    </row>
    <row r="747" spans="1:21" x14ac:dyDescent="0.25">
      <c r="A747" s="1" t="s">
        <v>1448</v>
      </c>
      <c r="B747" s="28">
        <v>44557</v>
      </c>
      <c r="C747" s="21" t="str">
        <f t="shared" si="56"/>
        <v>2021</v>
      </c>
      <c r="D747" s="19" t="str">
        <f t="shared" si="57"/>
        <v>December</v>
      </c>
      <c r="E747" s="3" t="s">
        <v>1449</v>
      </c>
      <c r="F747" s="3" t="str">
        <f>VLOOKUP(E747,Customers!$A$2:$I$1001,2,0)</f>
        <v>Jordana Halden</v>
      </c>
      <c r="G747" s="3" t="str">
        <f>VLOOKUP(E747,Customers!$A$2:$I$1001,3,0)</f>
        <v>jhaldenkp@comcast.net</v>
      </c>
      <c r="H747" s="3" t="str">
        <f>VLOOKUP(E747,Customers!$A$2:$I$1001,4,0)</f>
        <v>+353 (278) 873-4395</v>
      </c>
      <c r="I747" s="25" t="str">
        <f>VLOOKUP(E747,Customers!$A$2:$I$1001,6,0)</f>
        <v>Clones</v>
      </c>
      <c r="J747" s="25" t="str">
        <f>VLOOKUP(E747,Customers!$A$2:$I$1001,7,0)</f>
        <v>Ireland</v>
      </c>
      <c r="K747" s="23" t="str">
        <f>VLOOKUP(E747,Customers!$A$2:$I$1001,9,0)</f>
        <v>No</v>
      </c>
      <c r="L747" s="4" t="s">
        <v>16</v>
      </c>
      <c r="M747" s="4" t="str">
        <f>VLOOKUP(L747,Products!$A$2:$G$49,2,0)</f>
        <v>Excelsa</v>
      </c>
      <c r="N747" s="4" t="str">
        <f>VLOOKUP(L747,Products!$A$2:$G$49,3,0)</f>
        <v>Dark</v>
      </c>
      <c r="O747" s="25">
        <v>2</v>
      </c>
      <c r="P747" s="5">
        <f>INDEX([1]products!$A$1:$G$49,MATCH([1]orders!$D747,[1]products!$A$1:$A$49,0),MATCH([1]orders!K$1,[1]products!$A$1:$G$1,0))</f>
        <v>0.5</v>
      </c>
      <c r="Q747" s="6">
        <f>INDEX([1]products!$A$1:$G$49,MATCH([1]orders!$D747,[1]products!$A$1:$A$49,0),MATCH([1]orders!L$1,[1]products!$A$1:$G$1,0))</f>
        <v>7.29</v>
      </c>
      <c r="R747" s="6">
        <f t="shared" si="55"/>
        <v>14.58</v>
      </c>
      <c r="S747">
        <f>VLOOKUP(L747,Products!$A$2:$G$49,7,0)</f>
        <v>0.80190000000000006</v>
      </c>
      <c r="T747">
        <f t="shared" si="58"/>
        <v>1.6038000000000001</v>
      </c>
      <c r="U747" s="33">
        <f t="shared" si="59"/>
        <v>11</v>
      </c>
    </row>
    <row r="748" spans="1:21" x14ac:dyDescent="0.25">
      <c r="A748" s="1" t="s">
        <v>1450</v>
      </c>
      <c r="B748" s="28">
        <v>43741</v>
      </c>
      <c r="C748" s="21" t="str">
        <f t="shared" si="56"/>
        <v>2019</v>
      </c>
      <c r="D748" s="19" t="str">
        <f t="shared" si="57"/>
        <v>October</v>
      </c>
      <c r="E748" s="3" t="s">
        <v>1451</v>
      </c>
      <c r="F748" s="3" t="str">
        <f>VLOOKUP(E748,Customers!$A$2:$I$1001,2,0)</f>
        <v>Hussein Olliff</v>
      </c>
      <c r="G748" s="3" t="str">
        <f>VLOOKUP(E748,Customers!$A$2:$I$1001,3,0)</f>
        <v>holliffkq@sciencedirect.com</v>
      </c>
      <c r="H748" s="3" t="str">
        <f>VLOOKUP(E748,Customers!$A$2:$I$1001,4,0)</f>
        <v>+353 (203) 716-7239</v>
      </c>
      <c r="I748" s="25" t="str">
        <f>VLOOKUP(E748,Customers!$A$2:$I$1001,6,0)</f>
        <v>Stradbally</v>
      </c>
      <c r="J748" s="25" t="str">
        <f>VLOOKUP(E748,Customers!$A$2:$I$1001,7,0)</f>
        <v>Ireland</v>
      </c>
      <c r="K748" s="23" t="str">
        <f>VLOOKUP(E748,Customers!$A$2:$I$1001,9,0)</f>
        <v>No</v>
      </c>
      <c r="L748" s="4" t="s">
        <v>61</v>
      </c>
      <c r="M748" s="4" t="str">
        <f>VLOOKUP(L748,Products!$A$2:$G$49,2,0)</f>
        <v>Arabica</v>
      </c>
      <c r="N748" s="4" t="str">
        <f>VLOOKUP(L748,Products!$A$2:$G$49,3,0)</f>
        <v>Medium</v>
      </c>
      <c r="O748" s="25">
        <v>3</v>
      </c>
      <c r="P748" s="5">
        <f>INDEX([1]products!$A$1:$G$49,MATCH([1]orders!$D748,[1]products!$A$1:$A$49,0),MATCH([1]orders!K$1,[1]products!$A$1:$G$1,0))</f>
        <v>1</v>
      </c>
      <c r="Q748" s="6">
        <f>INDEX([1]products!$A$1:$G$49,MATCH([1]orders!$D748,[1]products!$A$1:$A$49,0),MATCH([1]orders!L$1,[1]products!$A$1:$G$1,0))</f>
        <v>11.25</v>
      </c>
      <c r="R748" s="6">
        <f t="shared" si="55"/>
        <v>33.75</v>
      </c>
      <c r="S748">
        <f>VLOOKUP(L748,Products!$A$2:$G$49,7,0)</f>
        <v>1.0125</v>
      </c>
      <c r="T748">
        <f t="shared" si="58"/>
        <v>3.0374999999999996</v>
      </c>
      <c r="U748" s="33">
        <f t="shared" si="59"/>
        <v>8.9999999999999982</v>
      </c>
    </row>
    <row r="749" spans="1:21" x14ac:dyDescent="0.25">
      <c r="A749" s="1" t="s">
        <v>1452</v>
      </c>
      <c r="B749" s="28">
        <v>43501</v>
      </c>
      <c r="C749" s="21" t="str">
        <f t="shared" si="56"/>
        <v>2019</v>
      </c>
      <c r="D749" s="19" t="str">
        <f t="shared" si="57"/>
        <v>February</v>
      </c>
      <c r="E749" s="3" t="s">
        <v>1453</v>
      </c>
      <c r="F749" s="3" t="str">
        <f>VLOOKUP(E749,Customers!$A$2:$I$1001,2,0)</f>
        <v>Teddi Quadri</v>
      </c>
      <c r="G749" s="3" t="str">
        <f>VLOOKUP(E749,Customers!$A$2:$I$1001,3,0)</f>
        <v>tquadrikr@opensource.org</v>
      </c>
      <c r="H749" s="3" t="str">
        <f>VLOOKUP(E749,Customers!$A$2:$I$1001,4,0)</f>
        <v>+353 (789) 442-3189</v>
      </c>
      <c r="I749" s="25" t="str">
        <f>VLOOKUP(E749,Customers!$A$2:$I$1001,6,0)</f>
        <v>Ballina</v>
      </c>
      <c r="J749" s="25" t="str">
        <f>VLOOKUP(E749,Customers!$A$2:$I$1001,7,0)</f>
        <v>Ireland</v>
      </c>
      <c r="K749" s="23" t="str">
        <f>VLOOKUP(E749,Customers!$A$2:$I$1001,9,0)</f>
        <v>Yes</v>
      </c>
      <c r="L749" s="4" t="s">
        <v>78</v>
      </c>
      <c r="M749" s="4" t="str">
        <f>VLOOKUP(L749,Products!$A$2:$G$49,2,0)</f>
        <v>Liberica</v>
      </c>
      <c r="N749" s="4" t="str">
        <f>VLOOKUP(L749,Products!$A$2:$G$49,3,0)</f>
        <v>Medium</v>
      </c>
      <c r="O749" s="25">
        <v>4</v>
      </c>
      <c r="P749" s="5">
        <f>INDEX([1]products!$A$1:$G$49,MATCH([1]orders!$D749,[1]products!$A$1:$A$49,0),MATCH([1]orders!K$1,[1]products!$A$1:$G$1,0))</f>
        <v>0.5</v>
      </c>
      <c r="Q749" s="6">
        <f>INDEX([1]products!$A$1:$G$49,MATCH([1]orders!$D749,[1]products!$A$1:$A$49,0),MATCH([1]orders!L$1,[1]products!$A$1:$G$1,0))</f>
        <v>8.73</v>
      </c>
      <c r="R749" s="6">
        <f t="shared" si="55"/>
        <v>34.92</v>
      </c>
      <c r="S749">
        <f>VLOOKUP(L749,Products!$A$2:$G$49,7,0)</f>
        <v>1.1349</v>
      </c>
      <c r="T749">
        <f t="shared" si="58"/>
        <v>4.5396000000000001</v>
      </c>
      <c r="U749" s="33">
        <f t="shared" si="59"/>
        <v>13</v>
      </c>
    </row>
    <row r="750" spans="1:21" x14ac:dyDescent="0.25">
      <c r="A750" s="1" t="s">
        <v>1454</v>
      </c>
      <c r="B750" s="28">
        <v>44074</v>
      </c>
      <c r="C750" s="21" t="str">
        <f t="shared" si="56"/>
        <v>2020</v>
      </c>
      <c r="D750" s="19" t="str">
        <f t="shared" si="57"/>
        <v>August</v>
      </c>
      <c r="E750" s="3" t="s">
        <v>1455</v>
      </c>
      <c r="F750" s="3" t="str">
        <f>VLOOKUP(E750,Customers!$A$2:$I$1001,2,0)</f>
        <v>Felita Eshmade</v>
      </c>
      <c r="G750" s="3" t="str">
        <f>VLOOKUP(E750,Customers!$A$2:$I$1001,3,0)</f>
        <v>feshmadeks@umn.edu</v>
      </c>
      <c r="H750" s="3" t="str">
        <f>VLOOKUP(E750,Customers!$A$2:$I$1001,4,0)</f>
        <v>+1 (804) 531-4136</v>
      </c>
      <c r="I750" s="25" t="str">
        <f>VLOOKUP(E750,Customers!$A$2:$I$1001,6,0)</f>
        <v>Richmond</v>
      </c>
      <c r="J750" s="25" t="str">
        <f>VLOOKUP(E750,Customers!$A$2:$I$1001,7,0)</f>
        <v>United States</v>
      </c>
      <c r="K750" s="23" t="str">
        <f>VLOOKUP(E750,Customers!$A$2:$I$1001,9,0)</f>
        <v>No</v>
      </c>
      <c r="L750" s="4" t="s">
        <v>16</v>
      </c>
      <c r="M750" s="4" t="str">
        <f>VLOOKUP(L750,Products!$A$2:$G$49,2,0)</f>
        <v>Excelsa</v>
      </c>
      <c r="N750" s="4" t="str">
        <f>VLOOKUP(L750,Products!$A$2:$G$49,3,0)</f>
        <v>Dark</v>
      </c>
      <c r="O750" s="25">
        <v>2</v>
      </c>
      <c r="P750" s="5">
        <f>INDEX([1]products!$A$1:$G$49,MATCH([1]orders!$D750,[1]products!$A$1:$A$49,0),MATCH([1]orders!K$1,[1]products!$A$1:$G$1,0))</f>
        <v>0.5</v>
      </c>
      <c r="Q750" s="6">
        <f>INDEX([1]products!$A$1:$G$49,MATCH([1]orders!$D750,[1]products!$A$1:$A$49,0),MATCH([1]orders!L$1,[1]products!$A$1:$G$1,0))</f>
        <v>7.29</v>
      </c>
      <c r="R750" s="6">
        <f t="shared" si="55"/>
        <v>14.58</v>
      </c>
      <c r="S750">
        <f>VLOOKUP(L750,Products!$A$2:$G$49,7,0)</f>
        <v>0.80190000000000006</v>
      </c>
      <c r="T750">
        <f t="shared" si="58"/>
        <v>1.6038000000000001</v>
      </c>
      <c r="U750" s="33">
        <f t="shared" si="59"/>
        <v>11</v>
      </c>
    </row>
    <row r="751" spans="1:21" x14ac:dyDescent="0.25">
      <c r="A751" s="1" t="s">
        <v>1456</v>
      </c>
      <c r="B751" s="28">
        <v>44209</v>
      </c>
      <c r="C751" s="21" t="str">
        <f t="shared" si="56"/>
        <v>2021</v>
      </c>
      <c r="D751" s="19" t="str">
        <f t="shared" si="57"/>
        <v>January</v>
      </c>
      <c r="E751" s="3" t="s">
        <v>1457</v>
      </c>
      <c r="F751" s="3" t="str">
        <f>VLOOKUP(E751,Customers!$A$2:$I$1001,2,0)</f>
        <v>Melodie OIlier</v>
      </c>
      <c r="G751" s="3" t="str">
        <f>VLOOKUP(E751,Customers!$A$2:$I$1001,3,0)</f>
        <v>moilierkt@paginegialle.it</v>
      </c>
      <c r="H751" s="3" t="str">
        <f>VLOOKUP(E751,Customers!$A$2:$I$1001,4,0)</f>
        <v>+353 (675) 503-7567</v>
      </c>
      <c r="I751" s="25" t="str">
        <f>VLOOKUP(E751,Customers!$A$2:$I$1001,6,0)</f>
        <v>Glasnevin</v>
      </c>
      <c r="J751" s="25" t="str">
        <f>VLOOKUP(E751,Customers!$A$2:$I$1001,7,0)</f>
        <v>Ireland</v>
      </c>
      <c r="K751" s="23" t="str">
        <f>VLOOKUP(E751,Customers!$A$2:$I$1001,9,0)</f>
        <v>Yes</v>
      </c>
      <c r="L751" s="4" t="s">
        <v>101</v>
      </c>
      <c r="M751" s="4" t="str">
        <f>VLOOKUP(L751,Products!$A$2:$G$49,2,0)</f>
        <v>Robusta</v>
      </c>
      <c r="N751" s="4" t="str">
        <f>VLOOKUP(L751,Products!$A$2:$G$49,3,0)</f>
        <v>Dark</v>
      </c>
      <c r="O751" s="25">
        <v>2</v>
      </c>
      <c r="P751" s="5">
        <f>INDEX([1]products!$A$1:$G$49,MATCH([1]orders!$D751,[1]products!$A$1:$A$49,0),MATCH([1]orders!K$1,[1]products!$A$1:$G$1,0))</f>
        <v>0.2</v>
      </c>
      <c r="Q751" s="6">
        <f>INDEX([1]products!$A$1:$G$49,MATCH([1]orders!$D751,[1]products!$A$1:$A$49,0),MATCH([1]orders!L$1,[1]products!$A$1:$G$1,0))</f>
        <v>2.6849999999999996</v>
      </c>
      <c r="R751" s="6">
        <f t="shared" si="55"/>
        <v>5.3699999999999992</v>
      </c>
      <c r="S751">
        <f>VLOOKUP(L751,Products!$A$2:$G$49,7,0)</f>
        <v>0.16109999999999997</v>
      </c>
      <c r="T751">
        <f t="shared" si="58"/>
        <v>0.32219999999999993</v>
      </c>
      <c r="U751" s="33">
        <f t="shared" si="59"/>
        <v>6</v>
      </c>
    </row>
    <row r="752" spans="1:21" x14ac:dyDescent="0.25">
      <c r="A752" s="1" t="s">
        <v>1458</v>
      </c>
      <c r="B752" s="28">
        <v>44277</v>
      </c>
      <c r="C752" s="21" t="str">
        <f t="shared" si="56"/>
        <v>2021</v>
      </c>
      <c r="D752" s="19" t="str">
        <f t="shared" si="57"/>
        <v>March</v>
      </c>
      <c r="E752" s="3" t="s">
        <v>1459</v>
      </c>
      <c r="F752" s="3" t="str">
        <f>VLOOKUP(E752,Customers!$A$2:$I$1001,2,0)</f>
        <v>Hazel Iacopini</v>
      </c>
      <c r="G752" s="3" t="str">
        <f>VLOOKUP(E752,Customers!$A$2:$I$1001,3,0)</f>
        <v>UNKNOWN</v>
      </c>
      <c r="H752" s="3" t="str">
        <f>VLOOKUP(E752,Customers!$A$2:$I$1001,4,0)</f>
        <v>+1 (682) 246-6139</v>
      </c>
      <c r="I752" s="25" t="str">
        <f>VLOOKUP(E752,Customers!$A$2:$I$1001,6,0)</f>
        <v>Fort Worth</v>
      </c>
      <c r="J752" s="25" t="str">
        <f>VLOOKUP(E752,Customers!$A$2:$I$1001,7,0)</f>
        <v>United States</v>
      </c>
      <c r="K752" s="23" t="str">
        <f>VLOOKUP(E752,Customers!$A$2:$I$1001,9,0)</f>
        <v>Yes</v>
      </c>
      <c r="L752" s="4" t="s">
        <v>22</v>
      </c>
      <c r="M752" s="4" t="str">
        <f>VLOOKUP(L752,Products!$A$2:$G$49,2,0)</f>
        <v>Robusta</v>
      </c>
      <c r="N752" s="4" t="str">
        <f>VLOOKUP(L752,Products!$A$2:$G$49,3,0)</f>
        <v>Medium</v>
      </c>
      <c r="O752" s="25">
        <v>1</v>
      </c>
      <c r="P752" s="5">
        <f>INDEX([1]products!$A$1:$G$49,MATCH([1]orders!$D752,[1]products!$A$1:$A$49,0),MATCH([1]orders!K$1,[1]products!$A$1:$G$1,0))</f>
        <v>0.5</v>
      </c>
      <c r="Q752" s="6">
        <f>INDEX([1]products!$A$1:$G$49,MATCH([1]orders!$D752,[1]products!$A$1:$A$49,0),MATCH([1]orders!L$1,[1]products!$A$1:$G$1,0))</f>
        <v>5.97</v>
      </c>
      <c r="R752" s="6">
        <f t="shared" si="55"/>
        <v>5.97</v>
      </c>
      <c r="S752">
        <f>VLOOKUP(L752,Products!$A$2:$G$49,7,0)</f>
        <v>0.35819999999999996</v>
      </c>
      <c r="T752">
        <f t="shared" si="58"/>
        <v>0.35819999999999996</v>
      </c>
      <c r="U752" s="33">
        <f t="shared" si="59"/>
        <v>6</v>
      </c>
    </row>
    <row r="753" spans="1:21" x14ac:dyDescent="0.25">
      <c r="A753" s="1" t="s">
        <v>1460</v>
      </c>
      <c r="B753" s="28">
        <v>43847</v>
      </c>
      <c r="C753" s="21" t="str">
        <f t="shared" si="56"/>
        <v>2020</v>
      </c>
      <c r="D753" s="19" t="str">
        <f t="shared" si="57"/>
        <v>January</v>
      </c>
      <c r="E753" s="3" t="s">
        <v>1461</v>
      </c>
      <c r="F753" s="3" t="str">
        <f>VLOOKUP(E753,Customers!$A$2:$I$1001,2,0)</f>
        <v>Vinny Shoebotham</v>
      </c>
      <c r="G753" s="3" t="str">
        <f>VLOOKUP(E753,Customers!$A$2:$I$1001,3,0)</f>
        <v>vshoebothamkv@redcross.org</v>
      </c>
      <c r="H753" s="3" t="str">
        <f>VLOOKUP(E753,Customers!$A$2:$I$1001,4,0)</f>
        <v>+1 (212) 998-0802</v>
      </c>
      <c r="I753" s="25" t="str">
        <f>VLOOKUP(E753,Customers!$A$2:$I$1001,6,0)</f>
        <v>Brooklyn</v>
      </c>
      <c r="J753" s="25" t="str">
        <f>VLOOKUP(E753,Customers!$A$2:$I$1001,7,0)</f>
        <v>United States</v>
      </c>
      <c r="K753" s="23" t="str">
        <f>VLOOKUP(E753,Customers!$A$2:$I$1001,9,0)</f>
        <v>No</v>
      </c>
      <c r="L753" s="4" t="s">
        <v>83</v>
      </c>
      <c r="M753" s="4" t="str">
        <f>VLOOKUP(L753,Products!$A$2:$G$49,2,0)</f>
        <v>Liberica</v>
      </c>
      <c r="N753" s="4" t="str">
        <f>VLOOKUP(L753,Products!$A$2:$G$49,3,0)</f>
        <v>Light</v>
      </c>
      <c r="O753" s="25">
        <v>2</v>
      </c>
      <c r="P753" s="5">
        <f>INDEX([1]products!$A$1:$G$49,MATCH([1]orders!$D753,[1]products!$A$1:$A$49,0),MATCH([1]orders!K$1,[1]products!$A$1:$G$1,0))</f>
        <v>0.5</v>
      </c>
      <c r="Q753" s="6">
        <f>INDEX([1]products!$A$1:$G$49,MATCH([1]orders!$D753,[1]products!$A$1:$A$49,0),MATCH([1]orders!L$1,[1]products!$A$1:$G$1,0))</f>
        <v>9.51</v>
      </c>
      <c r="R753" s="6">
        <f t="shared" si="55"/>
        <v>19.02</v>
      </c>
      <c r="S753">
        <f>VLOOKUP(L753,Products!$A$2:$G$49,7,0)</f>
        <v>1.2363</v>
      </c>
      <c r="T753">
        <f t="shared" si="58"/>
        <v>2.4725999999999999</v>
      </c>
      <c r="U753" s="33">
        <f t="shared" si="59"/>
        <v>13</v>
      </c>
    </row>
    <row r="754" spans="1:21" x14ac:dyDescent="0.25">
      <c r="A754" s="1" t="s">
        <v>1462</v>
      </c>
      <c r="B754" s="28">
        <v>43648</v>
      </c>
      <c r="C754" s="21" t="str">
        <f t="shared" si="56"/>
        <v>2019</v>
      </c>
      <c r="D754" s="19" t="str">
        <f t="shared" si="57"/>
        <v>July</v>
      </c>
      <c r="E754" s="3" t="s">
        <v>1463</v>
      </c>
      <c r="F754" s="3" t="str">
        <f>VLOOKUP(E754,Customers!$A$2:$I$1001,2,0)</f>
        <v>Bran Sterke</v>
      </c>
      <c r="G754" s="3" t="str">
        <f>VLOOKUP(E754,Customers!$A$2:$I$1001,3,0)</f>
        <v>bsterkekw@biblegateway.com</v>
      </c>
      <c r="H754" s="3" t="str">
        <f>VLOOKUP(E754,Customers!$A$2:$I$1001,4,0)</f>
        <v>+1 (682) 617-0470</v>
      </c>
      <c r="I754" s="25" t="str">
        <f>VLOOKUP(E754,Customers!$A$2:$I$1001,6,0)</f>
        <v>Fort Worth</v>
      </c>
      <c r="J754" s="25" t="str">
        <f>VLOOKUP(E754,Customers!$A$2:$I$1001,7,0)</f>
        <v>United States</v>
      </c>
      <c r="K754" s="23" t="str">
        <f>VLOOKUP(E754,Customers!$A$2:$I$1001,9,0)</f>
        <v>Yes</v>
      </c>
      <c r="L754" s="4" t="s">
        <v>9</v>
      </c>
      <c r="M754" s="4" t="str">
        <f>VLOOKUP(L754,Products!$A$2:$G$49,2,0)</f>
        <v>Excelsa</v>
      </c>
      <c r="N754" s="4" t="str">
        <f>VLOOKUP(L754,Products!$A$2:$G$49,3,0)</f>
        <v>Medium</v>
      </c>
      <c r="O754" s="25">
        <v>2</v>
      </c>
      <c r="P754" s="5">
        <f>INDEX([1]products!$A$1:$G$49,MATCH([1]orders!$D754,[1]products!$A$1:$A$49,0),MATCH([1]orders!K$1,[1]products!$A$1:$G$1,0))</f>
        <v>1</v>
      </c>
      <c r="Q754" s="6">
        <f>INDEX([1]products!$A$1:$G$49,MATCH([1]orders!$D754,[1]products!$A$1:$A$49,0),MATCH([1]orders!L$1,[1]products!$A$1:$G$1,0))</f>
        <v>13.75</v>
      </c>
      <c r="R754" s="6">
        <f t="shared" si="55"/>
        <v>27.5</v>
      </c>
      <c r="S754">
        <f>VLOOKUP(L754,Products!$A$2:$G$49,7,0)</f>
        <v>1.5125</v>
      </c>
      <c r="T754">
        <f t="shared" si="58"/>
        <v>3.0249999999999999</v>
      </c>
      <c r="U754" s="33">
        <f t="shared" si="59"/>
        <v>11</v>
      </c>
    </row>
    <row r="755" spans="1:21" x14ac:dyDescent="0.25">
      <c r="A755" s="1" t="s">
        <v>1464</v>
      </c>
      <c r="B755" s="28">
        <v>44704</v>
      </c>
      <c r="C755" s="21" t="str">
        <f t="shared" si="56"/>
        <v>2022</v>
      </c>
      <c r="D755" s="19" t="str">
        <f t="shared" si="57"/>
        <v>May</v>
      </c>
      <c r="E755" s="3" t="s">
        <v>1465</v>
      </c>
      <c r="F755" s="3" t="str">
        <f>VLOOKUP(E755,Customers!$A$2:$I$1001,2,0)</f>
        <v>Simone Capon</v>
      </c>
      <c r="G755" s="3" t="str">
        <f>VLOOKUP(E755,Customers!$A$2:$I$1001,3,0)</f>
        <v>scaponkx@craigslist.org</v>
      </c>
      <c r="H755" s="3" t="str">
        <f>VLOOKUP(E755,Customers!$A$2:$I$1001,4,0)</f>
        <v>+1 (602) 619-0168</v>
      </c>
      <c r="I755" s="25" t="str">
        <f>VLOOKUP(E755,Customers!$A$2:$I$1001,6,0)</f>
        <v>Phoenix</v>
      </c>
      <c r="J755" s="25" t="str">
        <f>VLOOKUP(E755,Customers!$A$2:$I$1001,7,0)</f>
        <v>United States</v>
      </c>
      <c r="K755" s="23" t="str">
        <f>VLOOKUP(E755,Customers!$A$2:$I$1001,9,0)</f>
        <v>No</v>
      </c>
      <c r="L755" s="4" t="s">
        <v>72</v>
      </c>
      <c r="M755" s="4" t="str">
        <f>VLOOKUP(L755,Products!$A$2:$G$49,2,0)</f>
        <v>Arabica</v>
      </c>
      <c r="N755" s="4" t="str">
        <f>VLOOKUP(L755,Products!$A$2:$G$49,3,0)</f>
        <v>Dark</v>
      </c>
      <c r="O755" s="25">
        <v>5</v>
      </c>
      <c r="P755" s="5">
        <f>INDEX([1]products!$A$1:$G$49,MATCH([1]orders!$D755,[1]products!$A$1:$A$49,0),MATCH([1]orders!K$1,[1]products!$A$1:$G$1,0))</f>
        <v>0.5</v>
      </c>
      <c r="Q755" s="6">
        <f>INDEX([1]products!$A$1:$G$49,MATCH([1]orders!$D755,[1]products!$A$1:$A$49,0),MATCH([1]orders!L$1,[1]products!$A$1:$G$1,0))</f>
        <v>5.97</v>
      </c>
      <c r="R755" s="6">
        <f t="shared" si="55"/>
        <v>29.849999999999998</v>
      </c>
      <c r="S755">
        <f>VLOOKUP(L755,Products!$A$2:$G$49,7,0)</f>
        <v>0.5373</v>
      </c>
      <c r="T755">
        <f t="shared" si="58"/>
        <v>2.6865000000000001</v>
      </c>
      <c r="U755" s="33">
        <f t="shared" si="59"/>
        <v>9.0000000000000018</v>
      </c>
    </row>
    <row r="756" spans="1:21" x14ac:dyDescent="0.25">
      <c r="A756" s="1" t="s">
        <v>1466</v>
      </c>
      <c r="B756" s="28">
        <v>44726</v>
      </c>
      <c r="C756" s="21" t="str">
        <f t="shared" si="56"/>
        <v>2022</v>
      </c>
      <c r="D756" s="19" t="str">
        <f t="shared" si="57"/>
        <v>June</v>
      </c>
      <c r="E756" s="3" t="s">
        <v>1344</v>
      </c>
      <c r="F756" s="3" t="str">
        <f>VLOOKUP(E756,Customers!$A$2:$I$1001,2,0)</f>
        <v>Jimmy Dymoke</v>
      </c>
      <c r="G756" s="3" t="str">
        <f>VLOOKUP(E756,Customers!$A$2:$I$1001,3,0)</f>
        <v>jdymokeje@prnewswire.com</v>
      </c>
      <c r="H756" s="3" t="str">
        <f>VLOOKUP(E756,Customers!$A$2:$I$1001,4,0)</f>
        <v>+353 (390) 459-9269</v>
      </c>
      <c r="I756" s="25" t="str">
        <f>VLOOKUP(E756,Customers!$A$2:$I$1001,6,0)</f>
        <v>Beaumont</v>
      </c>
      <c r="J756" s="25" t="str">
        <f>VLOOKUP(E756,Customers!$A$2:$I$1001,7,0)</f>
        <v>Ireland</v>
      </c>
      <c r="K756" s="23" t="str">
        <f>VLOOKUP(E756,Customers!$A$2:$I$1001,9,0)</f>
        <v>No</v>
      </c>
      <c r="L756" s="4" t="s">
        <v>54</v>
      </c>
      <c r="M756" s="4" t="str">
        <f>VLOOKUP(L756,Products!$A$2:$G$49,2,0)</f>
        <v>Arabica</v>
      </c>
      <c r="N756" s="4" t="str">
        <f>VLOOKUP(L756,Products!$A$2:$G$49,3,0)</f>
        <v>Dark</v>
      </c>
      <c r="O756" s="25">
        <v>6</v>
      </c>
      <c r="P756" s="5">
        <f>INDEX([1]products!$A$1:$G$49,MATCH([1]orders!$D756,[1]products!$A$1:$A$49,0),MATCH([1]orders!K$1,[1]products!$A$1:$G$1,0))</f>
        <v>0.2</v>
      </c>
      <c r="Q756" s="6">
        <f>INDEX([1]products!$A$1:$G$49,MATCH([1]orders!$D756,[1]products!$A$1:$A$49,0),MATCH([1]orders!L$1,[1]products!$A$1:$G$1,0))</f>
        <v>2.9849999999999999</v>
      </c>
      <c r="R756" s="6">
        <f t="shared" si="55"/>
        <v>17.91</v>
      </c>
      <c r="S756">
        <f>VLOOKUP(L756,Products!$A$2:$G$49,7,0)</f>
        <v>0.26865</v>
      </c>
      <c r="T756">
        <f t="shared" si="58"/>
        <v>1.6118999999999999</v>
      </c>
      <c r="U756" s="33">
        <f t="shared" si="59"/>
        <v>9</v>
      </c>
    </row>
    <row r="757" spans="1:21" x14ac:dyDescent="0.25">
      <c r="A757" s="1" t="s">
        <v>1467</v>
      </c>
      <c r="B757" s="28">
        <v>44397</v>
      </c>
      <c r="C757" s="21" t="str">
        <f t="shared" si="56"/>
        <v>2021</v>
      </c>
      <c r="D757" s="19" t="str">
        <f t="shared" si="57"/>
        <v>July</v>
      </c>
      <c r="E757" s="3" t="s">
        <v>1468</v>
      </c>
      <c r="F757" s="3" t="str">
        <f>VLOOKUP(E757,Customers!$A$2:$I$1001,2,0)</f>
        <v>Foster Constance</v>
      </c>
      <c r="G757" s="3" t="str">
        <f>VLOOKUP(E757,Customers!$A$2:$I$1001,3,0)</f>
        <v>fconstancekz@ifeng.com</v>
      </c>
      <c r="H757" s="3" t="str">
        <f>VLOOKUP(E757,Customers!$A$2:$I$1001,4,0)</f>
        <v>+1 (214) 388-6754</v>
      </c>
      <c r="I757" s="25" t="str">
        <f>VLOOKUP(E757,Customers!$A$2:$I$1001,6,0)</f>
        <v>Dallas</v>
      </c>
      <c r="J757" s="25" t="str">
        <f>VLOOKUP(E757,Customers!$A$2:$I$1001,7,0)</f>
        <v>United States</v>
      </c>
      <c r="K757" s="23" t="str">
        <f>VLOOKUP(E757,Customers!$A$2:$I$1001,9,0)</f>
        <v>No</v>
      </c>
      <c r="L757" s="4" t="s">
        <v>19</v>
      </c>
      <c r="M757" s="4" t="str">
        <f>VLOOKUP(L757,Products!$A$2:$G$49,2,0)</f>
        <v>Liberica</v>
      </c>
      <c r="N757" s="4" t="str">
        <f>VLOOKUP(L757,Products!$A$2:$G$49,3,0)</f>
        <v>Light</v>
      </c>
      <c r="O757" s="25">
        <v>6</v>
      </c>
      <c r="P757" s="5">
        <f>INDEX([1]products!$A$1:$G$49,MATCH([1]orders!$D757,[1]products!$A$1:$A$49,0),MATCH([1]orders!K$1,[1]products!$A$1:$G$1,0))</f>
        <v>0.2</v>
      </c>
      <c r="Q757" s="6">
        <f>INDEX([1]products!$A$1:$G$49,MATCH([1]orders!$D757,[1]products!$A$1:$A$49,0),MATCH([1]orders!L$1,[1]products!$A$1:$G$1,0))</f>
        <v>4.7549999999999999</v>
      </c>
      <c r="R757" s="6">
        <f t="shared" si="55"/>
        <v>28.53</v>
      </c>
      <c r="S757">
        <f>VLOOKUP(L757,Products!$A$2:$G$49,7,0)</f>
        <v>0.61814999999999998</v>
      </c>
      <c r="T757">
        <f t="shared" si="58"/>
        <v>3.7088999999999999</v>
      </c>
      <c r="U757" s="33">
        <f t="shared" si="59"/>
        <v>12.999999999999998</v>
      </c>
    </row>
    <row r="758" spans="1:21" x14ac:dyDescent="0.25">
      <c r="A758" s="1" t="s">
        <v>1469</v>
      </c>
      <c r="B758" s="28">
        <v>44715</v>
      </c>
      <c r="C758" s="21" t="str">
        <f t="shared" si="56"/>
        <v>2022</v>
      </c>
      <c r="D758" s="19" t="str">
        <f t="shared" si="57"/>
        <v>June</v>
      </c>
      <c r="E758" s="3" t="s">
        <v>1470</v>
      </c>
      <c r="F758" s="3" t="str">
        <f>VLOOKUP(E758,Customers!$A$2:$I$1001,2,0)</f>
        <v>Fernando Sulman</v>
      </c>
      <c r="G758" s="3" t="str">
        <f>VLOOKUP(E758,Customers!$A$2:$I$1001,3,0)</f>
        <v>fsulmanl0@washington.edu</v>
      </c>
      <c r="H758" s="3" t="str">
        <f>VLOOKUP(E758,Customers!$A$2:$I$1001,4,0)</f>
        <v>+1 (828) 464-2678</v>
      </c>
      <c r="I758" s="25" t="str">
        <f>VLOOKUP(E758,Customers!$A$2:$I$1001,6,0)</f>
        <v>Asheville</v>
      </c>
      <c r="J758" s="25" t="str">
        <f>VLOOKUP(E758,Customers!$A$2:$I$1001,7,0)</f>
        <v>United States</v>
      </c>
      <c r="K758" s="23" t="str">
        <f>VLOOKUP(E758,Customers!$A$2:$I$1001,9,0)</f>
        <v>Yes</v>
      </c>
      <c r="L758" s="4" t="s">
        <v>179</v>
      </c>
      <c r="M758" s="4" t="str">
        <f>VLOOKUP(L758,Products!$A$2:$G$49,2,0)</f>
        <v>Robusta</v>
      </c>
      <c r="N758" s="4" t="str">
        <f>VLOOKUP(L758,Products!$A$2:$G$49,3,0)</f>
        <v>Dark</v>
      </c>
      <c r="O758" s="25">
        <v>4</v>
      </c>
      <c r="P758" s="5">
        <f>INDEX([1]products!$A$1:$G$49,MATCH([1]orders!$D758,[1]products!$A$1:$A$49,0),MATCH([1]orders!K$1,[1]products!$A$1:$G$1,0))</f>
        <v>1</v>
      </c>
      <c r="Q758" s="6">
        <f>INDEX([1]products!$A$1:$G$49,MATCH([1]orders!$D758,[1]products!$A$1:$A$49,0),MATCH([1]orders!L$1,[1]products!$A$1:$G$1,0))</f>
        <v>8.9499999999999993</v>
      </c>
      <c r="R758" s="6">
        <f t="shared" si="55"/>
        <v>35.799999999999997</v>
      </c>
      <c r="S758">
        <f>VLOOKUP(L758,Products!$A$2:$G$49,7,0)</f>
        <v>0.53699999999999992</v>
      </c>
      <c r="T758">
        <f t="shared" si="58"/>
        <v>2.1479999999999997</v>
      </c>
      <c r="U758" s="33">
        <f t="shared" si="59"/>
        <v>6</v>
      </c>
    </row>
    <row r="759" spans="1:21" x14ac:dyDescent="0.25">
      <c r="A759" s="1" t="s">
        <v>1471</v>
      </c>
      <c r="B759" s="28">
        <v>43977</v>
      </c>
      <c r="C759" s="21" t="str">
        <f t="shared" si="56"/>
        <v>2020</v>
      </c>
      <c r="D759" s="19" t="str">
        <f t="shared" si="57"/>
        <v>May</v>
      </c>
      <c r="E759" s="3" t="s">
        <v>1472</v>
      </c>
      <c r="F759" s="3" t="str">
        <f>VLOOKUP(E759,Customers!$A$2:$I$1001,2,0)</f>
        <v>Dorotea Hollyman</v>
      </c>
      <c r="G759" s="3" t="str">
        <f>VLOOKUP(E759,Customers!$A$2:$I$1001,3,0)</f>
        <v>dhollymanl1@ibm.com</v>
      </c>
      <c r="H759" s="3" t="str">
        <f>VLOOKUP(E759,Customers!$A$2:$I$1001,4,0)</f>
        <v>+1 (406) 851-1244</v>
      </c>
      <c r="I759" s="25" t="str">
        <f>VLOOKUP(E759,Customers!$A$2:$I$1001,6,0)</f>
        <v>Billings</v>
      </c>
      <c r="J759" s="25" t="str">
        <f>VLOOKUP(E759,Customers!$A$2:$I$1001,7,0)</f>
        <v>United States</v>
      </c>
      <c r="K759" s="23" t="str">
        <f>VLOOKUP(E759,Customers!$A$2:$I$1001,9,0)</f>
        <v>Yes</v>
      </c>
      <c r="L759" s="4" t="s">
        <v>72</v>
      </c>
      <c r="M759" s="4" t="str">
        <f>VLOOKUP(L759,Products!$A$2:$G$49,2,0)</f>
        <v>Arabica</v>
      </c>
      <c r="N759" s="4" t="str">
        <f>VLOOKUP(L759,Products!$A$2:$G$49,3,0)</f>
        <v>Dark</v>
      </c>
      <c r="O759" s="25">
        <v>3</v>
      </c>
      <c r="P759" s="5">
        <f>INDEX([1]products!$A$1:$G$49,MATCH([1]orders!$D759,[1]products!$A$1:$A$49,0),MATCH([1]orders!K$1,[1]products!$A$1:$G$1,0))</f>
        <v>0.5</v>
      </c>
      <c r="Q759" s="6">
        <f>INDEX([1]products!$A$1:$G$49,MATCH([1]orders!$D759,[1]products!$A$1:$A$49,0),MATCH([1]orders!L$1,[1]products!$A$1:$G$1,0))</f>
        <v>5.97</v>
      </c>
      <c r="R759" s="6">
        <f t="shared" si="55"/>
        <v>17.91</v>
      </c>
      <c r="S759">
        <f>VLOOKUP(L759,Products!$A$2:$G$49,7,0)</f>
        <v>0.5373</v>
      </c>
      <c r="T759">
        <f t="shared" si="58"/>
        <v>1.6118999999999999</v>
      </c>
      <c r="U759" s="33">
        <f t="shared" si="59"/>
        <v>9</v>
      </c>
    </row>
    <row r="760" spans="1:21" x14ac:dyDescent="0.25">
      <c r="A760" s="1" t="s">
        <v>1473</v>
      </c>
      <c r="B760" s="28">
        <v>43672</v>
      </c>
      <c r="C760" s="21" t="str">
        <f t="shared" si="56"/>
        <v>2019</v>
      </c>
      <c r="D760" s="19" t="str">
        <f t="shared" si="57"/>
        <v>July</v>
      </c>
      <c r="E760" s="3" t="s">
        <v>1474</v>
      </c>
      <c r="F760" s="3" t="str">
        <f>VLOOKUP(E760,Customers!$A$2:$I$1001,2,0)</f>
        <v>Lorelei Nardoni</v>
      </c>
      <c r="G760" s="3" t="str">
        <f>VLOOKUP(E760,Customers!$A$2:$I$1001,3,0)</f>
        <v>lnardonil2@hao123.com</v>
      </c>
      <c r="H760" s="3" t="str">
        <f>VLOOKUP(E760,Customers!$A$2:$I$1001,4,0)</f>
        <v>UNKNOWN</v>
      </c>
      <c r="I760" s="25" t="str">
        <f>VLOOKUP(E760,Customers!$A$2:$I$1001,6,0)</f>
        <v>Saint Louis</v>
      </c>
      <c r="J760" s="25" t="str">
        <f>VLOOKUP(E760,Customers!$A$2:$I$1001,7,0)</f>
        <v>United States</v>
      </c>
      <c r="K760" s="23" t="str">
        <f>VLOOKUP(E760,Customers!$A$2:$I$1001,9,0)</f>
        <v>No</v>
      </c>
      <c r="L760" s="4" t="s">
        <v>179</v>
      </c>
      <c r="M760" s="4" t="str">
        <f>VLOOKUP(L760,Products!$A$2:$G$49,2,0)</f>
        <v>Robusta</v>
      </c>
      <c r="N760" s="4" t="str">
        <f>VLOOKUP(L760,Products!$A$2:$G$49,3,0)</f>
        <v>Dark</v>
      </c>
      <c r="O760" s="25">
        <v>1</v>
      </c>
      <c r="P760" s="5">
        <f>INDEX([1]products!$A$1:$G$49,MATCH([1]orders!$D760,[1]products!$A$1:$A$49,0),MATCH([1]orders!K$1,[1]products!$A$1:$G$1,0))</f>
        <v>1</v>
      </c>
      <c r="Q760" s="6">
        <f>INDEX([1]products!$A$1:$G$49,MATCH([1]orders!$D760,[1]products!$A$1:$A$49,0),MATCH([1]orders!L$1,[1]products!$A$1:$G$1,0))</f>
        <v>8.9499999999999993</v>
      </c>
      <c r="R760" s="6">
        <f t="shared" si="55"/>
        <v>8.9499999999999993</v>
      </c>
      <c r="S760">
        <f>VLOOKUP(L760,Products!$A$2:$G$49,7,0)</f>
        <v>0.53699999999999992</v>
      </c>
      <c r="T760">
        <f t="shared" si="58"/>
        <v>0.53699999999999992</v>
      </c>
      <c r="U760" s="33">
        <f t="shared" si="59"/>
        <v>6</v>
      </c>
    </row>
    <row r="761" spans="1:21" x14ac:dyDescent="0.25">
      <c r="A761" s="1" t="s">
        <v>1475</v>
      </c>
      <c r="B761" s="28">
        <v>44126</v>
      </c>
      <c r="C761" s="21" t="str">
        <f t="shared" si="56"/>
        <v>2020</v>
      </c>
      <c r="D761" s="19" t="str">
        <f t="shared" si="57"/>
        <v>October</v>
      </c>
      <c r="E761" s="3" t="s">
        <v>1476</v>
      </c>
      <c r="F761" s="3" t="str">
        <f>VLOOKUP(E761,Customers!$A$2:$I$1001,2,0)</f>
        <v>Dallas Yarham</v>
      </c>
      <c r="G761" s="3" t="str">
        <f>VLOOKUP(E761,Customers!$A$2:$I$1001,3,0)</f>
        <v>dyarhaml3@moonfruit.com</v>
      </c>
      <c r="H761" s="3" t="str">
        <f>VLOOKUP(E761,Customers!$A$2:$I$1001,4,0)</f>
        <v>+1 (816) 213-5248</v>
      </c>
      <c r="I761" s="25" t="str">
        <f>VLOOKUP(E761,Customers!$A$2:$I$1001,6,0)</f>
        <v>Independence</v>
      </c>
      <c r="J761" s="25" t="str">
        <f>VLOOKUP(E761,Customers!$A$2:$I$1001,7,0)</f>
        <v>United States</v>
      </c>
      <c r="K761" s="23" t="str">
        <f>VLOOKUP(E761,Customers!$A$2:$I$1001,9,0)</f>
        <v>Yes</v>
      </c>
      <c r="L761" s="4" t="s">
        <v>109</v>
      </c>
      <c r="M761" s="4" t="str">
        <f>VLOOKUP(L761,Products!$A$2:$G$49,2,0)</f>
        <v>Liberica</v>
      </c>
      <c r="N761" s="4" t="str">
        <f>VLOOKUP(L761,Products!$A$2:$G$49,3,0)</f>
        <v>Dark</v>
      </c>
      <c r="O761" s="25">
        <v>1</v>
      </c>
      <c r="P761" s="5">
        <f>INDEX([1]products!$A$1:$G$49,MATCH([1]orders!$D761,[1]products!$A$1:$A$49,0),MATCH([1]orders!K$1,[1]products!$A$1:$G$1,0))</f>
        <v>2.5</v>
      </c>
      <c r="Q761" s="6">
        <f>INDEX([1]products!$A$1:$G$49,MATCH([1]orders!$D761,[1]products!$A$1:$A$49,0),MATCH([1]orders!L$1,[1]products!$A$1:$G$1,0))</f>
        <v>29.784999999999997</v>
      </c>
      <c r="R761" s="6">
        <f t="shared" si="55"/>
        <v>29.784999999999997</v>
      </c>
      <c r="S761">
        <f>VLOOKUP(L761,Products!$A$2:$G$49,7,0)</f>
        <v>3.8720499999999998</v>
      </c>
      <c r="T761">
        <f t="shared" si="58"/>
        <v>3.8720499999999998</v>
      </c>
      <c r="U761" s="33">
        <f t="shared" si="59"/>
        <v>13</v>
      </c>
    </row>
    <row r="762" spans="1:21" x14ac:dyDescent="0.25">
      <c r="A762" s="1" t="s">
        <v>1477</v>
      </c>
      <c r="B762" s="28">
        <v>44189</v>
      </c>
      <c r="C762" s="21" t="str">
        <f t="shared" si="56"/>
        <v>2020</v>
      </c>
      <c r="D762" s="19" t="str">
        <f t="shared" si="57"/>
        <v>December</v>
      </c>
      <c r="E762" s="3" t="s">
        <v>1478</v>
      </c>
      <c r="F762" s="3" t="str">
        <f>VLOOKUP(E762,Customers!$A$2:$I$1001,2,0)</f>
        <v>Arlana Ferrea</v>
      </c>
      <c r="G762" s="3" t="str">
        <f>VLOOKUP(E762,Customers!$A$2:$I$1001,3,0)</f>
        <v>aferreal4@wikia.com</v>
      </c>
      <c r="H762" s="3" t="str">
        <f>VLOOKUP(E762,Customers!$A$2:$I$1001,4,0)</f>
        <v>UNKNOWN</v>
      </c>
      <c r="I762" s="25" t="str">
        <f>VLOOKUP(E762,Customers!$A$2:$I$1001,6,0)</f>
        <v>Greensboro</v>
      </c>
      <c r="J762" s="25" t="str">
        <f>VLOOKUP(E762,Customers!$A$2:$I$1001,7,0)</f>
        <v>United States</v>
      </c>
      <c r="K762" s="23" t="str">
        <f>VLOOKUP(E762,Customers!$A$2:$I$1001,9,0)</f>
        <v>No</v>
      </c>
      <c r="L762" s="4" t="s">
        <v>176</v>
      </c>
      <c r="M762" s="4" t="str">
        <f>VLOOKUP(L762,Products!$A$2:$G$49,2,0)</f>
        <v>Excelsa</v>
      </c>
      <c r="N762" s="4" t="str">
        <f>VLOOKUP(L762,Products!$A$2:$G$49,3,0)</f>
        <v>Light</v>
      </c>
      <c r="O762" s="25">
        <v>5</v>
      </c>
      <c r="P762" s="5">
        <f>INDEX([1]products!$A$1:$G$49,MATCH([1]orders!$D762,[1]products!$A$1:$A$49,0),MATCH([1]orders!K$1,[1]products!$A$1:$G$1,0))</f>
        <v>0.5</v>
      </c>
      <c r="Q762" s="6">
        <f>INDEX([1]products!$A$1:$G$49,MATCH([1]orders!$D762,[1]products!$A$1:$A$49,0),MATCH([1]orders!L$1,[1]products!$A$1:$G$1,0))</f>
        <v>8.91</v>
      </c>
      <c r="R762" s="6">
        <f t="shared" si="55"/>
        <v>44.55</v>
      </c>
      <c r="S762">
        <f>VLOOKUP(L762,Products!$A$2:$G$49,7,0)</f>
        <v>0.98009999999999997</v>
      </c>
      <c r="T762">
        <f t="shared" si="58"/>
        <v>4.9005000000000001</v>
      </c>
      <c r="U762" s="33">
        <f t="shared" si="59"/>
        <v>11.000000000000002</v>
      </c>
    </row>
    <row r="763" spans="1:21" x14ac:dyDescent="0.25">
      <c r="A763" s="1" t="s">
        <v>1479</v>
      </c>
      <c r="B763" s="28">
        <v>43714</v>
      </c>
      <c r="C763" s="21" t="str">
        <f t="shared" si="56"/>
        <v>2019</v>
      </c>
      <c r="D763" s="19" t="str">
        <f t="shared" si="57"/>
        <v>September</v>
      </c>
      <c r="E763" s="3" t="s">
        <v>1480</v>
      </c>
      <c r="F763" s="3" t="str">
        <f>VLOOKUP(E763,Customers!$A$2:$I$1001,2,0)</f>
        <v>Chuck Kendrick</v>
      </c>
      <c r="G763" s="3" t="str">
        <f>VLOOKUP(E763,Customers!$A$2:$I$1001,3,0)</f>
        <v>ckendrickl5@webnode.com</v>
      </c>
      <c r="H763" s="3" t="str">
        <f>VLOOKUP(E763,Customers!$A$2:$I$1001,4,0)</f>
        <v>UNKNOWN</v>
      </c>
      <c r="I763" s="25" t="str">
        <f>VLOOKUP(E763,Customers!$A$2:$I$1001,6,0)</f>
        <v>Monroe</v>
      </c>
      <c r="J763" s="25" t="str">
        <f>VLOOKUP(E763,Customers!$A$2:$I$1001,7,0)</f>
        <v>United States</v>
      </c>
      <c r="K763" s="23" t="str">
        <f>VLOOKUP(E763,Customers!$A$2:$I$1001,9,0)</f>
        <v>Yes</v>
      </c>
      <c r="L763" s="4" t="s">
        <v>137</v>
      </c>
      <c r="M763" s="4" t="str">
        <f>VLOOKUP(L763,Products!$A$2:$G$49,2,0)</f>
        <v>Excelsa</v>
      </c>
      <c r="N763" s="4" t="str">
        <f>VLOOKUP(L763,Products!$A$2:$G$49,3,0)</f>
        <v>Light</v>
      </c>
      <c r="O763" s="25">
        <v>6</v>
      </c>
      <c r="P763" s="5">
        <f>INDEX([1]products!$A$1:$G$49,MATCH([1]orders!$D763,[1]products!$A$1:$A$49,0),MATCH([1]orders!K$1,[1]products!$A$1:$G$1,0))</f>
        <v>1</v>
      </c>
      <c r="Q763" s="6">
        <f>INDEX([1]products!$A$1:$G$49,MATCH([1]orders!$D763,[1]products!$A$1:$A$49,0),MATCH([1]orders!L$1,[1]products!$A$1:$G$1,0))</f>
        <v>14.85</v>
      </c>
      <c r="R763" s="6">
        <f t="shared" si="55"/>
        <v>89.1</v>
      </c>
      <c r="S763">
        <f>VLOOKUP(L763,Products!$A$2:$G$49,7,0)</f>
        <v>1.6335</v>
      </c>
      <c r="T763">
        <f t="shared" si="58"/>
        <v>9.8010000000000002</v>
      </c>
      <c r="U763" s="33">
        <f t="shared" si="59"/>
        <v>11.000000000000002</v>
      </c>
    </row>
    <row r="764" spans="1:21" x14ac:dyDescent="0.25">
      <c r="A764" s="1" t="s">
        <v>1481</v>
      </c>
      <c r="B764" s="28">
        <v>43563</v>
      </c>
      <c r="C764" s="21" t="str">
        <f t="shared" si="56"/>
        <v>2019</v>
      </c>
      <c r="D764" s="19" t="str">
        <f t="shared" si="57"/>
        <v>April</v>
      </c>
      <c r="E764" s="3" t="s">
        <v>1482</v>
      </c>
      <c r="F764" s="3" t="str">
        <f>VLOOKUP(E764,Customers!$A$2:$I$1001,2,0)</f>
        <v>Sharona Danilchik</v>
      </c>
      <c r="G764" s="3" t="str">
        <f>VLOOKUP(E764,Customers!$A$2:$I$1001,3,0)</f>
        <v>sdanilchikl6@mit.edu</v>
      </c>
      <c r="H764" s="3" t="str">
        <f>VLOOKUP(E764,Customers!$A$2:$I$1001,4,0)</f>
        <v>+44 (292) 975-0144</v>
      </c>
      <c r="I764" s="25" t="str">
        <f>VLOOKUP(E764,Customers!$A$2:$I$1001,6,0)</f>
        <v>Halton</v>
      </c>
      <c r="J764" s="25" t="str">
        <f>VLOOKUP(E764,Customers!$A$2:$I$1001,7,0)</f>
        <v>United Kingdom</v>
      </c>
      <c r="K764" s="23" t="str">
        <f>VLOOKUP(E764,Customers!$A$2:$I$1001,9,0)</f>
        <v>No</v>
      </c>
      <c r="L764" s="4" t="s">
        <v>78</v>
      </c>
      <c r="M764" s="4" t="str">
        <f>VLOOKUP(L764,Products!$A$2:$G$49,2,0)</f>
        <v>Liberica</v>
      </c>
      <c r="N764" s="4" t="str">
        <f>VLOOKUP(L764,Products!$A$2:$G$49,3,0)</f>
        <v>Medium</v>
      </c>
      <c r="O764" s="25">
        <v>5</v>
      </c>
      <c r="P764" s="5">
        <f>INDEX([1]products!$A$1:$G$49,MATCH([1]orders!$D764,[1]products!$A$1:$A$49,0),MATCH([1]orders!K$1,[1]products!$A$1:$G$1,0))</f>
        <v>0.5</v>
      </c>
      <c r="Q764" s="6">
        <f>INDEX([1]products!$A$1:$G$49,MATCH([1]orders!$D764,[1]products!$A$1:$A$49,0),MATCH([1]orders!L$1,[1]products!$A$1:$G$1,0))</f>
        <v>8.73</v>
      </c>
      <c r="R764" s="6">
        <f t="shared" si="55"/>
        <v>43.650000000000006</v>
      </c>
      <c r="S764">
        <f>VLOOKUP(L764,Products!$A$2:$G$49,7,0)</f>
        <v>1.1349</v>
      </c>
      <c r="T764">
        <f t="shared" si="58"/>
        <v>5.6745000000000001</v>
      </c>
      <c r="U764" s="33">
        <f t="shared" si="59"/>
        <v>12.999999999999998</v>
      </c>
    </row>
    <row r="765" spans="1:21" x14ac:dyDescent="0.25">
      <c r="A765" s="1" t="s">
        <v>1483</v>
      </c>
      <c r="B765" s="28">
        <v>44587</v>
      </c>
      <c r="C765" s="21" t="str">
        <f t="shared" si="56"/>
        <v>2022</v>
      </c>
      <c r="D765" s="19" t="str">
        <f t="shared" si="57"/>
        <v>January</v>
      </c>
      <c r="E765" s="3" t="s">
        <v>1484</v>
      </c>
      <c r="F765" s="3" t="str">
        <f>VLOOKUP(E765,Customers!$A$2:$I$1001,2,0)</f>
        <v>Sarajane Potter</v>
      </c>
      <c r="G765" s="3" t="str">
        <f>VLOOKUP(E765,Customers!$A$2:$I$1001,3,0)</f>
        <v>UNKNOWN</v>
      </c>
      <c r="H765" s="3" t="str">
        <f>VLOOKUP(E765,Customers!$A$2:$I$1001,4,0)</f>
        <v>+1 (817) 389-2294</v>
      </c>
      <c r="I765" s="25" t="str">
        <f>VLOOKUP(E765,Customers!$A$2:$I$1001,6,0)</f>
        <v>Fort Worth</v>
      </c>
      <c r="J765" s="25" t="str">
        <f>VLOOKUP(E765,Customers!$A$2:$I$1001,7,0)</f>
        <v>United States</v>
      </c>
      <c r="K765" s="23" t="str">
        <f>VLOOKUP(E765,Customers!$A$2:$I$1001,9,0)</f>
        <v>No</v>
      </c>
      <c r="L765" s="4" t="s">
        <v>192</v>
      </c>
      <c r="M765" s="4" t="str">
        <f>VLOOKUP(L765,Products!$A$2:$G$49,2,0)</f>
        <v>Arabica</v>
      </c>
      <c r="N765" s="4" t="str">
        <f>VLOOKUP(L765,Products!$A$2:$G$49,3,0)</f>
        <v>Light</v>
      </c>
      <c r="O765" s="25">
        <v>3</v>
      </c>
      <c r="P765" s="5">
        <f>INDEX([1]products!$A$1:$G$49,MATCH([1]orders!$D765,[1]products!$A$1:$A$49,0),MATCH([1]orders!K$1,[1]products!$A$1:$G$1,0))</f>
        <v>0.5</v>
      </c>
      <c r="Q765" s="6">
        <f>INDEX([1]products!$A$1:$G$49,MATCH([1]orders!$D765,[1]products!$A$1:$A$49,0),MATCH([1]orders!L$1,[1]products!$A$1:$G$1,0))</f>
        <v>7.77</v>
      </c>
      <c r="R765" s="6">
        <f t="shared" si="55"/>
        <v>23.31</v>
      </c>
      <c r="S765">
        <f>VLOOKUP(L765,Products!$A$2:$G$49,7,0)</f>
        <v>0.69929999999999992</v>
      </c>
      <c r="T765">
        <f t="shared" si="58"/>
        <v>2.0978999999999997</v>
      </c>
      <c r="U765" s="33">
        <f t="shared" si="59"/>
        <v>9</v>
      </c>
    </row>
    <row r="766" spans="1:21" x14ac:dyDescent="0.25">
      <c r="A766" s="1" t="s">
        <v>1485</v>
      </c>
      <c r="B766" s="28">
        <v>43797</v>
      </c>
      <c r="C766" s="21" t="str">
        <f t="shared" si="56"/>
        <v>2019</v>
      </c>
      <c r="D766" s="19" t="str">
        <f t="shared" si="57"/>
        <v>November</v>
      </c>
      <c r="E766" s="3" t="s">
        <v>1486</v>
      </c>
      <c r="F766" s="3" t="str">
        <f>VLOOKUP(E766,Customers!$A$2:$I$1001,2,0)</f>
        <v>Bobby Folomkin</v>
      </c>
      <c r="G766" s="3" t="str">
        <f>VLOOKUP(E766,Customers!$A$2:$I$1001,3,0)</f>
        <v>bfolomkinl8@yolasite.com</v>
      </c>
      <c r="H766" s="3" t="str">
        <f>VLOOKUP(E766,Customers!$A$2:$I$1001,4,0)</f>
        <v>+1 (701) 278-8412</v>
      </c>
      <c r="I766" s="25" t="str">
        <f>VLOOKUP(E766,Customers!$A$2:$I$1001,6,0)</f>
        <v>Fargo</v>
      </c>
      <c r="J766" s="25" t="str">
        <f>VLOOKUP(E766,Customers!$A$2:$I$1001,7,0)</f>
        <v>United States</v>
      </c>
      <c r="K766" s="23" t="str">
        <f>VLOOKUP(E766,Customers!$A$2:$I$1001,9,0)</f>
        <v>Yes</v>
      </c>
      <c r="L766" s="4" t="s">
        <v>204</v>
      </c>
      <c r="M766" s="4" t="str">
        <f>VLOOKUP(L766,Products!$A$2:$G$49,2,0)</f>
        <v>Arabica</v>
      </c>
      <c r="N766" s="4" t="str">
        <f>VLOOKUP(L766,Products!$A$2:$G$49,3,0)</f>
        <v>Light</v>
      </c>
      <c r="O766" s="25">
        <v>6</v>
      </c>
      <c r="P766" s="5">
        <f>INDEX([1]products!$A$1:$G$49,MATCH([1]orders!$D766,[1]products!$A$1:$A$49,0),MATCH([1]orders!K$1,[1]products!$A$1:$G$1,0))</f>
        <v>2.5</v>
      </c>
      <c r="Q766" s="6">
        <f>INDEX([1]products!$A$1:$G$49,MATCH([1]orders!$D766,[1]products!$A$1:$A$49,0),MATCH([1]orders!L$1,[1]products!$A$1:$G$1,0))</f>
        <v>29.784999999999997</v>
      </c>
      <c r="R766" s="6">
        <f t="shared" si="55"/>
        <v>178.70999999999998</v>
      </c>
      <c r="S766">
        <f>VLOOKUP(L766,Products!$A$2:$G$49,7,0)</f>
        <v>2.6806499999999995</v>
      </c>
      <c r="T766">
        <f t="shared" si="58"/>
        <v>16.083899999999996</v>
      </c>
      <c r="U766" s="33">
        <f t="shared" si="59"/>
        <v>8.9999999999999982</v>
      </c>
    </row>
    <row r="767" spans="1:21" x14ac:dyDescent="0.25">
      <c r="A767" s="1" t="s">
        <v>1487</v>
      </c>
      <c r="B767" s="28">
        <v>43667</v>
      </c>
      <c r="C767" s="21" t="str">
        <f t="shared" si="56"/>
        <v>2019</v>
      </c>
      <c r="D767" s="19" t="str">
        <f t="shared" si="57"/>
        <v>July</v>
      </c>
      <c r="E767" s="3" t="s">
        <v>1488</v>
      </c>
      <c r="F767" s="3" t="str">
        <f>VLOOKUP(E767,Customers!$A$2:$I$1001,2,0)</f>
        <v>Rafferty Pursglove</v>
      </c>
      <c r="G767" s="3" t="str">
        <f>VLOOKUP(E767,Customers!$A$2:$I$1001,3,0)</f>
        <v>rpursglovel9@biblegateway.com</v>
      </c>
      <c r="H767" s="3" t="str">
        <f>VLOOKUP(E767,Customers!$A$2:$I$1001,4,0)</f>
        <v>+1 (214) 813-8745</v>
      </c>
      <c r="I767" s="25" t="str">
        <f>VLOOKUP(E767,Customers!$A$2:$I$1001,6,0)</f>
        <v>Garland</v>
      </c>
      <c r="J767" s="25" t="str">
        <f>VLOOKUP(E767,Customers!$A$2:$I$1001,7,0)</f>
        <v>United States</v>
      </c>
      <c r="K767" s="23" t="str">
        <f>VLOOKUP(E767,Customers!$A$2:$I$1001,9,0)</f>
        <v>Yes</v>
      </c>
      <c r="L767" s="4" t="s">
        <v>2</v>
      </c>
      <c r="M767" s="4" t="str">
        <f>VLOOKUP(L767,Products!$A$2:$G$49,2,0)</f>
        <v>Robusta</v>
      </c>
      <c r="N767" s="4" t="str">
        <f>VLOOKUP(L767,Products!$A$2:$G$49,3,0)</f>
        <v>Medium</v>
      </c>
      <c r="O767" s="25">
        <v>6</v>
      </c>
      <c r="P767" s="5">
        <f>INDEX([1]products!$A$1:$G$49,MATCH([1]orders!$D767,[1]products!$A$1:$A$49,0),MATCH([1]orders!K$1,[1]products!$A$1:$G$1,0))</f>
        <v>1</v>
      </c>
      <c r="Q767" s="6">
        <f>INDEX([1]products!$A$1:$G$49,MATCH([1]orders!$D767,[1]products!$A$1:$A$49,0),MATCH([1]orders!L$1,[1]products!$A$1:$G$1,0))</f>
        <v>9.9499999999999993</v>
      </c>
      <c r="R767" s="6">
        <f t="shared" si="55"/>
        <v>59.699999999999996</v>
      </c>
      <c r="S767">
        <f>VLOOKUP(L767,Products!$A$2:$G$49,7,0)</f>
        <v>0.59699999999999998</v>
      </c>
      <c r="T767">
        <f t="shared" si="58"/>
        <v>3.5819999999999999</v>
      </c>
      <c r="U767" s="33">
        <f t="shared" si="59"/>
        <v>6.0000000000000009</v>
      </c>
    </row>
    <row r="768" spans="1:21" x14ac:dyDescent="0.25">
      <c r="A768" s="1" t="s">
        <v>1487</v>
      </c>
      <c r="B768" s="28">
        <v>43667</v>
      </c>
      <c r="C768" s="21" t="str">
        <f t="shared" si="56"/>
        <v>2019</v>
      </c>
      <c r="D768" s="19" t="str">
        <f t="shared" si="57"/>
        <v>July</v>
      </c>
      <c r="E768" s="3" t="s">
        <v>1488</v>
      </c>
      <c r="F768" s="3" t="str">
        <f>VLOOKUP(E768,Customers!$A$2:$I$1001,2,0)</f>
        <v>Rafferty Pursglove</v>
      </c>
      <c r="G768" s="3" t="str">
        <f>VLOOKUP(E768,Customers!$A$2:$I$1001,3,0)</f>
        <v>rpursglovel9@biblegateway.com</v>
      </c>
      <c r="H768" s="3" t="str">
        <f>VLOOKUP(E768,Customers!$A$2:$I$1001,4,0)</f>
        <v>+1 (214) 813-8745</v>
      </c>
      <c r="I768" s="25" t="str">
        <f>VLOOKUP(E768,Customers!$A$2:$I$1001,6,0)</f>
        <v>Garland</v>
      </c>
      <c r="J768" s="25" t="str">
        <f>VLOOKUP(E768,Customers!$A$2:$I$1001,7,0)</f>
        <v>United States</v>
      </c>
      <c r="K768" s="23" t="str">
        <f>VLOOKUP(E768,Customers!$A$2:$I$1001,9,0)</f>
        <v>Yes</v>
      </c>
      <c r="L768" s="4" t="s">
        <v>192</v>
      </c>
      <c r="M768" s="4" t="str">
        <f>VLOOKUP(L768,Products!$A$2:$G$49,2,0)</f>
        <v>Arabica</v>
      </c>
      <c r="N768" s="4" t="str">
        <f>VLOOKUP(L768,Products!$A$2:$G$49,3,0)</f>
        <v>Light</v>
      </c>
      <c r="O768" s="25">
        <v>2</v>
      </c>
      <c r="P768" s="5">
        <f>INDEX([1]products!$A$1:$G$49,MATCH([1]orders!$D768,[1]products!$A$1:$A$49,0),MATCH([1]orders!K$1,[1]products!$A$1:$G$1,0))</f>
        <v>0.5</v>
      </c>
      <c r="Q768" s="6">
        <f>INDEX([1]products!$A$1:$G$49,MATCH([1]orders!$D768,[1]products!$A$1:$A$49,0),MATCH([1]orders!L$1,[1]products!$A$1:$G$1,0))</f>
        <v>7.77</v>
      </c>
      <c r="R768" s="6">
        <f t="shared" si="55"/>
        <v>15.54</v>
      </c>
      <c r="S768">
        <f>VLOOKUP(L768,Products!$A$2:$G$49,7,0)</f>
        <v>0.69929999999999992</v>
      </c>
      <c r="T768">
        <f t="shared" si="58"/>
        <v>1.3985999999999998</v>
      </c>
      <c r="U768" s="33">
        <f t="shared" si="59"/>
        <v>9</v>
      </c>
    </row>
    <row r="769" spans="1:21" x14ac:dyDescent="0.25">
      <c r="A769" s="1" t="s">
        <v>1489</v>
      </c>
      <c r="B769" s="28">
        <v>44267</v>
      </c>
      <c r="C769" s="21" t="str">
        <f t="shared" si="56"/>
        <v>2021</v>
      </c>
      <c r="D769" s="19" t="str">
        <f t="shared" si="57"/>
        <v>March</v>
      </c>
      <c r="E769" s="3" t="s">
        <v>1468</v>
      </c>
      <c r="F769" s="3" t="str">
        <f>VLOOKUP(E769,Customers!$A$2:$I$1001,2,0)</f>
        <v>Foster Constance</v>
      </c>
      <c r="G769" s="3" t="str">
        <f>VLOOKUP(E769,Customers!$A$2:$I$1001,3,0)</f>
        <v>fconstancekz@ifeng.com</v>
      </c>
      <c r="H769" s="3" t="str">
        <f>VLOOKUP(E769,Customers!$A$2:$I$1001,4,0)</f>
        <v>+1 (214) 388-6754</v>
      </c>
      <c r="I769" s="25" t="str">
        <f>VLOOKUP(E769,Customers!$A$2:$I$1001,6,0)</f>
        <v>Dallas</v>
      </c>
      <c r="J769" s="25" t="str">
        <f>VLOOKUP(E769,Customers!$A$2:$I$1001,7,0)</f>
        <v>United States</v>
      </c>
      <c r="K769" s="23" t="str">
        <f>VLOOKUP(E769,Customers!$A$2:$I$1001,9,0)</f>
        <v>No</v>
      </c>
      <c r="L769" s="4" t="s">
        <v>204</v>
      </c>
      <c r="M769" s="4" t="str">
        <f>VLOOKUP(L769,Products!$A$2:$G$49,2,0)</f>
        <v>Arabica</v>
      </c>
      <c r="N769" s="4" t="str">
        <f>VLOOKUP(L769,Products!$A$2:$G$49,3,0)</f>
        <v>Light</v>
      </c>
      <c r="O769" s="25">
        <v>3</v>
      </c>
      <c r="P769" s="5">
        <f>INDEX([1]products!$A$1:$G$49,MATCH([1]orders!$D769,[1]products!$A$1:$A$49,0),MATCH([1]orders!K$1,[1]products!$A$1:$G$1,0))</f>
        <v>2.5</v>
      </c>
      <c r="Q769" s="6">
        <f>INDEX([1]products!$A$1:$G$49,MATCH([1]orders!$D769,[1]products!$A$1:$A$49,0),MATCH([1]orders!L$1,[1]products!$A$1:$G$1,0))</f>
        <v>29.784999999999997</v>
      </c>
      <c r="R769" s="6">
        <f t="shared" si="55"/>
        <v>89.35499999999999</v>
      </c>
      <c r="S769">
        <f>VLOOKUP(L769,Products!$A$2:$G$49,7,0)</f>
        <v>2.6806499999999995</v>
      </c>
      <c r="T769">
        <f t="shared" si="58"/>
        <v>8.0419499999999982</v>
      </c>
      <c r="U769" s="33">
        <f t="shared" si="59"/>
        <v>8.9999999999999982</v>
      </c>
    </row>
    <row r="770" spans="1:21" x14ac:dyDescent="0.25">
      <c r="A770" s="1" t="s">
        <v>1490</v>
      </c>
      <c r="B770" s="28">
        <v>44562</v>
      </c>
      <c r="C770" s="21" t="str">
        <f t="shared" si="56"/>
        <v>2022</v>
      </c>
      <c r="D770" s="19" t="str">
        <f t="shared" si="57"/>
        <v>January</v>
      </c>
      <c r="E770" s="3" t="s">
        <v>1468</v>
      </c>
      <c r="F770" s="3" t="str">
        <f>VLOOKUP(E770,Customers!$A$2:$I$1001,2,0)</f>
        <v>Foster Constance</v>
      </c>
      <c r="G770" s="3" t="str">
        <f>VLOOKUP(E770,Customers!$A$2:$I$1001,3,0)</f>
        <v>fconstancekz@ifeng.com</v>
      </c>
      <c r="H770" s="3" t="str">
        <f>VLOOKUP(E770,Customers!$A$2:$I$1001,4,0)</f>
        <v>+1 (214) 388-6754</v>
      </c>
      <c r="I770" s="25" t="str">
        <f>VLOOKUP(E770,Customers!$A$2:$I$1001,6,0)</f>
        <v>Dallas</v>
      </c>
      <c r="J770" s="25" t="str">
        <f>VLOOKUP(E770,Customers!$A$2:$I$1001,7,0)</f>
        <v>United States</v>
      </c>
      <c r="K770" s="23" t="str">
        <f>VLOOKUP(E770,Customers!$A$2:$I$1001,9,0)</f>
        <v>No</v>
      </c>
      <c r="L770" s="4" t="s">
        <v>189</v>
      </c>
      <c r="M770" s="4" t="str">
        <f>VLOOKUP(L770,Products!$A$2:$G$49,2,0)</f>
        <v>Robusta</v>
      </c>
      <c r="N770" s="4" t="str">
        <f>VLOOKUP(L770,Products!$A$2:$G$49,3,0)</f>
        <v>Light</v>
      </c>
      <c r="O770" s="25">
        <v>2</v>
      </c>
      <c r="P770" s="5">
        <f>INDEX([1]products!$A$1:$G$49,MATCH([1]orders!$D770,[1]products!$A$1:$A$49,0),MATCH([1]orders!K$1,[1]products!$A$1:$G$1,0))</f>
        <v>1</v>
      </c>
      <c r="Q770" s="6">
        <f>INDEX([1]products!$A$1:$G$49,MATCH([1]orders!$D770,[1]products!$A$1:$A$49,0),MATCH([1]orders!L$1,[1]products!$A$1:$G$1,0))</f>
        <v>11.95</v>
      </c>
      <c r="R770" s="6">
        <f t="shared" ref="R770:R833" si="60">O770*Q770</f>
        <v>23.9</v>
      </c>
      <c r="S770">
        <f>VLOOKUP(L770,Products!$A$2:$G$49,7,0)</f>
        <v>0.71699999999999997</v>
      </c>
      <c r="T770">
        <f t="shared" si="58"/>
        <v>1.4339999999999999</v>
      </c>
      <c r="U770" s="33">
        <f t="shared" si="59"/>
        <v>6</v>
      </c>
    </row>
    <row r="771" spans="1:21" x14ac:dyDescent="0.25">
      <c r="A771" s="1" t="s">
        <v>1491</v>
      </c>
      <c r="B771" s="28">
        <v>43912</v>
      </c>
      <c r="C771" s="21" t="str">
        <f t="shared" ref="C771:C834" si="61">TEXT(B771,"yyyy")</f>
        <v>2020</v>
      </c>
      <c r="D771" s="19" t="str">
        <f t="shared" ref="D771:D834" si="62">TEXT(B771,"mmmm")</f>
        <v>March</v>
      </c>
      <c r="E771" s="3" t="s">
        <v>1492</v>
      </c>
      <c r="F771" s="3" t="str">
        <f>VLOOKUP(E771,Customers!$A$2:$I$1001,2,0)</f>
        <v>Dalia Eburah</v>
      </c>
      <c r="G771" s="3" t="str">
        <f>VLOOKUP(E771,Customers!$A$2:$I$1001,3,0)</f>
        <v>deburahld@google.co.jp</v>
      </c>
      <c r="H771" s="3" t="str">
        <f>VLOOKUP(E771,Customers!$A$2:$I$1001,4,0)</f>
        <v>+44 (607) 596-3921</v>
      </c>
      <c r="I771" s="25" t="str">
        <f>VLOOKUP(E771,Customers!$A$2:$I$1001,6,0)</f>
        <v>Birmingham</v>
      </c>
      <c r="J771" s="25" t="str">
        <f>VLOOKUP(E771,Customers!$A$2:$I$1001,7,0)</f>
        <v>United Kingdom</v>
      </c>
      <c r="K771" s="23" t="str">
        <f>VLOOKUP(E771,Customers!$A$2:$I$1001,9,0)</f>
        <v>No</v>
      </c>
      <c r="L771" s="4" t="s">
        <v>41</v>
      </c>
      <c r="M771" s="4" t="str">
        <f>VLOOKUP(L771,Products!$A$2:$G$49,2,0)</f>
        <v>Robusta</v>
      </c>
      <c r="N771" s="4" t="str">
        <f>VLOOKUP(L771,Products!$A$2:$G$49,3,0)</f>
        <v>Medium</v>
      </c>
      <c r="O771" s="25">
        <v>6</v>
      </c>
      <c r="P771" s="5">
        <f>INDEX([1]products!$A$1:$G$49,MATCH([1]orders!$D771,[1]products!$A$1:$A$49,0),MATCH([1]orders!K$1,[1]products!$A$1:$G$1,0))</f>
        <v>2.5</v>
      </c>
      <c r="Q771" s="6">
        <f>INDEX([1]products!$A$1:$G$49,MATCH([1]orders!$D771,[1]products!$A$1:$A$49,0),MATCH([1]orders!L$1,[1]products!$A$1:$G$1,0))</f>
        <v>22.884999999999998</v>
      </c>
      <c r="R771" s="6">
        <f t="shared" si="60"/>
        <v>137.31</v>
      </c>
      <c r="S771">
        <f>VLOOKUP(L771,Products!$A$2:$G$49,7,0)</f>
        <v>1.3730999999999998</v>
      </c>
      <c r="T771">
        <f t="shared" ref="T771:T834" si="63">O771*S771</f>
        <v>8.2385999999999981</v>
      </c>
      <c r="U771" s="33">
        <f t="shared" ref="U771:U834" si="64">T771/R771*100</f>
        <v>5.9999999999999982</v>
      </c>
    </row>
    <row r="772" spans="1:21" x14ac:dyDescent="0.25">
      <c r="A772" s="1" t="s">
        <v>1493</v>
      </c>
      <c r="B772" s="28">
        <v>44092</v>
      </c>
      <c r="C772" s="21" t="str">
        <f t="shared" si="61"/>
        <v>2020</v>
      </c>
      <c r="D772" s="19" t="str">
        <f t="shared" si="62"/>
        <v>September</v>
      </c>
      <c r="E772" s="3" t="s">
        <v>1494</v>
      </c>
      <c r="F772" s="3" t="str">
        <f>VLOOKUP(E772,Customers!$A$2:$I$1001,2,0)</f>
        <v>Martie Brimilcombe</v>
      </c>
      <c r="G772" s="3" t="str">
        <f>VLOOKUP(E772,Customers!$A$2:$I$1001,3,0)</f>
        <v>mbrimilcombele@cnn.com</v>
      </c>
      <c r="H772" s="3" t="str">
        <f>VLOOKUP(E772,Customers!$A$2:$I$1001,4,0)</f>
        <v>UNKNOWN</v>
      </c>
      <c r="I772" s="25" t="str">
        <f>VLOOKUP(E772,Customers!$A$2:$I$1001,6,0)</f>
        <v>Springfield</v>
      </c>
      <c r="J772" s="25" t="str">
        <f>VLOOKUP(E772,Customers!$A$2:$I$1001,7,0)</f>
        <v>United States</v>
      </c>
      <c r="K772" s="23" t="str">
        <f>VLOOKUP(E772,Customers!$A$2:$I$1001,9,0)</f>
        <v>No</v>
      </c>
      <c r="L772" s="4" t="s">
        <v>27</v>
      </c>
      <c r="M772" s="4" t="str">
        <f>VLOOKUP(L772,Products!$A$2:$G$49,2,0)</f>
        <v>Arabica</v>
      </c>
      <c r="N772" s="4" t="str">
        <f>VLOOKUP(L772,Products!$A$2:$G$49,3,0)</f>
        <v>Dark</v>
      </c>
      <c r="O772" s="25">
        <v>1</v>
      </c>
      <c r="P772" s="5">
        <f>INDEX([1]products!$A$1:$G$49,MATCH([1]orders!$D772,[1]products!$A$1:$A$49,0),MATCH([1]orders!K$1,[1]products!$A$1:$G$1,0))</f>
        <v>1</v>
      </c>
      <c r="Q772" s="6">
        <f>INDEX([1]products!$A$1:$G$49,MATCH([1]orders!$D772,[1]products!$A$1:$A$49,0),MATCH([1]orders!L$1,[1]products!$A$1:$G$1,0))</f>
        <v>9.9499999999999993</v>
      </c>
      <c r="R772" s="6">
        <f t="shared" si="60"/>
        <v>9.9499999999999993</v>
      </c>
      <c r="S772">
        <f>VLOOKUP(L772,Products!$A$2:$G$49,7,0)</f>
        <v>0.89549999999999985</v>
      </c>
      <c r="T772">
        <f t="shared" si="63"/>
        <v>0.89549999999999985</v>
      </c>
      <c r="U772" s="33">
        <f t="shared" si="64"/>
        <v>9</v>
      </c>
    </row>
    <row r="773" spans="1:21" x14ac:dyDescent="0.25">
      <c r="A773" s="1" t="s">
        <v>1495</v>
      </c>
      <c r="B773" s="28">
        <v>43468</v>
      </c>
      <c r="C773" s="21" t="str">
        <f t="shared" si="61"/>
        <v>2019</v>
      </c>
      <c r="D773" s="19" t="str">
        <f t="shared" si="62"/>
        <v>January</v>
      </c>
      <c r="E773" s="3" t="s">
        <v>1496</v>
      </c>
      <c r="F773" s="3" t="str">
        <f>VLOOKUP(E773,Customers!$A$2:$I$1001,2,0)</f>
        <v>Suzanna Bollam</v>
      </c>
      <c r="G773" s="3" t="str">
        <f>VLOOKUP(E773,Customers!$A$2:$I$1001,3,0)</f>
        <v>sbollamlf@list-manage.com</v>
      </c>
      <c r="H773" s="3" t="str">
        <f>VLOOKUP(E773,Customers!$A$2:$I$1001,4,0)</f>
        <v>+1 (303) 746-0415</v>
      </c>
      <c r="I773" s="25" t="str">
        <f>VLOOKUP(E773,Customers!$A$2:$I$1001,6,0)</f>
        <v>Littleton</v>
      </c>
      <c r="J773" s="25" t="str">
        <f>VLOOKUP(E773,Customers!$A$2:$I$1001,7,0)</f>
        <v>United States</v>
      </c>
      <c r="K773" s="23" t="str">
        <f>VLOOKUP(E773,Customers!$A$2:$I$1001,9,0)</f>
        <v>No</v>
      </c>
      <c r="L773" s="4" t="s">
        <v>157</v>
      </c>
      <c r="M773" s="4" t="str">
        <f>VLOOKUP(L773,Products!$A$2:$G$49,2,0)</f>
        <v>Robusta</v>
      </c>
      <c r="N773" s="4" t="str">
        <f>VLOOKUP(L773,Products!$A$2:$G$49,3,0)</f>
        <v>Light</v>
      </c>
      <c r="O773" s="25">
        <v>3</v>
      </c>
      <c r="P773" s="5">
        <f>INDEX([1]products!$A$1:$G$49,MATCH([1]orders!$D773,[1]products!$A$1:$A$49,0),MATCH([1]orders!K$1,[1]products!$A$1:$G$1,0))</f>
        <v>0.5</v>
      </c>
      <c r="Q773" s="6">
        <f>INDEX([1]products!$A$1:$G$49,MATCH([1]orders!$D773,[1]products!$A$1:$A$49,0),MATCH([1]orders!L$1,[1]products!$A$1:$G$1,0))</f>
        <v>7.169999999999999</v>
      </c>
      <c r="R773" s="6">
        <f t="shared" si="60"/>
        <v>21.509999999999998</v>
      </c>
      <c r="S773">
        <f>VLOOKUP(L773,Products!$A$2:$G$49,7,0)</f>
        <v>0.43019999999999992</v>
      </c>
      <c r="T773">
        <f t="shared" si="63"/>
        <v>1.2905999999999997</v>
      </c>
      <c r="U773" s="33">
        <f t="shared" si="64"/>
        <v>5.9999999999999991</v>
      </c>
    </row>
    <row r="774" spans="1:21" x14ac:dyDescent="0.25">
      <c r="A774" s="1" t="s">
        <v>1497</v>
      </c>
      <c r="B774" s="28">
        <v>44468</v>
      </c>
      <c r="C774" s="21" t="str">
        <f t="shared" si="61"/>
        <v>2021</v>
      </c>
      <c r="D774" s="19" t="str">
        <f t="shared" si="62"/>
        <v>September</v>
      </c>
      <c r="E774" s="3" t="s">
        <v>1498</v>
      </c>
      <c r="F774" s="3" t="str">
        <f>VLOOKUP(E774,Customers!$A$2:$I$1001,2,0)</f>
        <v>Mellisa Mebes</v>
      </c>
      <c r="G774" s="3" t="str">
        <f>VLOOKUP(E774,Customers!$A$2:$I$1001,3,0)</f>
        <v>UNKNOWN</v>
      </c>
      <c r="H774" s="3" t="str">
        <f>VLOOKUP(E774,Customers!$A$2:$I$1001,4,0)</f>
        <v>+1 (410) 273-2348</v>
      </c>
      <c r="I774" s="25" t="str">
        <f>VLOOKUP(E774,Customers!$A$2:$I$1001,6,0)</f>
        <v>Baltimore</v>
      </c>
      <c r="J774" s="25" t="str">
        <f>VLOOKUP(E774,Customers!$A$2:$I$1001,7,0)</f>
        <v>United States</v>
      </c>
      <c r="K774" s="23" t="str">
        <f>VLOOKUP(E774,Customers!$A$2:$I$1001,9,0)</f>
        <v>No</v>
      </c>
      <c r="L774" s="4" t="s">
        <v>9</v>
      </c>
      <c r="M774" s="4" t="str">
        <f>VLOOKUP(L774,Products!$A$2:$G$49,2,0)</f>
        <v>Excelsa</v>
      </c>
      <c r="N774" s="4" t="str">
        <f>VLOOKUP(L774,Products!$A$2:$G$49,3,0)</f>
        <v>Medium</v>
      </c>
      <c r="O774" s="25">
        <v>6</v>
      </c>
      <c r="P774" s="5">
        <f>INDEX([1]products!$A$1:$G$49,MATCH([1]orders!$D774,[1]products!$A$1:$A$49,0),MATCH([1]orders!K$1,[1]products!$A$1:$G$1,0))</f>
        <v>1</v>
      </c>
      <c r="Q774" s="6">
        <f>INDEX([1]products!$A$1:$G$49,MATCH([1]orders!$D774,[1]products!$A$1:$A$49,0),MATCH([1]orders!L$1,[1]products!$A$1:$G$1,0))</f>
        <v>13.75</v>
      </c>
      <c r="R774" s="6">
        <f t="shared" si="60"/>
        <v>82.5</v>
      </c>
      <c r="S774">
        <f>VLOOKUP(L774,Products!$A$2:$G$49,7,0)</f>
        <v>1.5125</v>
      </c>
      <c r="T774">
        <f t="shared" si="63"/>
        <v>9.0749999999999993</v>
      </c>
      <c r="U774" s="33">
        <f t="shared" si="64"/>
        <v>10.999999999999998</v>
      </c>
    </row>
    <row r="775" spans="1:21" x14ac:dyDescent="0.25">
      <c r="A775" s="1" t="s">
        <v>1499</v>
      </c>
      <c r="B775" s="28">
        <v>44488</v>
      </c>
      <c r="C775" s="21" t="str">
        <f t="shared" si="61"/>
        <v>2021</v>
      </c>
      <c r="D775" s="19" t="str">
        <f t="shared" si="62"/>
        <v>October</v>
      </c>
      <c r="E775" s="3" t="s">
        <v>1500</v>
      </c>
      <c r="F775" s="3" t="str">
        <f>VLOOKUP(E775,Customers!$A$2:$I$1001,2,0)</f>
        <v>Alva Filipczak</v>
      </c>
      <c r="G775" s="3" t="str">
        <f>VLOOKUP(E775,Customers!$A$2:$I$1001,3,0)</f>
        <v>afilipczaklh@ning.com</v>
      </c>
      <c r="H775" s="3" t="str">
        <f>VLOOKUP(E775,Customers!$A$2:$I$1001,4,0)</f>
        <v>+353 (176) 447-3656</v>
      </c>
      <c r="I775" s="25" t="str">
        <f>VLOOKUP(E775,Customers!$A$2:$I$1001,6,0)</f>
        <v>Moycullen</v>
      </c>
      <c r="J775" s="25" t="str">
        <f>VLOOKUP(E775,Customers!$A$2:$I$1001,7,0)</f>
        <v>Ireland</v>
      </c>
      <c r="K775" s="23" t="str">
        <f>VLOOKUP(E775,Customers!$A$2:$I$1001,9,0)</f>
        <v>No</v>
      </c>
      <c r="L775" s="4" t="s">
        <v>77</v>
      </c>
      <c r="M775" s="4" t="str">
        <f>VLOOKUP(L775,Products!$A$2:$G$49,2,0)</f>
        <v>Liberica</v>
      </c>
      <c r="N775" s="4" t="str">
        <f>VLOOKUP(L775,Products!$A$2:$G$49,3,0)</f>
        <v>Medium</v>
      </c>
      <c r="O775" s="25">
        <v>2</v>
      </c>
      <c r="P775" s="5">
        <f>INDEX([1]products!$A$1:$G$49,MATCH([1]orders!$D775,[1]products!$A$1:$A$49,0),MATCH([1]orders!K$1,[1]products!$A$1:$G$1,0))</f>
        <v>0.2</v>
      </c>
      <c r="Q775" s="6">
        <f>INDEX([1]products!$A$1:$G$49,MATCH([1]orders!$D775,[1]products!$A$1:$A$49,0),MATCH([1]orders!L$1,[1]products!$A$1:$G$1,0))</f>
        <v>4.3650000000000002</v>
      </c>
      <c r="R775" s="6">
        <f t="shared" si="60"/>
        <v>8.73</v>
      </c>
      <c r="S775">
        <f>VLOOKUP(L775,Products!$A$2:$G$49,7,0)</f>
        <v>0.56745000000000001</v>
      </c>
      <c r="T775">
        <f t="shared" si="63"/>
        <v>1.1349</v>
      </c>
      <c r="U775" s="33">
        <f t="shared" si="64"/>
        <v>13</v>
      </c>
    </row>
    <row r="776" spans="1:21" x14ac:dyDescent="0.25">
      <c r="A776" s="1" t="s">
        <v>1501</v>
      </c>
      <c r="B776" s="28">
        <v>44756</v>
      </c>
      <c r="C776" s="21" t="str">
        <f t="shared" si="61"/>
        <v>2022</v>
      </c>
      <c r="D776" s="19" t="str">
        <f t="shared" si="62"/>
        <v>July</v>
      </c>
      <c r="E776" s="3" t="s">
        <v>1502</v>
      </c>
      <c r="F776" s="3" t="str">
        <f>VLOOKUP(E776,Customers!$A$2:$I$1001,2,0)</f>
        <v>Dorette Hinemoor</v>
      </c>
      <c r="G776" s="3" t="str">
        <f>VLOOKUP(E776,Customers!$A$2:$I$1001,3,0)</f>
        <v>UNKNOWN</v>
      </c>
      <c r="H776" s="3" t="str">
        <f>VLOOKUP(E776,Customers!$A$2:$I$1001,4,0)</f>
        <v>+1 (754) 336-4224</v>
      </c>
      <c r="I776" s="25" t="str">
        <f>VLOOKUP(E776,Customers!$A$2:$I$1001,6,0)</f>
        <v>Fort Lauderdale</v>
      </c>
      <c r="J776" s="25" t="str">
        <f>VLOOKUP(E776,Customers!$A$2:$I$1001,7,0)</f>
        <v>United States</v>
      </c>
      <c r="K776" s="23" t="str">
        <f>VLOOKUP(E776,Customers!$A$2:$I$1001,9,0)</f>
        <v>Yes</v>
      </c>
      <c r="L776" s="4" t="s">
        <v>2</v>
      </c>
      <c r="M776" s="4" t="str">
        <f>VLOOKUP(L776,Products!$A$2:$G$49,2,0)</f>
        <v>Robusta</v>
      </c>
      <c r="N776" s="4" t="str">
        <f>VLOOKUP(L776,Products!$A$2:$G$49,3,0)</f>
        <v>Medium</v>
      </c>
      <c r="O776" s="25">
        <v>2</v>
      </c>
      <c r="P776" s="5">
        <f>INDEX([1]products!$A$1:$G$49,MATCH([1]orders!$D776,[1]products!$A$1:$A$49,0),MATCH([1]orders!K$1,[1]products!$A$1:$G$1,0))</f>
        <v>1</v>
      </c>
      <c r="Q776" s="6">
        <f>INDEX([1]products!$A$1:$G$49,MATCH([1]orders!$D776,[1]products!$A$1:$A$49,0),MATCH([1]orders!L$1,[1]products!$A$1:$G$1,0))</f>
        <v>9.9499999999999993</v>
      </c>
      <c r="R776" s="6">
        <f t="shared" si="60"/>
        <v>19.899999999999999</v>
      </c>
      <c r="S776">
        <f>VLOOKUP(L776,Products!$A$2:$G$49,7,0)</f>
        <v>0.59699999999999998</v>
      </c>
      <c r="T776">
        <f t="shared" si="63"/>
        <v>1.194</v>
      </c>
      <c r="U776" s="33">
        <f t="shared" si="64"/>
        <v>6.0000000000000009</v>
      </c>
    </row>
    <row r="777" spans="1:21" x14ac:dyDescent="0.25">
      <c r="A777" s="1" t="s">
        <v>1503</v>
      </c>
      <c r="B777" s="28">
        <v>44396</v>
      </c>
      <c r="C777" s="21" t="str">
        <f t="shared" si="61"/>
        <v>2021</v>
      </c>
      <c r="D777" s="19" t="str">
        <f t="shared" si="62"/>
        <v>July</v>
      </c>
      <c r="E777" s="3" t="s">
        <v>1504</v>
      </c>
      <c r="F777" s="3" t="str">
        <f>VLOOKUP(E777,Customers!$A$2:$I$1001,2,0)</f>
        <v>Rhetta Elnaugh</v>
      </c>
      <c r="G777" s="3" t="str">
        <f>VLOOKUP(E777,Customers!$A$2:$I$1001,3,0)</f>
        <v>relnaughlj@comsenz.com</v>
      </c>
      <c r="H777" s="3" t="str">
        <f>VLOOKUP(E777,Customers!$A$2:$I$1001,4,0)</f>
        <v>+1 (619) 728-2474</v>
      </c>
      <c r="I777" s="25" t="str">
        <f>VLOOKUP(E777,Customers!$A$2:$I$1001,6,0)</f>
        <v>San Diego</v>
      </c>
      <c r="J777" s="25" t="str">
        <f>VLOOKUP(E777,Customers!$A$2:$I$1001,7,0)</f>
        <v>United States</v>
      </c>
      <c r="K777" s="23" t="str">
        <f>VLOOKUP(E777,Customers!$A$2:$I$1001,9,0)</f>
        <v>Yes</v>
      </c>
      <c r="L777" s="4" t="s">
        <v>176</v>
      </c>
      <c r="M777" s="4" t="str">
        <f>VLOOKUP(L777,Products!$A$2:$G$49,2,0)</f>
        <v>Excelsa</v>
      </c>
      <c r="N777" s="4" t="str">
        <f>VLOOKUP(L777,Products!$A$2:$G$49,3,0)</f>
        <v>Light</v>
      </c>
      <c r="O777" s="25">
        <v>2</v>
      </c>
      <c r="P777" s="5">
        <f>INDEX([1]products!$A$1:$G$49,MATCH([1]orders!$D777,[1]products!$A$1:$A$49,0),MATCH([1]orders!K$1,[1]products!$A$1:$G$1,0))</f>
        <v>0.5</v>
      </c>
      <c r="Q777" s="6">
        <f>INDEX([1]products!$A$1:$G$49,MATCH([1]orders!$D777,[1]products!$A$1:$A$49,0),MATCH([1]orders!L$1,[1]products!$A$1:$G$1,0))</f>
        <v>8.91</v>
      </c>
      <c r="R777" s="6">
        <f t="shared" si="60"/>
        <v>17.82</v>
      </c>
      <c r="S777">
        <f>VLOOKUP(L777,Products!$A$2:$G$49,7,0)</f>
        <v>0.98009999999999997</v>
      </c>
      <c r="T777">
        <f t="shared" si="63"/>
        <v>1.9601999999999999</v>
      </c>
      <c r="U777" s="33">
        <f t="shared" si="64"/>
        <v>11</v>
      </c>
    </row>
    <row r="778" spans="1:21" x14ac:dyDescent="0.25">
      <c r="A778" s="1" t="s">
        <v>1505</v>
      </c>
      <c r="B778" s="28">
        <v>44540</v>
      </c>
      <c r="C778" s="21" t="str">
        <f t="shared" si="61"/>
        <v>2021</v>
      </c>
      <c r="D778" s="19" t="str">
        <f t="shared" si="62"/>
        <v>December</v>
      </c>
      <c r="E778" s="3" t="s">
        <v>1506</v>
      </c>
      <c r="F778" s="3" t="str">
        <f>VLOOKUP(E778,Customers!$A$2:$I$1001,2,0)</f>
        <v>Jule Deehan</v>
      </c>
      <c r="G778" s="3" t="str">
        <f>VLOOKUP(E778,Customers!$A$2:$I$1001,3,0)</f>
        <v>jdeehanlk@about.me</v>
      </c>
      <c r="H778" s="3" t="str">
        <f>VLOOKUP(E778,Customers!$A$2:$I$1001,4,0)</f>
        <v>+1 (972) 327-1194</v>
      </c>
      <c r="I778" s="25" t="str">
        <f>VLOOKUP(E778,Customers!$A$2:$I$1001,6,0)</f>
        <v>Dallas</v>
      </c>
      <c r="J778" s="25" t="str">
        <f>VLOOKUP(E778,Customers!$A$2:$I$1001,7,0)</f>
        <v>United States</v>
      </c>
      <c r="K778" s="23" t="str">
        <f>VLOOKUP(E778,Customers!$A$2:$I$1001,9,0)</f>
        <v>No</v>
      </c>
      <c r="L778" s="4" t="s">
        <v>67</v>
      </c>
      <c r="M778" s="4" t="str">
        <f>VLOOKUP(L778,Products!$A$2:$G$49,2,0)</f>
        <v>Arabica</v>
      </c>
      <c r="N778" s="4" t="str">
        <f>VLOOKUP(L778,Products!$A$2:$G$49,3,0)</f>
        <v>Medium</v>
      </c>
      <c r="O778" s="25">
        <v>3</v>
      </c>
      <c r="P778" s="5">
        <f>INDEX([1]products!$A$1:$G$49,MATCH([1]orders!$D778,[1]products!$A$1:$A$49,0),MATCH([1]orders!K$1,[1]products!$A$1:$G$1,0))</f>
        <v>0.5</v>
      </c>
      <c r="Q778" s="6">
        <f>INDEX([1]products!$A$1:$G$49,MATCH([1]orders!$D778,[1]products!$A$1:$A$49,0),MATCH([1]orders!L$1,[1]products!$A$1:$G$1,0))</f>
        <v>6.75</v>
      </c>
      <c r="R778" s="6">
        <f t="shared" si="60"/>
        <v>20.25</v>
      </c>
      <c r="S778">
        <f>VLOOKUP(L778,Products!$A$2:$G$49,7,0)</f>
        <v>0.60749999999999993</v>
      </c>
      <c r="T778">
        <f t="shared" si="63"/>
        <v>1.8224999999999998</v>
      </c>
      <c r="U778" s="33">
        <f t="shared" si="64"/>
        <v>8.9999999999999982</v>
      </c>
    </row>
    <row r="779" spans="1:21" x14ac:dyDescent="0.25">
      <c r="A779" s="1" t="s">
        <v>1507</v>
      </c>
      <c r="B779" s="28">
        <v>43541</v>
      </c>
      <c r="C779" s="21" t="str">
        <f t="shared" si="61"/>
        <v>2019</v>
      </c>
      <c r="D779" s="19" t="str">
        <f t="shared" si="62"/>
        <v>March</v>
      </c>
      <c r="E779" s="3" t="s">
        <v>1508</v>
      </c>
      <c r="F779" s="3" t="str">
        <f>VLOOKUP(E779,Customers!$A$2:$I$1001,2,0)</f>
        <v>Janella Eden</v>
      </c>
      <c r="G779" s="3" t="str">
        <f>VLOOKUP(E779,Customers!$A$2:$I$1001,3,0)</f>
        <v>jedenll@e-recht24.de</v>
      </c>
      <c r="H779" s="3" t="str">
        <f>VLOOKUP(E779,Customers!$A$2:$I$1001,4,0)</f>
        <v>UNKNOWN</v>
      </c>
      <c r="I779" s="25" t="str">
        <f>VLOOKUP(E779,Customers!$A$2:$I$1001,6,0)</f>
        <v>Joliet</v>
      </c>
      <c r="J779" s="25" t="str">
        <f>VLOOKUP(E779,Customers!$A$2:$I$1001,7,0)</f>
        <v>United States</v>
      </c>
      <c r="K779" s="23" t="str">
        <f>VLOOKUP(E779,Customers!$A$2:$I$1001,9,0)</f>
        <v>No</v>
      </c>
      <c r="L779" s="4" t="s">
        <v>204</v>
      </c>
      <c r="M779" s="4" t="str">
        <f>VLOOKUP(L779,Products!$A$2:$G$49,2,0)</f>
        <v>Arabica</v>
      </c>
      <c r="N779" s="4" t="str">
        <f>VLOOKUP(L779,Products!$A$2:$G$49,3,0)</f>
        <v>Light</v>
      </c>
      <c r="O779" s="25">
        <v>2</v>
      </c>
      <c r="P779" s="5">
        <f>INDEX([1]products!$A$1:$G$49,MATCH([1]orders!$D779,[1]products!$A$1:$A$49,0),MATCH([1]orders!K$1,[1]products!$A$1:$G$1,0))</f>
        <v>2.5</v>
      </c>
      <c r="Q779" s="6">
        <f>INDEX([1]products!$A$1:$G$49,MATCH([1]orders!$D779,[1]products!$A$1:$A$49,0),MATCH([1]orders!L$1,[1]products!$A$1:$G$1,0))</f>
        <v>29.784999999999997</v>
      </c>
      <c r="R779" s="6">
        <f t="shared" si="60"/>
        <v>59.569999999999993</v>
      </c>
      <c r="S779">
        <f>VLOOKUP(L779,Products!$A$2:$G$49,7,0)</f>
        <v>2.6806499999999995</v>
      </c>
      <c r="T779">
        <f t="shared" si="63"/>
        <v>5.3612999999999991</v>
      </c>
      <c r="U779" s="33">
        <f t="shared" si="64"/>
        <v>9</v>
      </c>
    </row>
    <row r="780" spans="1:21" x14ac:dyDescent="0.25">
      <c r="A780" s="1" t="s">
        <v>1509</v>
      </c>
      <c r="B780" s="28">
        <v>43889</v>
      </c>
      <c r="C780" s="21" t="str">
        <f t="shared" si="61"/>
        <v>2020</v>
      </c>
      <c r="D780" s="19" t="str">
        <f t="shared" si="62"/>
        <v>February</v>
      </c>
      <c r="E780" s="3" t="s">
        <v>1510</v>
      </c>
      <c r="F780" s="3" t="str">
        <f>VLOOKUP(E780,Customers!$A$2:$I$1001,2,0)</f>
        <v>Cam Jewster</v>
      </c>
      <c r="G780" s="3" t="str">
        <f>VLOOKUP(E780,Customers!$A$2:$I$1001,3,0)</f>
        <v>cjewsterlu@moonfruit.com</v>
      </c>
      <c r="H780" s="3" t="str">
        <f>VLOOKUP(E780,Customers!$A$2:$I$1001,4,0)</f>
        <v>+1 (937) 925-7390</v>
      </c>
      <c r="I780" s="25" t="str">
        <f>VLOOKUP(E780,Customers!$A$2:$I$1001,6,0)</f>
        <v>Dayton</v>
      </c>
      <c r="J780" s="25" t="str">
        <f>VLOOKUP(E780,Customers!$A$2:$I$1001,7,0)</f>
        <v>United States</v>
      </c>
      <c r="K780" s="23" t="str">
        <f>VLOOKUP(E780,Customers!$A$2:$I$1001,9,0)</f>
        <v>Yes</v>
      </c>
      <c r="L780" s="4" t="s">
        <v>83</v>
      </c>
      <c r="M780" s="4" t="str">
        <f>VLOOKUP(L780,Products!$A$2:$G$49,2,0)</f>
        <v>Liberica</v>
      </c>
      <c r="N780" s="4" t="str">
        <f>VLOOKUP(L780,Products!$A$2:$G$49,3,0)</f>
        <v>Light</v>
      </c>
      <c r="O780" s="25">
        <v>2</v>
      </c>
      <c r="P780" s="5">
        <f>INDEX([1]products!$A$1:$G$49,MATCH([1]orders!$D780,[1]products!$A$1:$A$49,0),MATCH([1]orders!K$1,[1]products!$A$1:$G$1,0))</f>
        <v>0.5</v>
      </c>
      <c r="Q780" s="6">
        <f>INDEX([1]products!$A$1:$G$49,MATCH([1]orders!$D780,[1]products!$A$1:$A$49,0),MATCH([1]orders!L$1,[1]products!$A$1:$G$1,0))</f>
        <v>9.51</v>
      </c>
      <c r="R780" s="6">
        <f t="shared" si="60"/>
        <v>19.02</v>
      </c>
      <c r="S780">
        <f>VLOOKUP(L780,Products!$A$2:$G$49,7,0)</f>
        <v>1.2363</v>
      </c>
      <c r="T780">
        <f t="shared" si="63"/>
        <v>2.4725999999999999</v>
      </c>
      <c r="U780" s="33">
        <f t="shared" si="64"/>
        <v>13</v>
      </c>
    </row>
    <row r="781" spans="1:21" x14ac:dyDescent="0.25">
      <c r="A781" s="1" t="s">
        <v>1511</v>
      </c>
      <c r="B781" s="28">
        <v>43985</v>
      </c>
      <c r="C781" s="21" t="str">
        <f t="shared" si="61"/>
        <v>2020</v>
      </c>
      <c r="D781" s="19" t="str">
        <f t="shared" si="62"/>
        <v>June</v>
      </c>
      <c r="E781" s="3" t="s">
        <v>1512</v>
      </c>
      <c r="F781" s="3" t="str">
        <f>VLOOKUP(E781,Customers!$A$2:$I$1001,2,0)</f>
        <v>Ugo Southerden</v>
      </c>
      <c r="G781" s="3" t="str">
        <f>VLOOKUP(E781,Customers!$A$2:$I$1001,3,0)</f>
        <v>usoutherdenln@hao123.com</v>
      </c>
      <c r="H781" s="3" t="str">
        <f>VLOOKUP(E781,Customers!$A$2:$I$1001,4,0)</f>
        <v>+1 (786) 490-0037</v>
      </c>
      <c r="I781" s="25" t="str">
        <f>VLOOKUP(E781,Customers!$A$2:$I$1001,6,0)</f>
        <v>Clearwater</v>
      </c>
      <c r="J781" s="25" t="str">
        <f>VLOOKUP(E781,Customers!$A$2:$I$1001,7,0)</f>
        <v>United States</v>
      </c>
      <c r="K781" s="23" t="str">
        <f>VLOOKUP(E781,Customers!$A$2:$I$1001,9,0)</f>
        <v>Yes</v>
      </c>
      <c r="L781" s="4" t="s">
        <v>13</v>
      </c>
      <c r="M781" s="4" t="str">
        <f>VLOOKUP(L781,Products!$A$2:$G$49,2,0)</f>
        <v>Liberica</v>
      </c>
      <c r="N781" s="4" t="str">
        <f>VLOOKUP(L781,Products!$A$2:$G$49,3,0)</f>
        <v>Dark</v>
      </c>
      <c r="O781" s="25">
        <v>6</v>
      </c>
      <c r="P781" s="5">
        <f>INDEX([1]products!$A$1:$G$49,MATCH([1]orders!$D781,[1]products!$A$1:$A$49,0),MATCH([1]orders!K$1,[1]products!$A$1:$G$1,0))</f>
        <v>1</v>
      </c>
      <c r="Q781" s="6">
        <f>INDEX([1]products!$A$1:$G$49,MATCH([1]orders!$D781,[1]products!$A$1:$A$49,0),MATCH([1]orders!L$1,[1]products!$A$1:$G$1,0))</f>
        <v>12.95</v>
      </c>
      <c r="R781" s="6">
        <f t="shared" si="60"/>
        <v>77.699999999999989</v>
      </c>
      <c r="S781">
        <f>VLOOKUP(L781,Products!$A$2:$G$49,7,0)</f>
        <v>1.6835</v>
      </c>
      <c r="T781">
        <f t="shared" si="63"/>
        <v>10.100999999999999</v>
      </c>
      <c r="U781" s="33">
        <f t="shared" si="64"/>
        <v>13</v>
      </c>
    </row>
    <row r="782" spans="1:21" x14ac:dyDescent="0.25">
      <c r="A782" s="1" t="s">
        <v>1513</v>
      </c>
      <c r="B782" s="28">
        <v>43883</v>
      </c>
      <c r="C782" s="21" t="str">
        <f t="shared" si="61"/>
        <v>2020</v>
      </c>
      <c r="D782" s="19" t="str">
        <f t="shared" si="62"/>
        <v>February</v>
      </c>
      <c r="E782" s="3" t="s">
        <v>1514</v>
      </c>
      <c r="F782" s="3" t="str">
        <f>VLOOKUP(E782,Customers!$A$2:$I$1001,2,0)</f>
        <v>Verne Dunkerley</v>
      </c>
      <c r="G782" s="3" t="str">
        <f>VLOOKUP(E782,Customers!$A$2:$I$1001,3,0)</f>
        <v>UNKNOWN</v>
      </c>
      <c r="H782" s="3" t="str">
        <f>VLOOKUP(E782,Customers!$A$2:$I$1001,4,0)</f>
        <v>+1 (763) 806-0186</v>
      </c>
      <c r="I782" s="25" t="str">
        <f>VLOOKUP(E782,Customers!$A$2:$I$1001,6,0)</f>
        <v>Minneapolis</v>
      </c>
      <c r="J782" s="25" t="str">
        <f>VLOOKUP(E782,Customers!$A$2:$I$1001,7,0)</f>
        <v>United States</v>
      </c>
      <c r="K782" s="23" t="str">
        <f>VLOOKUP(E782,Customers!$A$2:$I$1001,9,0)</f>
        <v>No</v>
      </c>
      <c r="L782" s="4" t="s">
        <v>9</v>
      </c>
      <c r="M782" s="4" t="str">
        <f>VLOOKUP(L782,Products!$A$2:$G$49,2,0)</f>
        <v>Excelsa</v>
      </c>
      <c r="N782" s="4" t="str">
        <f>VLOOKUP(L782,Products!$A$2:$G$49,3,0)</f>
        <v>Medium</v>
      </c>
      <c r="O782" s="25">
        <v>3</v>
      </c>
      <c r="P782" s="5">
        <f>INDEX([1]products!$A$1:$G$49,MATCH([1]orders!$D782,[1]products!$A$1:$A$49,0),MATCH([1]orders!K$1,[1]products!$A$1:$G$1,0))</f>
        <v>1</v>
      </c>
      <c r="Q782" s="6">
        <f>INDEX([1]products!$A$1:$G$49,MATCH([1]orders!$D782,[1]products!$A$1:$A$49,0),MATCH([1]orders!L$1,[1]products!$A$1:$G$1,0))</f>
        <v>13.75</v>
      </c>
      <c r="R782" s="6">
        <f t="shared" si="60"/>
        <v>41.25</v>
      </c>
      <c r="S782">
        <f>VLOOKUP(L782,Products!$A$2:$G$49,7,0)</f>
        <v>1.5125</v>
      </c>
      <c r="T782">
        <f t="shared" si="63"/>
        <v>4.5374999999999996</v>
      </c>
      <c r="U782" s="33">
        <f t="shared" si="64"/>
        <v>10.999999999999998</v>
      </c>
    </row>
    <row r="783" spans="1:21" x14ac:dyDescent="0.25">
      <c r="A783" s="1" t="s">
        <v>1515</v>
      </c>
      <c r="B783" s="28">
        <v>43778</v>
      </c>
      <c r="C783" s="21" t="str">
        <f t="shared" si="61"/>
        <v>2019</v>
      </c>
      <c r="D783" s="19" t="str">
        <f t="shared" si="62"/>
        <v>November</v>
      </c>
      <c r="E783" s="3" t="s">
        <v>1516</v>
      </c>
      <c r="F783" s="3" t="str">
        <f>VLOOKUP(E783,Customers!$A$2:$I$1001,2,0)</f>
        <v>Lacee Burtenshaw</v>
      </c>
      <c r="G783" s="3" t="str">
        <f>VLOOKUP(E783,Customers!$A$2:$I$1001,3,0)</f>
        <v>lburtenshawlp@shinystat.com</v>
      </c>
      <c r="H783" s="3" t="str">
        <f>VLOOKUP(E783,Customers!$A$2:$I$1001,4,0)</f>
        <v>+1 (678) 536-4251</v>
      </c>
      <c r="I783" s="25" t="str">
        <f>VLOOKUP(E783,Customers!$A$2:$I$1001,6,0)</f>
        <v>Lawrenceville</v>
      </c>
      <c r="J783" s="25" t="str">
        <f>VLOOKUP(E783,Customers!$A$2:$I$1001,7,0)</f>
        <v>United States</v>
      </c>
      <c r="K783" s="23" t="str">
        <f>VLOOKUP(E783,Customers!$A$2:$I$1001,9,0)</f>
        <v>No</v>
      </c>
      <c r="L783" s="4" t="s">
        <v>104</v>
      </c>
      <c r="M783" s="4" t="str">
        <f>VLOOKUP(L783,Products!$A$2:$G$49,2,0)</f>
        <v>Liberica</v>
      </c>
      <c r="N783" s="4" t="str">
        <f>VLOOKUP(L783,Products!$A$2:$G$49,3,0)</f>
        <v>Light</v>
      </c>
      <c r="O783" s="25">
        <v>4</v>
      </c>
      <c r="P783" s="5">
        <f>INDEX([1]products!$A$1:$G$49,MATCH([1]orders!$D783,[1]products!$A$1:$A$49,0),MATCH([1]orders!K$1,[1]products!$A$1:$G$1,0))</f>
        <v>2.5</v>
      </c>
      <c r="Q783" s="6">
        <f>INDEX([1]products!$A$1:$G$49,MATCH([1]orders!$D783,[1]products!$A$1:$A$49,0),MATCH([1]orders!L$1,[1]products!$A$1:$G$1,0))</f>
        <v>36.454999999999998</v>
      </c>
      <c r="R783" s="6">
        <f t="shared" si="60"/>
        <v>145.82</v>
      </c>
      <c r="S783">
        <f>VLOOKUP(L783,Products!$A$2:$G$49,7,0)</f>
        <v>4.7391499999999995</v>
      </c>
      <c r="T783">
        <f t="shared" si="63"/>
        <v>18.956599999999998</v>
      </c>
      <c r="U783" s="33">
        <f t="shared" si="64"/>
        <v>13</v>
      </c>
    </row>
    <row r="784" spans="1:21" x14ac:dyDescent="0.25">
      <c r="A784" s="1" t="s">
        <v>1517</v>
      </c>
      <c r="B784" s="28">
        <v>43897</v>
      </c>
      <c r="C784" s="21" t="str">
        <f t="shared" si="61"/>
        <v>2020</v>
      </c>
      <c r="D784" s="19" t="str">
        <f t="shared" si="62"/>
        <v>March</v>
      </c>
      <c r="E784" s="3" t="s">
        <v>1518</v>
      </c>
      <c r="F784" s="3" t="str">
        <f>VLOOKUP(E784,Customers!$A$2:$I$1001,2,0)</f>
        <v>Adorne Gregoratti</v>
      </c>
      <c r="G784" s="3" t="str">
        <f>VLOOKUP(E784,Customers!$A$2:$I$1001,3,0)</f>
        <v>agregorattilq@vistaprint.com</v>
      </c>
      <c r="H784" s="3" t="str">
        <f>VLOOKUP(E784,Customers!$A$2:$I$1001,4,0)</f>
        <v>+353 (773) 508-6581</v>
      </c>
      <c r="I784" s="25" t="str">
        <f>VLOOKUP(E784,Customers!$A$2:$I$1001,6,0)</f>
        <v>Malahide</v>
      </c>
      <c r="J784" s="25" t="str">
        <f>VLOOKUP(E784,Customers!$A$2:$I$1001,7,0)</f>
        <v>Ireland</v>
      </c>
      <c r="K784" s="23" t="str">
        <f>VLOOKUP(E784,Customers!$A$2:$I$1001,9,0)</f>
        <v>No</v>
      </c>
      <c r="L784" s="4" t="s">
        <v>254</v>
      </c>
      <c r="M784" s="4" t="str">
        <f>VLOOKUP(L784,Products!$A$2:$G$49,2,0)</f>
        <v>Excelsa</v>
      </c>
      <c r="N784" s="4" t="str">
        <f>VLOOKUP(L784,Products!$A$2:$G$49,3,0)</f>
        <v>Light</v>
      </c>
      <c r="O784" s="25">
        <v>6</v>
      </c>
      <c r="P784" s="5">
        <f>INDEX([1]products!$A$1:$G$49,MATCH([1]orders!$D784,[1]products!$A$1:$A$49,0),MATCH([1]orders!K$1,[1]products!$A$1:$G$1,0))</f>
        <v>0.2</v>
      </c>
      <c r="Q784" s="6">
        <f>INDEX([1]products!$A$1:$G$49,MATCH([1]orders!$D784,[1]products!$A$1:$A$49,0),MATCH([1]orders!L$1,[1]products!$A$1:$G$1,0))</f>
        <v>4.4550000000000001</v>
      </c>
      <c r="R784" s="6">
        <f t="shared" si="60"/>
        <v>26.73</v>
      </c>
      <c r="S784">
        <f>VLOOKUP(L784,Products!$A$2:$G$49,7,0)</f>
        <v>0.49004999999999999</v>
      </c>
      <c r="T784">
        <f t="shared" si="63"/>
        <v>2.9402999999999997</v>
      </c>
      <c r="U784" s="33">
        <f t="shared" si="64"/>
        <v>10.999999999999998</v>
      </c>
    </row>
    <row r="785" spans="1:21" x14ac:dyDescent="0.25">
      <c r="A785" s="1" t="s">
        <v>1519</v>
      </c>
      <c r="B785" s="28">
        <v>44312</v>
      </c>
      <c r="C785" s="21" t="str">
        <f t="shared" si="61"/>
        <v>2021</v>
      </c>
      <c r="D785" s="19" t="str">
        <f t="shared" si="62"/>
        <v>April</v>
      </c>
      <c r="E785" s="3" t="s">
        <v>1520</v>
      </c>
      <c r="F785" s="3" t="str">
        <f>VLOOKUP(E785,Customers!$A$2:$I$1001,2,0)</f>
        <v>Chris Croster</v>
      </c>
      <c r="G785" s="3" t="str">
        <f>VLOOKUP(E785,Customers!$A$2:$I$1001,3,0)</f>
        <v>ccrosterlr@gov.uk</v>
      </c>
      <c r="H785" s="3" t="str">
        <f>VLOOKUP(E785,Customers!$A$2:$I$1001,4,0)</f>
        <v>+1 (813) 621-3097</v>
      </c>
      <c r="I785" s="25" t="str">
        <f>VLOOKUP(E785,Customers!$A$2:$I$1001,6,0)</f>
        <v>Tampa</v>
      </c>
      <c r="J785" s="25" t="str">
        <f>VLOOKUP(E785,Customers!$A$2:$I$1001,7,0)</f>
        <v>United States</v>
      </c>
      <c r="K785" s="23" t="str">
        <f>VLOOKUP(E785,Customers!$A$2:$I$1001,9,0)</f>
        <v>Yes</v>
      </c>
      <c r="L785" s="4" t="s">
        <v>78</v>
      </c>
      <c r="M785" s="4" t="str">
        <f>VLOOKUP(L785,Products!$A$2:$G$49,2,0)</f>
        <v>Liberica</v>
      </c>
      <c r="N785" s="4" t="str">
        <f>VLOOKUP(L785,Products!$A$2:$G$49,3,0)</f>
        <v>Medium</v>
      </c>
      <c r="O785" s="25">
        <v>5</v>
      </c>
      <c r="P785" s="5">
        <f>INDEX([1]products!$A$1:$G$49,MATCH([1]orders!$D785,[1]products!$A$1:$A$49,0),MATCH([1]orders!K$1,[1]products!$A$1:$G$1,0))</f>
        <v>0.5</v>
      </c>
      <c r="Q785" s="6">
        <f>INDEX([1]products!$A$1:$G$49,MATCH([1]orders!$D785,[1]products!$A$1:$A$49,0),MATCH([1]orders!L$1,[1]products!$A$1:$G$1,0))</f>
        <v>8.73</v>
      </c>
      <c r="R785" s="6">
        <f t="shared" si="60"/>
        <v>43.650000000000006</v>
      </c>
      <c r="S785">
        <f>VLOOKUP(L785,Products!$A$2:$G$49,7,0)</f>
        <v>1.1349</v>
      </c>
      <c r="T785">
        <f t="shared" si="63"/>
        <v>5.6745000000000001</v>
      </c>
      <c r="U785" s="33">
        <f t="shared" si="64"/>
        <v>12.999999999999998</v>
      </c>
    </row>
    <row r="786" spans="1:21" x14ac:dyDescent="0.25">
      <c r="A786" s="1" t="s">
        <v>1521</v>
      </c>
      <c r="B786" s="28">
        <v>44511</v>
      </c>
      <c r="C786" s="21" t="str">
        <f t="shared" si="61"/>
        <v>2021</v>
      </c>
      <c r="D786" s="19" t="str">
        <f t="shared" si="62"/>
        <v>November</v>
      </c>
      <c r="E786" s="3" t="s">
        <v>1522</v>
      </c>
      <c r="F786" s="3" t="str">
        <f>VLOOKUP(E786,Customers!$A$2:$I$1001,2,0)</f>
        <v>Graeme Whitehead</v>
      </c>
      <c r="G786" s="3" t="str">
        <f>VLOOKUP(E786,Customers!$A$2:$I$1001,3,0)</f>
        <v>gwhiteheadls@hp.com</v>
      </c>
      <c r="H786" s="3" t="str">
        <f>VLOOKUP(E786,Customers!$A$2:$I$1001,4,0)</f>
        <v>UNKNOWN</v>
      </c>
      <c r="I786" s="25" t="str">
        <f>VLOOKUP(E786,Customers!$A$2:$I$1001,6,0)</f>
        <v>Nashville</v>
      </c>
      <c r="J786" s="25" t="str">
        <f>VLOOKUP(E786,Customers!$A$2:$I$1001,7,0)</f>
        <v>United States</v>
      </c>
      <c r="K786" s="23" t="str">
        <f>VLOOKUP(E786,Customers!$A$2:$I$1001,9,0)</f>
        <v>No</v>
      </c>
      <c r="L786" s="4" t="s">
        <v>132</v>
      </c>
      <c r="M786" s="4" t="str">
        <f>VLOOKUP(L786,Products!$A$2:$G$49,2,0)</f>
        <v>Liberica</v>
      </c>
      <c r="N786" s="4" t="str">
        <f>VLOOKUP(L786,Products!$A$2:$G$49,3,0)</f>
        <v>Light</v>
      </c>
      <c r="O786" s="25">
        <v>2</v>
      </c>
      <c r="P786" s="5">
        <f>INDEX([1]products!$A$1:$G$49,MATCH([1]orders!$D786,[1]products!$A$1:$A$49,0),MATCH([1]orders!K$1,[1]products!$A$1:$G$1,0))</f>
        <v>1</v>
      </c>
      <c r="Q786" s="6">
        <f>INDEX([1]products!$A$1:$G$49,MATCH([1]orders!$D786,[1]products!$A$1:$A$49,0),MATCH([1]orders!L$1,[1]products!$A$1:$G$1,0))</f>
        <v>15.85</v>
      </c>
      <c r="R786" s="6">
        <f t="shared" si="60"/>
        <v>31.7</v>
      </c>
      <c r="S786">
        <f>VLOOKUP(L786,Products!$A$2:$G$49,7,0)</f>
        <v>2.0605000000000002</v>
      </c>
      <c r="T786">
        <f t="shared" si="63"/>
        <v>4.1210000000000004</v>
      </c>
      <c r="U786" s="33">
        <f t="shared" si="64"/>
        <v>13</v>
      </c>
    </row>
    <row r="787" spans="1:21" x14ac:dyDescent="0.25">
      <c r="A787" s="1" t="s">
        <v>1523</v>
      </c>
      <c r="B787" s="28">
        <v>44362</v>
      </c>
      <c r="C787" s="21" t="str">
        <f t="shared" si="61"/>
        <v>2021</v>
      </c>
      <c r="D787" s="19" t="str">
        <f t="shared" si="62"/>
        <v>June</v>
      </c>
      <c r="E787" s="3" t="s">
        <v>1524</v>
      </c>
      <c r="F787" s="3" t="str">
        <f>VLOOKUP(E787,Customers!$A$2:$I$1001,2,0)</f>
        <v>Haslett Jodrelle</v>
      </c>
      <c r="G787" s="3" t="str">
        <f>VLOOKUP(E787,Customers!$A$2:$I$1001,3,0)</f>
        <v>hjodrellelt@samsung.com</v>
      </c>
      <c r="H787" s="3" t="str">
        <f>VLOOKUP(E787,Customers!$A$2:$I$1001,4,0)</f>
        <v>+1 (305) 334-0992</v>
      </c>
      <c r="I787" s="25" t="str">
        <f>VLOOKUP(E787,Customers!$A$2:$I$1001,6,0)</f>
        <v>Miami</v>
      </c>
      <c r="J787" s="25" t="str">
        <f>VLOOKUP(E787,Customers!$A$2:$I$1001,7,0)</f>
        <v>United States</v>
      </c>
      <c r="K787" s="23" t="str">
        <f>VLOOKUP(E787,Customers!$A$2:$I$1001,9,0)</f>
        <v>No</v>
      </c>
      <c r="L787" s="4" t="s">
        <v>118</v>
      </c>
      <c r="M787" s="4" t="str">
        <f>VLOOKUP(L787,Products!$A$2:$G$49,2,0)</f>
        <v>Arabica</v>
      </c>
      <c r="N787" s="4" t="str">
        <f>VLOOKUP(L787,Products!$A$2:$G$49,3,0)</f>
        <v>Dark</v>
      </c>
      <c r="O787" s="25">
        <v>1</v>
      </c>
      <c r="P787" s="5">
        <f>INDEX([1]products!$A$1:$G$49,MATCH([1]orders!$D787,[1]products!$A$1:$A$49,0),MATCH([1]orders!K$1,[1]products!$A$1:$G$1,0))</f>
        <v>2.5</v>
      </c>
      <c r="Q787" s="6">
        <f>INDEX([1]products!$A$1:$G$49,MATCH([1]orders!$D787,[1]products!$A$1:$A$49,0),MATCH([1]orders!L$1,[1]products!$A$1:$G$1,0))</f>
        <v>22.884999999999998</v>
      </c>
      <c r="R787" s="6">
        <f t="shared" si="60"/>
        <v>22.884999999999998</v>
      </c>
      <c r="S787">
        <f>VLOOKUP(L787,Products!$A$2:$G$49,7,0)</f>
        <v>2.0596499999999995</v>
      </c>
      <c r="T787">
        <f t="shared" si="63"/>
        <v>2.0596499999999995</v>
      </c>
      <c r="U787" s="33">
        <f t="shared" si="64"/>
        <v>8.9999999999999982</v>
      </c>
    </row>
    <row r="788" spans="1:21" x14ac:dyDescent="0.25">
      <c r="A788" s="1" t="s">
        <v>1525</v>
      </c>
      <c r="B788" s="28">
        <v>43888</v>
      </c>
      <c r="C788" s="21" t="str">
        <f t="shared" si="61"/>
        <v>2020</v>
      </c>
      <c r="D788" s="19" t="str">
        <f t="shared" si="62"/>
        <v>February</v>
      </c>
      <c r="E788" s="3" t="s">
        <v>1510</v>
      </c>
      <c r="F788" s="3" t="str">
        <f>VLOOKUP(E788,Customers!$A$2:$I$1001,2,0)</f>
        <v>Cam Jewster</v>
      </c>
      <c r="G788" s="3" t="str">
        <f>VLOOKUP(E788,Customers!$A$2:$I$1001,3,0)</f>
        <v>cjewsterlu@moonfruit.com</v>
      </c>
      <c r="H788" s="3" t="str">
        <f>VLOOKUP(E788,Customers!$A$2:$I$1001,4,0)</f>
        <v>+1 (937) 925-7390</v>
      </c>
      <c r="I788" s="25" t="str">
        <f>VLOOKUP(E788,Customers!$A$2:$I$1001,6,0)</f>
        <v>Dayton</v>
      </c>
      <c r="J788" s="25" t="str">
        <f>VLOOKUP(E788,Customers!$A$2:$I$1001,7,0)</f>
        <v>United States</v>
      </c>
      <c r="K788" s="23" t="str">
        <f>VLOOKUP(E788,Customers!$A$2:$I$1001,9,0)</f>
        <v>Yes</v>
      </c>
      <c r="L788" s="4" t="s">
        <v>530</v>
      </c>
      <c r="M788" s="4" t="str">
        <f>VLOOKUP(L788,Products!$A$2:$G$49,2,0)</f>
        <v>Excelsa</v>
      </c>
      <c r="N788" s="4" t="str">
        <f>VLOOKUP(L788,Products!$A$2:$G$49,3,0)</f>
        <v>Dark</v>
      </c>
      <c r="O788" s="25">
        <v>1</v>
      </c>
      <c r="P788" s="5">
        <f>INDEX([1]products!$A$1:$G$49,MATCH([1]orders!$D788,[1]products!$A$1:$A$49,0),MATCH([1]orders!K$1,[1]products!$A$1:$G$1,0))</f>
        <v>2.5</v>
      </c>
      <c r="Q788" s="6">
        <f>INDEX([1]products!$A$1:$G$49,MATCH([1]orders!$D788,[1]products!$A$1:$A$49,0),MATCH([1]orders!L$1,[1]products!$A$1:$G$1,0))</f>
        <v>27.945</v>
      </c>
      <c r="R788" s="6">
        <f t="shared" si="60"/>
        <v>27.945</v>
      </c>
      <c r="S788">
        <f>VLOOKUP(L788,Products!$A$2:$G$49,7,0)</f>
        <v>3.07395</v>
      </c>
      <c r="T788">
        <f t="shared" si="63"/>
        <v>3.07395</v>
      </c>
      <c r="U788" s="33">
        <f t="shared" si="64"/>
        <v>11</v>
      </c>
    </row>
    <row r="789" spans="1:21" x14ac:dyDescent="0.25">
      <c r="A789" s="1" t="s">
        <v>1526</v>
      </c>
      <c r="B789" s="28">
        <v>44305</v>
      </c>
      <c r="C789" s="21" t="str">
        <f t="shared" si="61"/>
        <v>2021</v>
      </c>
      <c r="D789" s="19" t="str">
        <f t="shared" si="62"/>
        <v>April</v>
      </c>
      <c r="E789" s="3" t="s">
        <v>1527</v>
      </c>
      <c r="F789" s="3" t="str">
        <f>VLOOKUP(E789,Customers!$A$2:$I$1001,2,0)</f>
        <v>Beryl Osborn</v>
      </c>
      <c r="G789" s="3" t="str">
        <f>VLOOKUP(E789,Customers!$A$2:$I$1001,3,0)</f>
        <v>UNKNOWN</v>
      </c>
      <c r="H789" s="3" t="str">
        <f>VLOOKUP(E789,Customers!$A$2:$I$1001,4,0)</f>
        <v>+1 (312) 648-4940</v>
      </c>
      <c r="I789" s="25" t="str">
        <f>VLOOKUP(E789,Customers!$A$2:$I$1001,6,0)</f>
        <v>Chicago</v>
      </c>
      <c r="J789" s="25" t="str">
        <f>VLOOKUP(E789,Customers!$A$2:$I$1001,7,0)</f>
        <v>United States</v>
      </c>
      <c r="K789" s="23" t="str">
        <f>VLOOKUP(E789,Customers!$A$2:$I$1001,9,0)</f>
        <v>Yes</v>
      </c>
      <c r="L789" s="4" t="s">
        <v>9</v>
      </c>
      <c r="M789" s="4" t="str">
        <f>VLOOKUP(L789,Products!$A$2:$G$49,2,0)</f>
        <v>Excelsa</v>
      </c>
      <c r="N789" s="4" t="str">
        <f>VLOOKUP(L789,Products!$A$2:$G$49,3,0)</f>
        <v>Medium</v>
      </c>
      <c r="O789" s="25">
        <v>6</v>
      </c>
      <c r="P789" s="5">
        <f>INDEX([1]products!$A$1:$G$49,MATCH([1]orders!$D789,[1]products!$A$1:$A$49,0),MATCH([1]orders!K$1,[1]products!$A$1:$G$1,0))</f>
        <v>1</v>
      </c>
      <c r="Q789" s="6">
        <f>INDEX([1]products!$A$1:$G$49,MATCH([1]orders!$D789,[1]products!$A$1:$A$49,0),MATCH([1]orders!L$1,[1]products!$A$1:$G$1,0))</f>
        <v>13.75</v>
      </c>
      <c r="R789" s="6">
        <f t="shared" si="60"/>
        <v>82.5</v>
      </c>
      <c r="S789">
        <f>VLOOKUP(L789,Products!$A$2:$G$49,7,0)</f>
        <v>1.5125</v>
      </c>
      <c r="T789">
        <f t="shared" si="63"/>
        <v>9.0749999999999993</v>
      </c>
      <c r="U789" s="33">
        <f t="shared" si="64"/>
        <v>10.999999999999998</v>
      </c>
    </row>
    <row r="790" spans="1:21" x14ac:dyDescent="0.25">
      <c r="A790" s="1" t="s">
        <v>1528</v>
      </c>
      <c r="B790" s="28">
        <v>44771</v>
      </c>
      <c r="C790" s="21" t="str">
        <f t="shared" si="61"/>
        <v>2022</v>
      </c>
      <c r="D790" s="19" t="str">
        <f t="shared" si="62"/>
        <v>July</v>
      </c>
      <c r="E790" s="3" t="s">
        <v>1529</v>
      </c>
      <c r="F790" s="3" t="str">
        <f>VLOOKUP(E790,Customers!$A$2:$I$1001,2,0)</f>
        <v>Kaela Nottram</v>
      </c>
      <c r="G790" s="3" t="str">
        <f>VLOOKUP(E790,Customers!$A$2:$I$1001,3,0)</f>
        <v>knottramlw@odnoklassniki.ru</v>
      </c>
      <c r="H790" s="3" t="str">
        <f>VLOOKUP(E790,Customers!$A$2:$I$1001,4,0)</f>
        <v>+353 (549) 358-7019</v>
      </c>
      <c r="I790" s="25" t="str">
        <f>VLOOKUP(E790,Customers!$A$2:$I$1001,6,0)</f>
        <v>Arklow</v>
      </c>
      <c r="J790" s="25" t="str">
        <f>VLOOKUP(E790,Customers!$A$2:$I$1001,7,0)</f>
        <v>Ireland</v>
      </c>
      <c r="K790" s="23" t="str">
        <f>VLOOKUP(E790,Customers!$A$2:$I$1001,9,0)</f>
        <v>Yes</v>
      </c>
      <c r="L790" s="4" t="s">
        <v>41</v>
      </c>
      <c r="M790" s="4" t="str">
        <f>VLOOKUP(L790,Products!$A$2:$G$49,2,0)</f>
        <v>Robusta</v>
      </c>
      <c r="N790" s="4" t="str">
        <f>VLOOKUP(L790,Products!$A$2:$G$49,3,0)</f>
        <v>Medium</v>
      </c>
      <c r="O790" s="25">
        <v>2</v>
      </c>
      <c r="P790" s="5">
        <f>INDEX([1]products!$A$1:$G$49,MATCH([1]orders!$D790,[1]products!$A$1:$A$49,0),MATCH([1]orders!K$1,[1]products!$A$1:$G$1,0))</f>
        <v>2.5</v>
      </c>
      <c r="Q790" s="6">
        <f>INDEX([1]products!$A$1:$G$49,MATCH([1]orders!$D790,[1]products!$A$1:$A$49,0),MATCH([1]orders!L$1,[1]products!$A$1:$G$1,0))</f>
        <v>22.884999999999998</v>
      </c>
      <c r="R790" s="6">
        <f t="shared" si="60"/>
        <v>45.769999999999996</v>
      </c>
      <c r="S790">
        <f>VLOOKUP(L790,Products!$A$2:$G$49,7,0)</f>
        <v>1.3730999999999998</v>
      </c>
      <c r="T790">
        <f t="shared" si="63"/>
        <v>2.7461999999999995</v>
      </c>
      <c r="U790" s="33">
        <f t="shared" si="64"/>
        <v>6</v>
      </c>
    </row>
    <row r="791" spans="1:21" x14ac:dyDescent="0.25">
      <c r="A791" s="1" t="s">
        <v>1530</v>
      </c>
      <c r="B791" s="28">
        <v>43485</v>
      </c>
      <c r="C791" s="21" t="str">
        <f t="shared" si="61"/>
        <v>2019</v>
      </c>
      <c r="D791" s="19" t="str">
        <f t="shared" si="62"/>
        <v>January</v>
      </c>
      <c r="E791" s="3" t="s">
        <v>1531</v>
      </c>
      <c r="F791" s="3" t="str">
        <f>VLOOKUP(E791,Customers!$A$2:$I$1001,2,0)</f>
        <v>Nobe Buney</v>
      </c>
      <c r="G791" s="3" t="str">
        <f>VLOOKUP(E791,Customers!$A$2:$I$1001,3,0)</f>
        <v>nbuneylx@jugem.jp</v>
      </c>
      <c r="H791" s="3" t="str">
        <f>VLOOKUP(E791,Customers!$A$2:$I$1001,4,0)</f>
        <v>+1 (510) 973-7084</v>
      </c>
      <c r="I791" s="25" t="str">
        <f>VLOOKUP(E791,Customers!$A$2:$I$1001,6,0)</f>
        <v>Richmond</v>
      </c>
      <c r="J791" s="25" t="str">
        <f>VLOOKUP(E791,Customers!$A$2:$I$1001,7,0)</f>
        <v>United States</v>
      </c>
      <c r="K791" s="23" t="str">
        <f>VLOOKUP(E791,Customers!$A$2:$I$1001,9,0)</f>
        <v>No</v>
      </c>
      <c r="L791" s="4" t="s">
        <v>6</v>
      </c>
      <c r="M791" s="4" t="str">
        <f>VLOOKUP(L791,Products!$A$2:$G$49,2,0)</f>
        <v>Arabica</v>
      </c>
      <c r="N791" s="4" t="str">
        <f>VLOOKUP(L791,Products!$A$2:$G$49,3,0)</f>
        <v>Light</v>
      </c>
      <c r="O791" s="25">
        <v>6</v>
      </c>
      <c r="P791" s="5">
        <f>INDEX([1]products!$A$1:$G$49,MATCH([1]orders!$D791,[1]products!$A$1:$A$49,0),MATCH([1]orders!K$1,[1]products!$A$1:$G$1,0))</f>
        <v>1</v>
      </c>
      <c r="Q791" s="6">
        <f>INDEX([1]products!$A$1:$G$49,MATCH([1]orders!$D791,[1]products!$A$1:$A$49,0),MATCH([1]orders!L$1,[1]products!$A$1:$G$1,0))</f>
        <v>12.95</v>
      </c>
      <c r="R791" s="6">
        <f t="shared" si="60"/>
        <v>77.699999999999989</v>
      </c>
      <c r="S791">
        <f>VLOOKUP(L791,Products!$A$2:$G$49,7,0)</f>
        <v>1.1655</v>
      </c>
      <c r="T791">
        <f t="shared" si="63"/>
        <v>6.9930000000000003</v>
      </c>
      <c r="U791" s="33">
        <f t="shared" si="64"/>
        <v>9.0000000000000018</v>
      </c>
    </row>
    <row r="792" spans="1:21" x14ac:dyDescent="0.25">
      <c r="A792" s="1" t="s">
        <v>1532</v>
      </c>
      <c r="B792" s="28">
        <v>44613</v>
      </c>
      <c r="C792" s="21" t="str">
        <f t="shared" si="61"/>
        <v>2022</v>
      </c>
      <c r="D792" s="19" t="str">
        <f t="shared" si="62"/>
        <v>February</v>
      </c>
      <c r="E792" s="3" t="s">
        <v>1533</v>
      </c>
      <c r="F792" s="3" t="str">
        <f>VLOOKUP(E792,Customers!$A$2:$I$1001,2,0)</f>
        <v>Silvan McShea</v>
      </c>
      <c r="G792" s="3" t="str">
        <f>VLOOKUP(E792,Customers!$A$2:$I$1001,3,0)</f>
        <v>smcshealy@photobucket.com</v>
      </c>
      <c r="H792" s="3" t="str">
        <f>VLOOKUP(E792,Customers!$A$2:$I$1001,4,0)</f>
        <v>+1 (360) 578-2262</v>
      </c>
      <c r="I792" s="25" t="str">
        <f>VLOOKUP(E792,Customers!$A$2:$I$1001,6,0)</f>
        <v>Olympia</v>
      </c>
      <c r="J792" s="25" t="str">
        <f>VLOOKUP(E792,Customers!$A$2:$I$1001,7,0)</f>
        <v>United States</v>
      </c>
      <c r="K792" s="23" t="str">
        <f>VLOOKUP(E792,Customers!$A$2:$I$1001,9,0)</f>
        <v>No</v>
      </c>
      <c r="L792" s="4" t="s">
        <v>192</v>
      </c>
      <c r="M792" s="4" t="str">
        <f>VLOOKUP(L792,Products!$A$2:$G$49,2,0)</f>
        <v>Arabica</v>
      </c>
      <c r="N792" s="4" t="str">
        <f>VLOOKUP(L792,Products!$A$2:$G$49,3,0)</f>
        <v>Light</v>
      </c>
      <c r="O792" s="25">
        <v>3</v>
      </c>
      <c r="P792" s="5">
        <f>INDEX([1]products!$A$1:$G$49,MATCH([1]orders!$D792,[1]products!$A$1:$A$49,0),MATCH([1]orders!K$1,[1]products!$A$1:$G$1,0))</f>
        <v>0.5</v>
      </c>
      <c r="Q792" s="6">
        <f>INDEX([1]products!$A$1:$G$49,MATCH([1]orders!$D792,[1]products!$A$1:$A$49,0),MATCH([1]orders!L$1,[1]products!$A$1:$G$1,0))</f>
        <v>7.77</v>
      </c>
      <c r="R792" s="6">
        <f t="shared" si="60"/>
        <v>23.31</v>
      </c>
      <c r="S792">
        <f>VLOOKUP(L792,Products!$A$2:$G$49,7,0)</f>
        <v>0.69929999999999992</v>
      </c>
      <c r="T792">
        <f t="shared" si="63"/>
        <v>2.0978999999999997</v>
      </c>
      <c r="U792" s="33">
        <f t="shared" si="64"/>
        <v>9</v>
      </c>
    </row>
    <row r="793" spans="1:21" x14ac:dyDescent="0.25">
      <c r="A793" s="1" t="s">
        <v>1534</v>
      </c>
      <c r="B793" s="28">
        <v>43954</v>
      </c>
      <c r="C793" s="21" t="str">
        <f t="shared" si="61"/>
        <v>2020</v>
      </c>
      <c r="D793" s="19" t="str">
        <f t="shared" si="62"/>
        <v>May</v>
      </c>
      <c r="E793" s="3" t="s">
        <v>1535</v>
      </c>
      <c r="F793" s="3" t="str">
        <f>VLOOKUP(E793,Customers!$A$2:$I$1001,2,0)</f>
        <v>Karylin Huddart</v>
      </c>
      <c r="G793" s="3" t="str">
        <f>VLOOKUP(E793,Customers!$A$2:$I$1001,3,0)</f>
        <v>khuddartlz@about.com</v>
      </c>
      <c r="H793" s="3" t="str">
        <f>VLOOKUP(E793,Customers!$A$2:$I$1001,4,0)</f>
        <v>+1 (214) 931-4518</v>
      </c>
      <c r="I793" s="25" t="str">
        <f>VLOOKUP(E793,Customers!$A$2:$I$1001,6,0)</f>
        <v>Arlington</v>
      </c>
      <c r="J793" s="25" t="str">
        <f>VLOOKUP(E793,Customers!$A$2:$I$1001,7,0)</f>
        <v>United States</v>
      </c>
      <c r="K793" s="23" t="str">
        <f>VLOOKUP(E793,Customers!$A$2:$I$1001,9,0)</f>
        <v>Yes</v>
      </c>
      <c r="L793" s="4" t="s">
        <v>19</v>
      </c>
      <c r="M793" s="4" t="str">
        <f>VLOOKUP(L793,Products!$A$2:$G$49,2,0)</f>
        <v>Liberica</v>
      </c>
      <c r="N793" s="4" t="str">
        <f>VLOOKUP(L793,Products!$A$2:$G$49,3,0)</f>
        <v>Light</v>
      </c>
      <c r="O793" s="25">
        <v>5</v>
      </c>
      <c r="P793" s="5">
        <f>INDEX([1]products!$A$1:$G$49,MATCH([1]orders!$D793,[1]products!$A$1:$A$49,0),MATCH([1]orders!K$1,[1]products!$A$1:$G$1,0))</f>
        <v>0.2</v>
      </c>
      <c r="Q793" s="6">
        <f>INDEX([1]products!$A$1:$G$49,MATCH([1]orders!$D793,[1]products!$A$1:$A$49,0),MATCH([1]orders!L$1,[1]products!$A$1:$G$1,0))</f>
        <v>4.7549999999999999</v>
      </c>
      <c r="R793" s="6">
        <f t="shared" si="60"/>
        <v>23.774999999999999</v>
      </c>
      <c r="S793">
        <f>VLOOKUP(L793,Products!$A$2:$G$49,7,0)</f>
        <v>0.61814999999999998</v>
      </c>
      <c r="T793">
        <f t="shared" si="63"/>
        <v>3.0907499999999999</v>
      </c>
      <c r="U793" s="33">
        <f t="shared" si="64"/>
        <v>13</v>
      </c>
    </row>
    <row r="794" spans="1:21" x14ac:dyDescent="0.25">
      <c r="A794" s="1" t="s">
        <v>1536</v>
      </c>
      <c r="B794" s="28">
        <v>43545</v>
      </c>
      <c r="C794" s="21" t="str">
        <f t="shared" si="61"/>
        <v>2019</v>
      </c>
      <c r="D794" s="19" t="str">
        <f t="shared" si="62"/>
        <v>March</v>
      </c>
      <c r="E794" s="3" t="s">
        <v>1537</v>
      </c>
      <c r="F794" s="3" t="str">
        <f>VLOOKUP(E794,Customers!$A$2:$I$1001,2,0)</f>
        <v>Jereme Gippes</v>
      </c>
      <c r="G794" s="3" t="str">
        <f>VLOOKUP(E794,Customers!$A$2:$I$1001,3,0)</f>
        <v>jgippesm0@cloudflare.com</v>
      </c>
      <c r="H794" s="3" t="str">
        <f>VLOOKUP(E794,Customers!$A$2:$I$1001,4,0)</f>
        <v>+44 (185) 319-5850</v>
      </c>
      <c r="I794" s="25" t="str">
        <f>VLOOKUP(E794,Customers!$A$2:$I$1001,6,0)</f>
        <v>Twyford</v>
      </c>
      <c r="J794" s="25" t="str">
        <f>VLOOKUP(E794,Customers!$A$2:$I$1001,7,0)</f>
        <v>United Kingdom</v>
      </c>
      <c r="K794" s="23" t="str">
        <f>VLOOKUP(E794,Customers!$A$2:$I$1001,9,0)</f>
        <v>Yes</v>
      </c>
      <c r="L794" s="4" t="s">
        <v>78</v>
      </c>
      <c r="M794" s="4" t="str">
        <f>VLOOKUP(L794,Products!$A$2:$G$49,2,0)</f>
        <v>Liberica</v>
      </c>
      <c r="N794" s="4" t="str">
        <f>VLOOKUP(L794,Products!$A$2:$G$49,3,0)</f>
        <v>Medium</v>
      </c>
      <c r="O794" s="25">
        <v>6</v>
      </c>
      <c r="P794" s="5">
        <f>INDEX([1]products!$A$1:$G$49,MATCH([1]orders!$D794,[1]products!$A$1:$A$49,0),MATCH([1]orders!K$1,[1]products!$A$1:$G$1,0))</f>
        <v>0.5</v>
      </c>
      <c r="Q794" s="6">
        <f>INDEX([1]products!$A$1:$G$49,MATCH([1]orders!$D794,[1]products!$A$1:$A$49,0),MATCH([1]orders!L$1,[1]products!$A$1:$G$1,0))</f>
        <v>8.73</v>
      </c>
      <c r="R794" s="6">
        <f t="shared" si="60"/>
        <v>52.38</v>
      </c>
      <c r="S794">
        <f>VLOOKUP(L794,Products!$A$2:$G$49,7,0)</f>
        <v>1.1349</v>
      </c>
      <c r="T794">
        <f t="shared" si="63"/>
        <v>6.8094000000000001</v>
      </c>
      <c r="U794" s="33">
        <f t="shared" si="64"/>
        <v>13</v>
      </c>
    </row>
    <row r="795" spans="1:21" x14ac:dyDescent="0.25">
      <c r="A795" s="1" t="s">
        <v>1538</v>
      </c>
      <c r="B795" s="28">
        <v>43629</v>
      </c>
      <c r="C795" s="21" t="str">
        <f t="shared" si="61"/>
        <v>2019</v>
      </c>
      <c r="D795" s="19" t="str">
        <f t="shared" si="62"/>
        <v>June</v>
      </c>
      <c r="E795" s="3" t="s">
        <v>1539</v>
      </c>
      <c r="F795" s="3" t="str">
        <f>VLOOKUP(E795,Customers!$A$2:$I$1001,2,0)</f>
        <v>Lukas Whittlesee</v>
      </c>
      <c r="G795" s="3" t="str">
        <f>VLOOKUP(E795,Customers!$A$2:$I$1001,3,0)</f>
        <v>lwhittleseem1@e-recht24.de</v>
      </c>
      <c r="H795" s="3" t="str">
        <f>VLOOKUP(E795,Customers!$A$2:$I$1001,4,0)</f>
        <v>+1 (540) 413-9605</v>
      </c>
      <c r="I795" s="25" t="str">
        <f>VLOOKUP(E795,Customers!$A$2:$I$1001,6,0)</f>
        <v>Roanoke</v>
      </c>
      <c r="J795" s="25" t="str">
        <f>VLOOKUP(E795,Customers!$A$2:$I$1001,7,0)</f>
        <v>United States</v>
      </c>
      <c r="K795" s="23" t="str">
        <f>VLOOKUP(E795,Customers!$A$2:$I$1001,9,0)</f>
        <v>No</v>
      </c>
      <c r="L795" s="4" t="s">
        <v>182</v>
      </c>
      <c r="M795" s="4" t="str">
        <f>VLOOKUP(L795,Products!$A$2:$G$49,2,0)</f>
        <v>Robusta</v>
      </c>
      <c r="N795" s="4" t="str">
        <f>VLOOKUP(L795,Products!$A$2:$G$49,3,0)</f>
        <v>Light</v>
      </c>
      <c r="O795" s="25">
        <v>5</v>
      </c>
      <c r="P795" s="5">
        <f>INDEX([1]products!$A$1:$G$49,MATCH([1]orders!$D795,[1]products!$A$1:$A$49,0),MATCH([1]orders!K$1,[1]products!$A$1:$G$1,0))</f>
        <v>0.2</v>
      </c>
      <c r="Q795" s="6">
        <f>INDEX([1]products!$A$1:$G$49,MATCH([1]orders!$D795,[1]products!$A$1:$A$49,0),MATCH([1]orders!L$1,[1]products!$A$1:$G$1,0))</f>
        <v>3.5849999999999995</v>
      </c>
      <c r="R795" s="6">
        <f t="shared" si="60"/>
        <v>17.924999999999997</v>
      </c>
      <c r="S795">
        <f>VLOOKUP(L795,Products!$A$2:$G$49,7,0)</f>
        <v>0.21509999999999996</v>
      </c>
      <c r="T795">
        <f t="shared" si="63"/>
        <v>1.0754999999999999</v>
      </c>
      <c r="U795" s="33">
        <f t="shared" si="64"/>
        <v>6.0000000000000009</v>
      </c>
    </row>
    <row r="796" spans="1:21" x14ac:dyDescent="0.25">
      <c r="A796" s="1" t="s">
        <v>1540</v>
      </c>
      <c r="B796" s="28">
        <v>43987</v>
      </c>
      <c r="C796" s="21" t="str">
        <f t="shared" si="61"/>
        <v>2020</v>
      </c>
      <c r="D796" s="19" t="str">
        <f t="shared" si="62"/>
        <v>June</v>
      </c>
      <c r="E796" s="3" t="s">
        <v>1541</v>
      </c>
      <c r="F796" s="3" t="str">
        <f>VLOOKUP(E796,Customers!$A$2:$I$1001,2,0)</f>
        <v>Gregorius Trengrove</v>
      </c>
      <c r="G796" s="3" t="str">
        <f>VLOOKUP(E796,Customers!$A$2:$I$1001,3,0)</f>
        <v>gtrengrovem2@elpais.com</v>
      </c>
      <c r="H796" s="3" t="str">
        <f>VLOOKUP(E796,Customers!$A$2:$I$1001,4,0)</f>
        <v>+1 (516) 513-7620</v>
      </c>
      <c r="I796" s="25" t="str">
        <f>VLOOKUP(E796,Customers!$A$2:$I$1001,6,0)</f>
        <v>New Hyde Park</v>
      </c>
      <c r="J796" s="25" t="str">
        <f>VLOOKUP(E796,Customers!$A$2:$I$1001,7,0)</f>
        <v>United States</v>
      </c>
      <c r="K796" s="23" t="str">
        <f>VLOOKUP(E796,Customers!$A$2:$I$1001,9,0)</f>
        <v>No</v>
      </c>
      <c r="L796" s="4" t="s">
        <v>204</v>
      </c>
      <c r="M796" s="4" t="str">
        <f>VLOOKUP(L796,Products!$A$2:$G$49,2,0)</f>
        <v>Arabica</v>
      </c>
      <c r="N796" s="4" t="str">
        <f>VLOOKUP(L796,Products!$A$2:$G$49,3,0)</f>
        <v>Light</v>
      </c>
      <c r="O796" s="25">
        <v>5</v>
      </c>
      <c r="P796" s="5">
        <f>INDEX([1]products!$A$1:$G$49,MATCH([1]orders!$D796,[1]products!$A$1:$A$49,0),MATCH([1]orders!K$1,[1]products!$A$1:$G$1,0))</f>
        <v>2.5</v>
      </c>
      <c r="Q796" s="6">
        <f>INDEX([1]products!$A$1:$G$49,MATCH([1]orders!$D796,[1]products!$A$1:$A$49,0),MATCH([1]orders!L$1,[1]products!$A$1:$G$1,0))</f>
        <v>29.784999999999997</v>
      </c>
      <c r="R796" s="6">
        <f t="shared" si="60"/>
        <v>148.92499999999998</v>
      </c>
      <c r="S796">
        <f>VLOOKUP(L796,Products!$A$2:$G$49,7,0)</f>
        <v>2.6806499999999995</v>
      </c>
      <c r="T796">
        <f t="shared" si="63"/>
        <v>13.403249999999998</v>
      </c>
      <c r="U796" s="33">
        <f t="shared" si="64"/>
        <v>9</v>
      </c>
    </row>
    <row r="797" spans="1:21" x14ac:dyDescent="0.25">
      <c r="A797" s="1" t="s">
        <v>1542</v>
      </c>
      <c r="B797" s="28">
        <v>43540</v>
      </c>
      <c r="C797" s="21" t="str">
        <f t="shared" si="61"/>
        <v>2019</v>
      </c>
      <c r="D797" s="19" t="str">
        <f t="shared" si="62"/>
        <v>March</v>
      </c>
      <c r="E797" s="3" t="s">
        <v>1543</v>
      </c>
      <c r="F797" s="3" t="str">
        <f>VLOOKUP(E797,Customers!$A$2:$I$1001,2,0)</f>
        <v>Wright Caldero</v>
      </c>
      <c r="G797" s="3" t="str">
        <f>VLOOKUP(E797,Customers!$A$2:$I$1001,3,0)</f>
        <v>wcalderom3@stumbleupon.com</v>
      </c>
      <c r="H797" s="3" t="str">
        <f>VLOOKUP(E797,Customers!$A$2:$I$1001,4,0)</f>
        <v>+1 (714) 117-5483</v>
      </c>
      <c r="I797" s="25" t="str">
        <f>VLOOKUP(E797,Customers!$A$2:$I$1001,6,0)</f>
        <v>Anaheim</v>
      </c>
      <c r="J797" s="25" t="str">
        <f>VLOOKUP(E797,Customers!$A$2:$I$1001,7,0)</f>
        <v>United States</v>
      </c>
      <c r="K797" s="23" t="str">
        <f>VLOOKUP(E797,Customers!$A$2:$I$1001,9,0)</f>
        <v>No</v>
      </c>
      <c r="L797" s="4" t="s">
        <v>157</v>
      </c>
      <c r="M797" s="4" t="str">
        <f>VLOOKUP(L797,Products!$A$2:$G$49,2,0)</f>
        <v>Robusta</v>
      </c>
      <c r="N797" s="4" t="str">
        <f>VLOOKUP(L797,Products!$A$2:$G$49,3,0)</f>
        <v>Light</v>
      </c>
      <c r="O797" s="25">
        <v>4</v>
      </c>
      <c r="P797" s="5">
        <f>INDEX([1]products!$A$1:$G$49,MATCH([1]orders!$D797,[1]products!$A$1:$A$49,0),MATCH([1]orders!K$1,[1]products!$A$1:$G$1,0))</f>
        <v>0.5</v>
      </c>
      <c r="Q797" s="6">
        <f>INDEX([1]products!$A$1:$G$49,MATCH([1]orders!$D797,[1]products!$A$1:$A$49,0),MATCH([1]orders!L$1,[1]products!$A$1:$G$1,0))</f>
        <v>7.169999999999999</v>
      </c>
      <c r="R797" s="6">
        <f t="shared" si="60"/>
        <v>28.679999999999996</v>
      </c>
      <c r="S797">
        <f>VLOOKUP(L797,Products!$A$2:$G$49,7,0)</f>
        <v>0.43019999999999992</v>
      </c>
      <c r="T797">
        <f t="shared" si="63"/>
        <v>1.7207999999999997</v>
      </c>
      <c r="U797" s="33">
        <f t="shared" si="64"/>
        <v>6</v>
      </c>
    </row>
    <row r="798" spans="1:21" x14ac:dyDescent="0.25">
      <c r="A798" s="1" t="s">
        <v>1544</v>
      </c>
      <c r="B798" s="28">
        <v>44533</v>
      </c>
      <c r="C798" s="21" t="str">
        <f t="shared" si="61"/>
        <v>2021</v>
      </c>
      <c r="D798" s="19" t="str">
        <f t="shared" si="62"/>
        <v>December</v>
      </c>
      <c r="E798" s="3" t="s">
        <v>1545</v>
      </c>
      <c r="F798" s="3" t="str">
        <f>VLOOKUP(E798,Customers!$A$2:$I$1001,2,0)</f>
        <v>Merell Zanazzi</v>
      </c>
      <c r="G798" s="3" t="str">
        <f>VLOOKUP(E798,Customers!$A$2:$I$1001,3,0)</f>
        <v>UNKNOWN</v>
      </c>
      <c r="H798" s="3" t="str">
        <f>VLOOKUP(E798,Customers!$A$2:$I$1001,4,0)</f>
        <v>+1 (606) 824-3445</v>
      </c>
      <c r="I798" s="25" t="str">
        <f>VLOOKUP(E798,Customers!$A$2:$I$1001,6,0)</f>
        <v>Lexington</v>
      </c>
      <c r="J798" s="25" t="str">
        <f>VLOOKUP(E798,Customers!$A$2:$I$1001,7,0)</f>
        <v>United States</v>
      </c>
      <c r="K798" s="23" t="str">
        <f>VLOOKUP(E798,Customers!$A$2:$I$1001,9,0)</f>
        <v>No</v>
      </c>
      <c r="L798" s="4" t="s">
        <v>83</v>
      </c>
      <c r="M798" s="4" t="str">
        <f>VLOOKUP(L798,Products!$A$2:$G$49,2,0)</f>
        <v>Liberica</v>
      </c>
      <c r="N798" s="4" t="str">
        <f>VLOOKUP(L798,Products!$A$2:$G$49,3,0)</f>
        <v>Light</v>
      </c>
      <c r="O798" s="25">
        <v>1</v>
      </c>
      <c r="P798" s="5">
        <f>INDEX([1]products!$A$1:$G$49,MATCH([1]orders!$D798,[1]products!$A$1:$A$49,0),MATCH([1]orders!K$1,[1]products!$A$1:$G$1,0))</f>
        <v>0.5</v>
      </c>
      <c r="Q798" s="6">
        <f>INDEX([1]products!$A$1:$G$49,MATCH([1]orders!$D798,[1]products!$A$1:$A$49,0),MATCH([1]orders!L$1,[1]products!$A$1:$G$1,0))</f>
        <v>9.51</v>
      </c>
      <c r="R798" s="6">
        <f t="shared" si="60"/>
        <v>9.51</v>
      </c>
      <c r="S798">
        <f>VLOOKUP(L798,Products!$A$2:$G$49,7,0)</f>
        <v>1.2363</v>
      </c>
      <c r="T798">
        <f t="shared" si="63"/>
        <v>1.2363</v>
      </c>
      <c r="U798" s="33">
        <f t="shared" si="64"/>
        <v>13</v>
      </c>
    </row>
    <row r="799" spans="1:21" x14ac:dyDescent="0.25">
      <c r="A799" s="1" t="s">
        <v>1546</v>
      </c>
      <c r="B799" s="28">
        <v>44751</v>
      </c>
      <c r="C799" s="21" t="str">
        <f t="shared" si="61"/>
        <v>2022</v>
      </c>
      <c r="D799" s="19" t="str">
        <f t="shared" si="62"/>
        <v>July</v>
      </c>
      <c r="E799" s="3" t="s">
        <v>1547</v>
      </c>
      <c r="F799" s="3" t="str">
        <f>VLOOKUP(E799,Customers!$A$2:$I$1001,2,0)</f>
        <v>Jed Kennicott</v>
      </c>
      <c r="G799" s="3" t="str">
        <f>VLOOKUP(E799,Customers!$A$2:$I$1001,3,0)</f>
        <v>jkennicottm5@yahoo.co.jp</v>
      </c>
      <c r="H799" s="3" t="str">
        <f>VLOOKUP(E799,Customers!$A$2:$I$1001,4,0)</f>
        <v>+1 (813) 579-8389</v>
      </c>
      <c r="I799" s="25" t="str">
        <f>VLOOKUP(E799,Customers!$A$2:$I$1001,6,0)</f>
        <v>Tampa</v>
      </c>
      <c r="J799" s="25" t="str">
        <f>VLOOKUP(E799,Customers!$A$2:$I$1001,7,0)</f>
        <v>United States</v>
      </c>
      <c r="K799" s="23" t="str">
        <f>VLOOKUP(E799,Customers!$A$2:$I$1001,9,0)</f>
        <v>No</v>
      </c>
      <c r="L799" s="4" t="s">
        <v>192</v>
      </c>
      <c r="M799" s="4" t="str">
        <f>VLOOKUP(L799,Products!$A$2:$G$49,2,0)</f>
        <v>Arabica</v>
      </c>
      <c r="N799" s="4" t="str">
        <f>VLOOKUP(L799,Products!$A$2:$G$49,3,0)</f>
        <v>Light</v>
      </c>
      <c r="O799" s="25">
        <v>4</v>
      </c>
      <c r="P799" s="5">
        <f>INDEX([1]products!$A$1:$G$49,MATCH([1]orders!$D799,[1]products!$A$1:$A$49,0),MATCH([1]orders!K$1,[1]products!$A$1:$G$1,0))</f>
        <v>0.5</v>
      </c>
      <c r="Q799" s="6">
        <f>INDEX([1]products!$A$1:$G$49,MATCH([1]orders!$D799,[1]products!$A$1:$A$49,0),MATCH([1]orders!L$1,[1]products!$A$1:$G$1,0))</f>
        <v>7.77</v>
      </c>
      <c r="R799" s="6">
        <f t="shared" si="60"/>
        <v>31.08</v>
      </c>
      <c r="S799">
        <f>VLOOKUP(L799,Products!$A$2:$G$49,7,0)</f>
        <v>0.69929999999999992</v>
      </c>
      <c r="T799">
        <f t="shared" si="63"/>
        <v>2.7971999999999997</v>
      </c>
      <c r="U799" s="33">
        <f t="shared" si="64"/>
        <v>9</v>
      </c>
    </row>
    <row r="800" spans="1:21" x14ac:dyDescent="0.25">
      <c r="A800" s="1" t="s">
        <v>1548</v>
      </c>
      <c r="B800" s="28">
        <v>43950</v>
      </c>
      <c r="C800" s="21" t="str">
        <f t="shared" si="61"/>
        <v>2020</v>
      </c>
      <c r="D800" s="19" t="str">
        <f t="shared" si="62"/>
        <v>April</v>
      </c>
      <c r="E800" s="3" t="s">
        <v>1549</v>
      </c>
      <c r="F800" s="3" t="str">
        <f>VLOOKUP(E800,Customers!$A$2:$I$1001,2,0)</f>
        <v>Guenevere Ruggen</v>
      </c>
      <c r="G800" s="3" t="str">
        <f>VLOOKUP(E800,Customers!$A$2:$I$1001,3,0)</f>
        <v>gruggenm6@nymag.com</v>
      </c>
      <c r="H800" s="3" t="str">
        <f>VLOOKUP(E800,Customers!$A$2:$I$1001,4,0)</f>
        <v>+1 (408) 211-2306</v>
      </c>
      <c r="I800" s="25" t="str">
        <f>VLOOKUP(E800,Customers!$A$2:$I$1001,6,0)</f>
        <v>San Jose</v>
      </c>
      <c r="J800" s="25" t="str">
        <f>VLOOKUP(E800,Customers!$A$2:$I$1001,7,0)</f>
        <v>United States</v>
      </c>
      <c r="K800" s="23" t="str">
        <f>VLOOKUP(E800,Customers!$A$2:$I$1001,9,0)</f>
        <v>Yes</v>
      </c>
      <c r="L800" s="4" t="s">
        <v>101</v>
      </c>
      <c r="M800" s="4" t="str">
        <f>VLOOKUP(L800,Products!$A$2:$G$49,2,0)</f>
        <v>Robusta</v>
      </c>
      <c r="N800" s="4" t="str">
        <f>VLOOKUP(L800,Products!$A$2:$G$49,3,0)</f>
        <v>Dark</v>
      </c>
      <c r="O800" s="25">
        <v>3</v>
      </c>
      <c r="P800" s="5">
        <f>INDEX([1]products!$A$1:$G$49,MATCH([1]orders!$D800,[1]products!$A$1:$A$49,0),MATCH([1]orders!K$1,[1]products!$A$1:$G$1,0))</f>
        <v>0.2</v>
      </c>
      <c r="Q800" s="6">
        <f>INDEX([1]products!$A$1:$G$49,MATCH([1]orders!$D800,[1]products!$A$1:$A$49,0),MATCH([1]orders!L$1,[1]products!$A$1:$G$1,0))</f>
        <v>2.6849999999999996</v>
      </c>
      <c r="R800" s="6">
        <f t="shared" si="60"/>
        <v>8.0549999999999997</v>
      </c>
      <c r="S800">
        <f>VLOOKUP(L800,Products!$A$2:$G$49,7,0)</f>
        <v>0.16109999999999997</v>
      </c>
      <c r="T800">
        <f t="shared" si="63"/>
        <v>0.4832999999999999</v>
      </c>
      <c r="U800" s="33">
        <f t="shared" si="64"/>
        <v>5.9999999999999991</v>
      </c>
    </row>
    <row r="801" spans="1:21" x14ac:dyDescent="0.25">
      <c r="A801" s="1" t="s">
        <v>1550</v>
      </c>
      <c r="B801" s="28">
        <v>44588</v>
      </c>
      <c r="C801" s="21" t="str">
        <f t="shared" si="61"/>
        <v>2022</v>
      </c>
      <c r="D801" s="19" t="str">
        <f t="shared" si="62"/>
        <v>January</v>
      </c>
      <c r="E801" s="3" t="s">
        <v>1551</v>
      </c>
      <c r="F801" s="3" t="str">
        <f>VLOOKUP(E801,Customers!$A$2:$I$1001,2,0)</f>
        <v>Gonzales Cicculi</v>
      </c>
      <c r="G801" s="3" t="str">
        <f>VLOOKUP(E801,Customers!$A$2:$I$1001,3,0)</f>
        <v>UNKNOWN</v>
      </c>
      <c r="H801" s="3" t="str">
        <f>VLOOKUP(E801,Customers!$A$2:$I$1001,4,0)</f>
        <v>UNKNOWN</v>
      </c>
      <c r="I801" s="25" t="str">
        <f>VLOOKUP(E801,Customers!$A$2:$I$1001,6,0)</f>
        <v>Washington</v>
      </c>
      <c r="J801" s="25" t="str">
        <f>VLOOKUP(E801,Customers!$A$2:$I$1001,7,0)</f>
        <v>United States</v>
      </c>
      <c r="K801" s="23" t="str">
        <f>VLOOKUP(E801,Customers!$A$2:$I$1001,9,0)</f>
        <v>Yes</v>
      </c>
      <c r="L801" s="4" t="s">
        <v>245</v>
      </c>
      <c r="M801" s="4" t="str">
        <f>VLOOKUP(L801,Products!$A$2:$G$49,2,0)</f>
        <v>Excelsa</v>
      </c>
      <c r="N801" s="4" t="str">
        <f>VLOOKUP(L801,Products!$A$2:$G$49,3,0)</f>
        <v>Dark</v>
      </c>
      <c r="O801" s="25">
        <v>3</v>
      </c>
      <c r="P801" s="5">
        <f>INDEX([1]products!$A$1:$G$49,MATCH([1]orders!$D801,[1]products!$A$1:$A$49,0),MATCH([1]orders!K$1,[1]products!$A$1:$G$1,0))</f>
        <v>1</v>
      </c>
      <c r="Q801" s="6">
        <f>INDEX([1]products!$A$1:$G$49,MATCH([1]orders!$D801,[1]products!$A$1:$A$49,0),MATCH([1]orders!L$1,[1]products!$A$1:$G$1,0))</f>
        <v>12.15</v>
      </c>
      <c r="R801" s="6">
        <f t="shared" si="60"/>
        <v>36.450000000000003</v>
      </c>
      <c r="S801">
        <f>VLOOKUP(L801,Products!$A$2:$G$49,7,0)</f>
        <v>1.3365</v>
      </c>
      <c r="T801">
        <f t="shared" si="63"/>
        <v>4.0095000000000001</v>
      </c>
      <c r="U801" s="33">
        <f t="shared" si="64"/>
        <v>10.999999999999998</v>
      </c>
    </row>
    <row r="802" spans="1:21" x14ac:dyDescent="0.25">
      <c r="A802" s="1" t="s">
        <v>1552</v>
      </c>
      <c r="B802" s="28">
        <v>44240</v>
      </c>
      <c r="C802" s="21" t="str">
        <f t="shared" si="61"/>
        <v>2021</v>
      </c>
      <c r="D802" s="19" t="str">
        <f t="shared" si="62"/>
        <v>February</v>
      </c>
      <c r="E802" s="3" t="s">
        <v>1553</v>
      </c>
      <c r="F802" s="3" t="str">
        <f>VLOOKUP(E802,Customers!$A$2:$I$1001,2,0)</f>
        <v>Man Fright</v>
      </c>
      <c r="G802" s="3" t="str">
        <f>VLOOKUP(E802,Customers!$A$2:$I$1001,3,0)</f>
        <v>mfrightm8@harvard.edu</v>
      </c>
      <c r="H802" s="3" t="str">
        <f>VLOOKUP(E802,Customers!$A$2:$I$1001,4,0)</f>
        <v>+353 (955) 108-0675</v>
      </c>
      <c r="I802" s="25" t="str">
        <f>VLOOKUP(E802,Customers!$A$2:$I$1001,6,0)</f>
        <v>Daingean</v>
      </c>
      <c r="J802" s="25" t="str">
        <f>VLOOKUP(E802,Customers!$A$2:$I$1001,7,0)</f>
        <v>Ireland</v>
      </c>
      <c r="K802" s="23" t="str">
        <f>VLOOKUP(E802,Customers!$A$2:$I$1001,9,0)</f>
        <v>No</v>
      </c>
      <c r="L802" s="4" t="s">
        <v>101</v>
      </c>
      <c r="M802" s="4" t="str">
        <f>VLOOKUP(L802,Products!$A$2:$G$49,2,0)</f>
        <v>Robusta</v>
      </c>
      <c r="N802" s="4" t="str">
        <f>VLOOKUP(L802,Products!$A$2:$G$49,3,0)</f>
        <v>Dark</v>
      </c>
      <c r="O802" s="25">
        <v>6</v>
      </c>
      <c r="P802" s="5">
        <f>INDEX([1]products!$A$1:$G$49,MATCH([1]orders!$D802,[1]products!$A$1:$A$49,0),MATCH([1]orders!K$1,[1]products!$A$1:$G$1,0))</f>
        <v>0.2</v>
      </c>
      <c r="Q802" s="6">
        <f>INDEX([1]products!$A$1:$G$49,MATCH([1]orders!$D802,[1]products!$A$1:$A$49,0),MATCH([1]orders!L$1,[1]products!$A$1:$G$1,0))</f>
        <v>2.6849999999999996</v>
      </c>
      <c r="R802" s="6">
        <f t="shared" si="60"/>
        <v>16.11</v>
      </c>
      <c r="S802">
        <f>VLOOKUP(L802,Products!$A$2:$G$49,7,0)</f>
        <v>0.16109999999999997</v>
      </c>
      <c r="T802">
        <f t="shared" si="63"/>
        <v>0.96659999999999979</v>
      </c>
      <c r="U802" s="33">
        <f t="shared" si="64"/>
        <v>5.9999999999999991</v>
      </c>
    </row>
    <row r="803" spans="1:21" x14ac:dyDescent="0.25">
      <c r="A803" s="1" t="s">
        <v>1554</v>
      </c>
      <c r="B803" s="28">
        <v>44025</v>
      </c>
      <c r="C803" s="21" t="str">
        <f t="shared" si="61"/>
        <v>2020</v>
      </c>
      <c r="D803" s="19" t="str">
        <f t="shared" si="62"/>
        <v>July</v>
      </c>
      <c r="E803" s="3" t="s">
        <v>1555</v>
      </c>
      <c r="F803" s="3" t="str">
        <f>VLOOKUP(E803,Customers!$A$2:$I$1001,2,0)</f>
        <v>Boyce Tarte</v>
      </c>
      <c r="G803" s="3" t="str">
        <f>VLOOKUP(E803,Customers!$A$2:$I$1001,3,0)</f>
        <v>btartem9@aol.com</v>
      </c>
      <c r="H803" s="3" t="str">
        <f>VLOOKUP(E803,Customers!$A$2:$I$1001,4,0)</f>
        <v>+1 (360) 927-6561</v>
      </c>
      <c r="I803" s="25" t="str">
        <f>VLOOKUP(E803,Customers!$A$2:$I$1001,6,0)</f>
        <v>Olympia</v>
      </c>
      <c r="J803" s="25" t="str">
        <f>VLOOKUP(E803,Customers!$A$2:$I$1001,7,0)</f>
        <v>United States</v>
      </c>
      <c r="K803" s="23" t="str">
        <f>VLOOKUP(E803,Customers!$A$2:$I$1001,9,0)</f>
        <v>Yes</v>
      </c>
      <c r="L803" s="4" t="s">
        <v>35</v>
      </c>
      <c r="M803" s="4" t="str">
        <f>VLOOKUP(L803,Products!$A$2:$G$49,2,0)</f>
        <v>Robusta</v>
      </c>
      <c r="N803" s="4" t="str">
        <f>VLOOKUP(L803,Products!$A$2:$G$49,3,0)</f>
        <v>Dark</v>
      </c>
      <c r="O803" s="25">
        <v>2</v>
      </c>
      <c r="P803" s="5">
        <f>INDEX([1]products!$A$1:$G$49,MATCH([1]orders!$D803,[1]products!$A$1:$A$49,0),MATCH([1]orders!K$1,[1]products!$A$1:$G$1,0))</f>
        <v>2.5</v>
      </c>
      <c r="Q803" s="6">
        <f>INDEX([1]products!$A$1:$G$49,MATCH([1]orders!$D803,[1]products!$A$1:$A$49,0),MATCH([1]orders!L$1,[1]products!$A$1:$G$1,0))</f>
        <v>20.584999999999997</v>
      </c>
      <c r="R803" s="6">
        <f t="shared" si="60"/>
        <v>41.169999999999995</v>
      </c>
      <c r="S803">
        <f>VLOOKUP(L803,Products!$A$2:$G$49,7,0)</f>
        <v>1.2350999999999999</v>
      </c>
      <c r="T803">
        <f t="shared" si="63"/>
        <v>2.4701999999999997</v>
      </c>
      <c r="U803" s="33">
        <f t="shared" si="64"/>
        <v>6.0000000000000009</v>
      </c>
    </row>
    <row r="804" spans="1:21" x14ac:dyDescent="0.25">
      <c r="A804" s="1" t="s">
        <v>1556</v>
      </c>
      <c r="B804" s="28">
        <v>43902</v>
      </c>
      <c r="C804" s="21" t="str">
        <f t="shared" si="61"/>
        <v>2020</v>
      </c>
      <c r="D804" s="19" t="str">
        <f t="shared" si="62"/>
        <v>March</v>
      </c>
      <c r="E804" s="3" t="s">
        <v>1557</v>
      </c>
      <c r="F804" s="3" t="str">
        <f>VLOOKUP(E804,Customers!$A$2:$I$1001,2,0)</f>
        <v>Caddric Krzysztofiak</v>
      </c>
      <c r="G804" s="3" t="str">
        <f>VLOOKUP(E804,Customers!$A$2:$I$1001,3,0)</f>
        <v>ckrzysztofiakma@skyrock.com</v>
      </c>
      <c r="H804" s="3" t="str">
        <f>VLOOKUP(E804,Customers!$A$2:$I$1001,4,0)</f>
        <v>+1 (972) 782-4187</v>
      </c>
      <c r="I804" s="25" t="str">
        <f>VLOOKUP(E804,Customers!$A$2:$I$1001,6,0)</f>
        <v>Mesquite</v>
      </c>
      <c r="J804" s="25" t="str">
        <f>VLOOKUP(E804,Customers!$A$2:$I$1001,7,0)</f>
        <v>United States</v>
      </c>
      <c r="K804" s="23" t="str">
        <f>VLOOKUP(E804,Customers!$A$2:$I$1001,9,0)</f>
        <v>No</v>
      </c>
      <c r="L804" s="4" t="s">
        <v>101</v>
      </c>
      <c r="M804" s="4" t="str">
        <f>VLOOKUP(L804,Products!$A$2:$G$49,2,0)</f>
        <v>Robusta</v>
      </c>
      <c r="N804" s="4" t="str">
        <f>VLOOKUP(L804,Products!$A$2:$G$49,3,0)</f>
        <v>Dark</v>
      </c>
      <c r="O804" s="25">
        <v>4</v>
      </c>
      <c r="P804" s="5">
        <f>INDEX([1]products!$A$1:$G$49,MATCH([1]orders!$D804,[1]products!$A$1:$A$49,0),MATCH([1]orders!K$1,[1]products!$A$1:$G$1,0))</f>
        <v>0.2</v>
      </c>
      <c r="Q804" s="6">
        <f>INDEX([1]products!$A$1:$G$49,MATCH([1]orders!$D804,[1]products!$A$1:$A$49,0),MATCH([1]orders!L$1,[1]products!$A$1:$G$1,0))</f>
        <v>2.6849999999999996</v>
      </c>
      <c r="R804" s="6">
        <f t="shared" si="60"/>
        <v>10.739999999999998</v>
      </c>
      <c r="S804">
        <f>VLOOKUP(L804,Products!$A$2:$G$49,7,0)</f>
        <v>0.16109999999999997</v>
      </c>
      <c r="T804">
        <f t="shared" si="63"/>
        <v>0.64439999999999986</v>
      </c>
      <c r="U804" s="33">
        <f t="shared" si="64"/>
        <v>6</v>
      </c>
    </row>
    <row r="805" spans="1:21" x14ac:dyDescent="0.25">
      <c r="A805" s="1" t="s">
        <v>1558</v>
      </c>
      <c r="B805" s="28">
        <v>43955</v>
      </c>
      <c r="C805" s="21" t="str">
        <f t="shared" si="61"/>
        <v>2020</v>
      </c>
      <c r="D805" s="19" t="str">
        <f t="shared" si="62"/>
        <v>May</v>
      </c>
      <c r="E805" s="3" t="s">
        <v>1559</v>
      </c>
      <c r="F805" s="3" t="str">
        <f>VLOOKUP(E805,Customers!$A$2:$I$1001,2,0)</f>
        <v>Darn Penquet</v>
      </c>
      <c r="G805" s="3" t="str">
        <f>VLOOKUP(E805,Customers!$A$2:$I$1001,3,0)</f>
        <v>dpenquetmb@diigo.com</v>
      </c>
      <c r="H805" s="3" t="str">
        <f>VLOOKUP(E805,Customers!$A$2:$I$1001,4,0)</f>
        <v>UNKNOWN</v>
      </c>
      <c r="I805" s="25" t="str">
        <f>VLOOKUP(E805,Customers!$A$2:$I$1001,6,0)</f>
        <v>Sacramento</v>
      </c>
      <c r="J805" s="25" t="str">
        <f>VLOOKUP(E805,Customers!$A$2:$I$1001,7,0)</f>
        <v>United States</v>
      </c>
      <c r="K805" s="23" t="str">
        <f>VLOOKUP(E805,Customers!$A$2:$I$1001,9,0)</f>
        <v>No</v>
      </c>
      <c r="L805" s="4" t="s">
        <v>112</v>
      </c>
      <c r="M805" s="4" t="str">
        <f>VLOOKUP(L805,Products!$A$2:$G$49,2,0)</f>
        <v>Excelsa</v>
      </c>
      <c r="N805" s="4" t="str">
        <f>VLOOKUP(L805,Products!$A$2:$G$49,3,0)</f>
        <v>Medium</v>
      </c>
      <c r="O805" s="25">
        <v>4</v>
      </c>
      <c r="P805" s="5">
        <f>INDEX([1]products!$A$1:$G$49,MATCH([1]orders!$D805,[1]products!$A$1:$A$49,0),MATCH([1]orders!K$1,[1]products!$A$1:$G$1,0))</f>
        <v>2.5</v>
      </c>
      <c r="Q805" s="6">
        <f>INDEX([1]products!$A$1:$G$49,MATCH([1]orders!$D805,[1]products!$A$1:$A$49,0),MATCH([1]orders!L$1,[1]products!$A$1:$G$1,0))</f>
        <v>31.624999999999996</v>
      </c>
      <c r="R805" s="6">
        <f t="shared" si="60"/>
        <v>126.49999999999999</v>
      </c>
      <c r="S805">
        <f>VLOOKUP(L805,Products!$A$2:$G$49,7,0)</f>
        <v>3.4787499999999998</v>
      </c>
      <c r="T805">
        <f t="shared" si="63"/>
        <v>13.914999999999999</v>
      </c>
      <c r="U805" s="33">
        <f t="shared" si="64"/>
        <v>11</v>
      </c>
    </row>
    <row r="806" spans="1:21" x14ac:dyDescent="0.25">
      <c r="A806" s="1" t="s">
        <v>1560</v>
      </c>
      <c r="B806" s="28">
        <v>44289</v>
      </c>
      <c r="C806" s="21" t="str">
        <f t="shared" si="61"/>
        <v>2021</v>
      </c>
      <c r="D806" s="19" t="str">
        <f t="shared" si="62"/>
        <v>April</v>
      </c>
      <c r="E806" s="3" t="s">
        <v>1561</v>
      </c>
      <c r="F806" s="3" t="str">
        <f>VLOOKUP(E806,Customers!$A$2:$I$1001,2,0)</f>
        <v>Jammie Cloke</v>
      </c>
      <c r="G806" s="3" t="str">
        <f>VLOOKUP(E806,Customers!$A$2:$I$1001,3,0)</f>
        <v>UNKNOWN</v>
      </c>
      <c r="H806" s="3" t="str">
        <f>VLOOKUP(E806,Customers!$A$2:$I$1001,4,0)</f>
        <v>+44 (540) 353-5754</v>
      </c>
      <c r="I806" s="25" t="str">
        <f>VLOOKUP(E806,Customers!$A$2:$I$1001,6,0)</f>
        <v>Newton</v>
      </c>
      <c r="J806" s="25" t="str">
        <f>VLOOKUP(E806,Customers!$A$2:$I$1001,7,0)</f>
        <v>United Kingdom</v>
      </c>
      <c r="K806" s="23" t="str">
        <f>VLOOKUP(E806,Customers!$A$2:$I$1001,9,0)</f>
        <v>No</v>
      </c>
      <c r="L806" s="4" t="s">
        <v>189</v>
      </c>
      <c r="M806" s="4" t="str">
        <f>VLOOKUP(L806,Products!$A$2:$G$49,2,0)</f>
        <v>Robusta</v>
      </c>
      <c r="N806" s="4" t="str">
        <f>VLOOKUP(L806,Products!$A$2:$G$49,3,0)</f>
        <v>Light</v>
      </c>
      <c r="O806" s="25">
        <v>2</v>
      </c>
      <c r="P806" s="5">
        <f>INDEX([1]products!$A$1:$G$49,MATCH([1]orders!$D806,[1]products!$A$1:$A$49,0),MATCH([1]orders!K$1,[1]products!$A$1:$G$1,0))</f>
        <v>1</v>
      </c>
      <c r="Q806" s="6">
        <f>INDEX([1]products!$A$1:$G$49,MATCH([1]orders!$D806,[1]products!$A$1:$A$49,0),MATCH([1]orders!L$1,[1]products!$A$1:$G$1,0))</f>
        <v>11.95</v>
      </c>
      <c r="R806" s="6">
        <f t="shared" si="60"/>
        <v>23.9</v>
      </c>
      <c r="S806">
        <f>VLOOKUP(L806,Products!$A$2:$G$49,7,0)</f>
        <v>0.71699999999999997</v>
      </c>
      <c r="T806">
        <f t="shared" si="63"/>
        <v>1.4339999999999999</v>
      </c>
      <c r="U806" s="33">
        <f t="shared" si="64"/>
        <v>6</v>
      </c>
    </row>
    <row r="807" spans="1:21" x14ac:dyDescent="0.25">
      <c r="A807" s="1" t="s">
        <v>1562</v>
      </c>
      <c r="B807" s="28">
        <v>44713</v>
      </c>
      <c r="C807" s="21" t="str">
        <f t="shared" si="61"/>
        <v>2022</v>
      </c>
      <c r="D807" s="19" t="str">
        <f t="shared" si="62"/>
        <v>June</v>
      </c>
      <c r="E807" s="3" t="s">
        <v>1563</v>
      </c>
      <c r="F807" s="3" t="str">
        <f>VLOOKUP(E807,Customers!$A$2:$I$1001,2,0)</f>
        <v>Chester Clowton</v>
      </c>
      <c r="G807" s="3" t="str">
        <f>VLOOKUP(E807,Customers!$A$2:$I$1001,3,0)</f>
        <v>UNKNOWN</v>
      </c>
      <c r="H807" s="3" t="str">
        <f>VLOOKUP(E807,Customers!$A$2:$I$1001,4,0)</f>
        <v>+1 (763) 691-6777</v>
      </c>
      <c r="I807" s="25" t="str">
        <f>VLOOKUP(E807,Customers!$A$2:$I$1001,6,0)</f>
        <v>Monticello</v>
      </c>
      <c r="J807" s="25" t="str">
        <f>VLOOKUP(E807,Customers!$A$2:$I$1001,7,0)</f>
        <v>United States</v>
      </c>
      <c r="K807" s="23" t="str">
        <f>VLOOKUP(E807,Customers!$A$2:$I$1001,9,0)</f>
        <v>No</v>
      </c>
      <c r="L807" s="4" t="s">
        <v>22</v>
      </c>
      <c r="M807" s="4" t="str">
        <f>VLOOKUP(L807,Products!$A$2:$G$49,2,0)</f>
        <v>Robusta</v>
      </c>
      <c r="N807" s="4" t="str">
        <f>VLOOKUP(L807,Products!$A$2:$G$49,3,0)</f>
        <v>Medium</v>
      </c>
      <c r="O807" s="25">
        <v>1</v>
      </c>
      <c r="P807" s="5">
        <f>INDEX([1]products!$A$1:$G$49,MATCH([1]orders!$D807,[1]products!$A$1:$A$49,0),MATCH([1]orders!K$1,[1]products!$A$1:$G$1,0))</f>
        <v>0.5</v>
      </c>
      <c r="Q807" s="6">
        <f>INDEX([1]products!$A$1:$G$49,MATCH([1]orders!$D807,[1]products!$A$1:$A$49,0),MATCH([1]orders!L$1,[1]products!$A$1:$G$1,0))</f>
        <v>5.97</v>
      </c>
      <c r="R807" s="6">
        <f t="shared" si="60"/>
        <v>5.97</v>
      </c>
      <c r="S807">
        <f>VLOOKUP(L807,Products!$A$2:$G$49,7,0)</f>
        <v>0.35819999999999996</v>
      </c>
      <c r="T807">
        <f t="shared" si="63"/>
        <v>0.35819999999999996</v>
      </c>
      <c r="U807" s="33">
        <f t="shared" si="64"/>
        <v>6</v>
      </c>
    </row>
    <row r="808" spans="1:21" x14ac:dyDescent="0.25">
      <c r="A808" s="1" t="s">
        <v>1564</v>
      </c>
      <c r="B808" s="28">
        <v>44241</v>
      </c>
      <c r="C808" s="21" t="str">
        <f t="shared" si="61"/>
        <v>2021</v>
      </c>
      <c r="D808" s="19" t="str">
        <f t="shared" si="62"/>
        <v>February</v>
      </c>
      <c r="E808" s="3" t="s">
        <v>1565</v>
      </c>
      <c r="F808" s="3" t="str">
        <f>VLOOKUP(E808,Customers!$A$2:$I$1001,2,0)</f>
        <v>Kathleen Diable</v>
      </c>
      <c r="G808" s="3" t="str">
        <f>VLOOKUP(E808,Customers!$A$2:$I$1001,3,0)</f>
        <v>UNKNOWN</v>
      </c>
      <c r="H808" s="3" t="str">
        <f>VLOOKUP(E808,Customers!$A$2:$I$1001,4,0)</f>
        <v>UNKNOWN</v>
      </c>
      <c r="I808" s="25" t="str">
        <f>VLOOKUP(E808,Customers!$A$2:$I$1001,6,0)</f>
        <v>Kinloch</v>
      </c>
      <c r="J808" s="25" t="str">
        <f>VLOOKUP(E808,Customers!$A$2:$I$1001,7,0)</f>
        <v>United Kingdom</v>
      </c>
      <c r="K808" s="23" t="str">
        <f>VLOOKUP(E808,Customers!$A$2:$I$1001,9,0)</f>
        <v>Yes</v>
      </c>
      <c r="L808" s="4" t="s">
        <v>38</v>
      </c>
      <c r="M808" s="4" t="str">
        <f>VLOOKUP(L808,Products!$A$2:$G$49,2,0)</f>
        <v>Liberica</v>
      </c>
      <c r="N808" s="4" t="str">
        <f>VLOOKUP(L808,Products!$A$2:$G$49,3,0)</f>
        <v>Dark</v>
      </c>
      <c r="O808" s="25">
        <v>2</v>
      </c>
      <c r="P808" s="5">
        <f>INDEX([1]products!$A$1:$G$49,MATCH([1]orders!$D808,[1]products!$A$1:$A$49,0),MATCH([1]orders!K$1,[1]products!$A$1:$G$1,0))</f>
        <v>0.2</v>
      </c>
      <c r="Q808" s="6">
        <f>INDEX([1]products!$A$1:$G$49,MATCH([1]orders!$D808,[1]products!$A$1:$A$49,0),MATCH([1]orders!L$1,[1]products!$A$1:$G$1,0))</f>
        <v>3.8849999999999998</v>
      </c>
      <c r="R808" s="6">
        <f t="shared" si="60"/>
        <v>7.77</v>
      </c>
      <c r="S808">
        <f>VLOOKUP(L808,Products!$A$2:$G$49,7,0)</f>
        <v>0.50505</v>
      </c>
      <c r="T808">
        <f t="shared" si="63"/>
        <v>1.0101</v>
      </c>
      <c r="U808" s="33">
        <f t="shared" si="64"/>
        <v>13</v>
      </c>
    </row>
    <row r="809" spans="1:21" x14ac:dyDescent="0.25">
      <c r="A809" s="1" t="s">
        <v>1566</v>
      </c>
      <c r="B809" s="28">
        <v>44543</v>
      </c>
      <c r="C809" s="21" t="str">
        <f t="shared" si="61"/>
        <v>2021</v>
      </c>
      <c r="D809" s="19" t="str">
        <f t="shared" si="62"/>
        <v>December</v>
      </c>
      <c r="E809" s="3" t="s">
        <v>1567</v>
      </c>
      <c r="F809" s="3" t="str">
        <f>VLOOKUP(E809,Customers!$A$2:$I$1001,2,0)</f>
        <v>Koren Ferretti</v>
      </c>
      <c r="G809" s="3" t="str">
        <f>VLOOKUP(E809,Customers!$A$2:$I$1001,3,0)</f>
        <v>kferrettimf@huffingtonpost.com</v>
      </c>
      <c r="H809" s="3" t="str">
        <f>VLOOKUP(E809,Customers!$A$2:$I$1001,4,0)</f>
        <v>+353 (526) 215-2582</v>
      </c>
      <c r="I809" s="25" t="str">
        <f>VLOOKUP(E809,Customers!$A$2:$I$1001,6,0)</f>
        <v>Balrothery</v>
      </c>
      <c r="J809" s="25" t="str">
        <f>VLOOKUP(E809,Customers!$A$2:$I$1001,7,0)</f>
        <v>Ireland</v>
      </c>
      <c r="K809" s="23" t="str">
        <f>VLOOKUP(E809,Customers!$A$2:$I$1001,9,0)</f>
        <v>No</v>
      </c>
      <c r="L809" s="4" t="s">
        <v>123</v>
      </c>
      <c r="M809" s="4" t="str">
        <f>VLOOKUP(L809,Products!$A$2:$G$49,2,0)</f>
        <v>Liberica</v>
      </c>
      <c r="N809" s="4" t="str">
        <f>VLOOKUP(L809,Products!$A$2:$G$49,3,0)</f>
        <v>Dark</v>
      </c>
      <c r="O809" s="25">
        <v>3</v>
      </c>
      <c r="P809" s="5">
        <f>INDEX([1]products!$A$1:$G$49,MATCH([1]orders!$D809,[1]products!$A$1:$A$49,0),MATCH([1]orders!K$1,[1]products!$A$1:$G$1,0))</f>
        <v>0.5</v>
      </c>
      <c r="Q809" s="6">
        <f>INDEX([1]products!$A$1:$G$49,MATCH([1]orders!$D809,[1]products!$A$1:$A$49,0),MATCH([1]orders!L$1,[1]products!$A$1:$G$1,0))</f>
        <v>7.77</v>
      </c>
      <c r="R809" s="6">
        <f t="shared" si="60"/>
        <v>23.31</v>
      </c>
      <c r="S809">
        <f>VLOOKUP(L809,Products!$A$2:$G$49,7,0)</f>
        <v>1.0101</v>
      </c>
      <c r="T809">
        <f t="shared" si="63"/>
        <v>3.0303</v>
      </c>
      <c r="U809" s="33">
        <f t="shared" si="64"/>
        <v>13</v>
      </c>
    </row>
    <row r="810" spans="1:21" x14ac:dyDescent="0.25">
      <c r="A810" s="1" t="s">
        <v>1568</v>
      </c>
      <c r="B810" s="28">
        <v>43868</v>
      </c>
      <c r="C810" s="21" t="str">
        <f t="shared" si="61"/>
        <v>2020</v>
      </c>
      <c r="D810" s="19" t="str">
        <f t="shared" si="62"/>
        <v>February</v>
      </c>
      <c r="E810" s="3" t="s">
        <v>1569</v>
      </c>
      <c r="F810" s="3" t="str">
        <f>VLOOKUP(E810,Customers!$A$2:$I$1001,2,0)</f>
        <v>Allis Wilmore</v>
      </c>
      <c r="G810" s="3" t="str">
        <f>VLOOKUP(E810,Customers!$A$2:$I$1001,3,0)</f>
        <v>UNKNOWN</v>
      </c>
      <c r="H810" s="3" t="str">
        <f>VLOOKUP(E810,Customers!$A$2:$I$1001,4,0)</f>
        <v>+1 (713) 984-5207</v>
      </c>
      <c r="I810" s="25" t="str">
        <f>VLOOKUP(E810,Customers!$A$2:$I$1001,6,0)</f>
        <v>Houston</v>
      </c>
      <c r="J810" s="25" t="str">
        <f>VLOOKUP(E810,Customers!$A$2:$I$1001,7,0)</f>
        <v>United States</v>
      </c>
      <c r="K810" s="23" t="str">
        <f>VLOOKUP(E810,Customers!$A$2:$I$1001,9,0)</f>
        <v>No</v>
      </c>
      <c r="L810" s="4" t="s">
        <v>10</v>
      </c>
      <c r="M810" s="4" t="str">
        <f>VLOOKUP(L810,Products!$A$2:$G$49,2,0)</f>
        <v>Robusta</v>
      </c>
      <c r="N810" s="4" t="str">
        <f>VLOOKUP(L810,Products!$A$2:$G$49,3,0)</f>
        <v>Light</v>
      </c>
      <c r="O810" s="25">
        <v>5</v>
      </c>
      <c r="P810" s="5">
        <f>INDEX([1]products!$A$1:$G$49,MATCH([1]orders!$D810,[1]products!$A$1:$A$49,0),MATCH([1]orders!K$1,[1]products!$A$1:$G$1,0))</f>
        <v>2.5</v>
      </c>
      <c r="Q810" s="6">
        <f>INDEX([1]products!$A$1:$G$49,MATCH([1]orders!$D810,[1]products!$A$1:$A$49,0),MATCH([1]orders!L$1,[1]products!$A$1:$G$1,0))</f>
        <v>27.484999999999996</v>
      </c>
      <c r="R810" s="6">
        <f t="shared" si="60"/>
        <v>137.42499999999998</v>
      </c>
      <c r="S810">
        <f>VLOOKUP(L810,Products!$A$2:$G$49,7,0)</f>
        <v>1.6490999999999998</v>
      </c>
      <c r="T810">
        <f t="shared" si="63"/>
        <v>8.2454999999999998</v>
      </c>
      <c r="U810" s="33">
        <f t="shared" si="64"/>
        <v>6.0000000000000009</v>
      </c>
    </row>
    <row r="811" spans="1:21" x14ac:dyDescent="0.25">
      <c r="A811" s="1" t="s">
        <v>1570</v>
      </c>
      <c r="B811" s="28">
        <v>44235</v>
      </c>
      <c r="C811" s="21" t="str">
        <f t="shared" si="61"/>
        <v>2021</v>
      </c>
      <c r="D811" s="19" t="str">
        <f t="shared" si="62"/>
        <v>February</v>
      </c>
      <c r="E811" s="3" t="s">
        <v>1571</v>
      </c>
      <c r="F811" s="3" t="str">
        <f>VLOOKUP(E811,Customers!$A$2:$I$1001,2,0)</f>
        <v>Chaddie Bennie</v>
      </c>
      <c r="G811" s="3" t="str">
        <f>VLOOKUP(E811,Customers!$A$2:$I$1001,3,0)</f>
        <v>UNKNOWN</v>
      </c>
      <c r="H811" s="3" t="str">
        <f>VLOOKUP(E811,Customers!$A$2:$I$1001,4,0)</f>
        <v>+1 (915) 204-2588</v>
      </c>
      <c r="I811" s="25" t="str">
        <f>VLOOKUP(E811,Customers!$A$2:$I$1001,6,0)</f>
        <v>El Paso</v>
      </c>
      <c r="J811" s="25" t="str">
        <f>VLOOKUP(E811,Customers!$A$2:$I$1001,7,0)</f>
        <v>United States</v>
      </c>
      <c r="K811" s="23" t="str">
        <f>VLOOKUP(E811,Customers!$A$2:$I$1001,9,0)</f>
        <v>Yes</v>
      </c>
      <c r="L811" s="4" t="s">
        <v>101</v>
      </c>
      <c r="M811" s="4" t="str">
        <f>VLOOKUP(L811,Products!$A$2:$G$49,2,0)</f>
        <v>Robusta</v>
      </c>
      <c r="N811" s="4" t="str">
        <f>VLOOKUP(L811,Products!$A$2:$G$49,3,0)</f>
        <v>Dark</v>
      </c>
      <c r="O811" s="25">
        <v>3</v>
      </c>
      <c r="P811" s="5">
        <f>INDEX([1]products!$A$1:$G$49,MATCH([1]orders!$D811,[1]products!$A$1:$A$49,0),MATCH([1]orders!K$1,[1]products!$A$1:$G$1,0))</f>
        <v>0.2</v>
      </c>
      <c r="Q811" s="6">
        <f>INDEX([1]products!$A$1:$G$49,MATCH([1]orders!$D811,[1]products!$A$1:$A$49,0),MATCH([1]orders!L$1,[1]products!$A$1:$G$1,0))</f>
        <v>2.6849999999999996</v>
      </c>
      <c r="R811" s="6">
        <f t="shared" si="60"/>
        <v>8.0549999999999997</v>
      </c>
      <c r="S811">
        <f>VLOOKUP(L811,Products!$A$2:$G$49,7,0)</f>
        <v>0.16109999999999997</v>
      </c>
      <c r="T811">
        <f t="shared" si="63"/>
        <v>0.4832999999999999</v>
      </c>
      <c r="U811" s="33">
        <f t="shared" si="64"/>
        <v>5.9999999999999991</v>
      </c>
    </row>
    <row r="812" spans="1:21" x14ac:dyDescent="0.25">
      <c r="A812" s="1" t="s">
        <v>1572</v>
      </c>
      <c r="B812" s="28">
        <v>44054</v>
      </c>
      <c r="C812" s="21" t="str">
        <f t="shared" si="61"/>
        <v>2020</v>
      </c>
      <c r="D812" s="19" t="str">
        <f t="shared" si="62"/>
        <v>August</v>
      </c>
      <c r="E812" s="3" t="s">
        <v>1573</v>
      </c>
      <c r="F812" s="3" t="str">
        <f>VLOOKUP(E812,Customers!$A$2:$I$1001,2,0)</f>
        <v>Alberta Balsdone</v>
      </c>
      <c r="G812" s="3" t="str">
        <f>VLOOKUP(E812,Customers!$A$2:$I$1001,3,0)</f>
        <v>abalsdonemi@toplist.cz</v>
      </c>
      <c r="H812" s="3" t="str">
        <f>VLOOKUP(E812,Customers!$A$2:$I$1001,4,0)</f>
        <v>+1 (863) 490-5370</v>
      </c>
      <c r="I812" s="25" t="str">
        <f>VLOOKUP(E812,Customers!$A$2:$I$1001,6,0)</f>
        <v>Largo</v>
      </c>
      <c r="J812" s="25" t="str">
        <f>VLOOKUP(E812,Customers!$A$2:$I$1001,7,0)</f>
        <v>United States</v>
      </c>
      <c r="K812" s="23" t="str">
        <f>VLOOKUP(E812,Customers!$A$2:$I$1001,9,0)</f>
        <v>No</v>
      </c>
      <c r="L812" s="4" t="s">
        <v>83</v>
      </c>
      <c r="M812" s="4" t="str">
        <f>VLOOKUP(L812,Products!$A$2:$G$49,2,0)</f>
        <v>Liberica</v>
      </c>
      <c r="N812" s="4" t="str">
        <f>VLOOKUP(L812,Products!$A$2:$G$49,3,0)</f>
        <v>Light</v>
      </c>
      <c r="O812" s="25">
        <v>3</v>
      </c>
      <c r="P812" s="5">
        <f>INDEX([1]products!$A$1:$G$49,MATCH([1]orders!$D812,[1]products!$A$1:$A$49,0),MATCH([1]orders!K$1,[1]products!$A$1:$G$1,0))</f>
        <v>0.5</v>
      </c>
      <c r="Q812" s="6">
        <f>INDEX([1]products!$A$1:$G$49,MATCH([1]orders!$D812,[1]products!$A$1:$A$49,0),MATCH([1]orders!L$1,[1]products!$A$1:$G$1,0))</f>
        <v>9.51</v>
      </c>
      <c r="R812" s="6">
        <f t="shared" si="60"/>
        <v>28.53</v>
      </c>
      <c r="S812">
        <f>VLOOKUP(L812,Products!$A$2:$G$49,7,0)</f>
        <v>1.2363</v>
      </c>
      <c r="T812">
        <f t="shared" si="63"/>
        <v>3.7088999999999999</v>
      </c>
      <c r="U812" s="33">
        <f t="shared" si="64"/>
        <v>12.999999999999998</v>
      </c>
    </row>
    <row r="813" spans="1:21" x14ac:dyDescent="0.25">
      <c r="A813" s="1" t="s">
        <v>1574</v>
      </c>
      <c r="B813" s="28">
        <v>44114</v>
      </c>
      <c r="C813" s="21" t="str">
        <f t="shared" si="61"/>
        <v>2020</v>
      </c>
      <c r="D813" s="19" t="str">
        <f t="shared" si="62"/>
        <v>October</v>
      </c>
      <c r="E813" s="3" t="s">
        <v>1575</v>
      </c>
      <c r="F813" s="3" t="str">
        <f>VLOOKUP(E813,Customers!$A$2:$I$1001,2,0)</f>
        <v>Brice Romera</v>
      </c>
      <c r="G813" s="3" t="str">
        <f>VLOOKUP(E813,Customers!$A$2:$I$1001,3,0)</f>
        <v>bromeramj@list-manage.com</v>
      </c>
      <c r="H813" s="3" t="str">
        <f>VLOOKUP(E813,Customers!$A$2:$I$1001,4,0)</f>
        <v>+353 (640) 110-9801</v>
      </c>
      <c r="I813" s="25" t="str">
        <f>VLOOKUP(E813,Customers!$A$2:$I$1001,6,0)</f>
        <v>Foxrock</v>
      </c>
      <c r="J813" s="25" t="str">
        <f>VLOOKUP(E813,Customers!$A$2:$I$1001,7,0)</f>
        <v>Ireland</v>
      </c>
      <c r="K813" s="23" t="str">
        <f>VLOOKUP(E813,Customers!$A$2:$I$1001,9,0)</f>
        <v>Yes</v>
      </c>
      <c r="L813" s="4" t="s">
        <v>61</v>
      </c>
      <c r="M813" s="4" t="str">
        <f>VLOOKUP(L813,Products!$A$2:$G$49,2,0)</f>
        <v>Arabica</v>
      </c>
      <c r="N813" s="4" t="str">
        <f>VLOOKUP(L813,Products!$A$2:$G$49,3,0)</f>
        <v>Medium</v>
      </c>
      <c r="O813" s="25">
        <v>6</v>
      </c>
      <c r="P813" s="5">
        <f>INDEX([1]products!$A$1:$G$49,MATCH([1]orders!$D813,[1]products!$A$1:$A$49,0),MATCH([1]orders!K$1,[1]products!$A$1:$G$1,0))</f>
        <v>1</v>
      </c>
      <c r="Q813" s="6">
        <f>INDEX([1]products!$A$1:$G$49,MATCH([1]orders!$D813,[1]products!$A$1:$A$49,0),MATCH([1]orders!L$1,[1]products!$A$1:$G$1,0))</f>
        <v>11.25</v>
      </c>
      <c r="R813" s="6">
        <f t="shared" si="60"/>
        <v>67.5</v>
      </c>
      <c r="S813">
        <f>VLOOKUP(L813,Products!$A$2:$G$49,7,0)</f>
        <v>1.0125</v>
      </c>
      <c r="T813">
        <f t="shared" si="63"/>
        <v>6.0749999999999993</v>
      </c>
      <c r="U813" s="33">
        <f t="shared" si="64"/>
        <v>8.9999999999999982</v>
      </c>
    </row>
    <row r="814" spans="1:21" x14ac:dyDescent="0.25">
      <c r="A814" s="1" t="s">
        <v>1574</v>
      </c>
      <c r="B814" s="28">
        <v>44114</v>
      </c>
      <c r="C814" s="21" t="str">
        <f t="shared" si="61"/>
        <v>2020</v>
      </c>
      <c r="D814" s="19" t="str">
        <f t="shared" si="62"/>
        <v>October</v>
      </c>
      <c r="E814" s="3" t="s">
        <v>1575</v>
      </c>
      <c r="F814" s="3" t="str">
        <f>VLOOKUP(E814,Customers!$A$2:$I$1001,2,0)</f>
        <v>Brice Romera</v>
      </c>
      <c r="G814" s="3" t="str">
        <f>VLOOKUP(E814,Customers!$A$2:$I$1001,3,0)</f>
        <v>bromeramj@list-manage.com</v>
      </c>
      <c r="H814" s="3" t="str">
        <f>VLOOKUP(E814,Customers!$A$2:$I$1001,4,0)</f>
        <v>+353 (640) 110-9801</v>
      </c>
      <c r="I814" s="25" t="str">
        <f>VLOOKUP(E814,Customers!$A$2:$I$1001,6,0)</f>
        <v>Foxrock</v>
      </c>
      <c r="J814" s="25" t="str">
        <f>VLOOKUP(E814,Customers!$A$2:$I$1001,7,0)</f>
        <v>Ireland</v>
      </c>
      <c r="K814" s="23" t="str">
        <f>VLOOKUP(E814,Customers!$A$2:$I$1001,9,0)</f>
        <v>Yes</v>
      </c>
      <c r="L814" s="4" t="s">
        <v>109</v>
      </c>
      <c r="M814" s="4" t="str">
        <f>VLOOKUP(L814,Products!$A$2:$G$49,2,0)</f>
        <v>Liberica</v>
      </c>
      <c r="N814" s="4" t="str">
        <f>VLOOKUP(L814,Products!$A$2:$G$49,3,0)</f>
        <v>Dark</v>
      </c>
      <c r="O814" s="25">
        <v>6</v>
      </c>
      <c r="P814" s="5">
        <f>INDEX([1]products!$A$1:$G$49,MATCH([1]orders!$D814,[1]products!$A$1:$A$49,0),MATCH([1]orders!K$1,[1]products!$A$1:$G$1,0))</f>
        <v>2.5</v>
      </c>
      <c r="Q814" s="6">
        <f>INDEX([1]products!$A$1:$G$49,MATCH([1]orders!$D814,[1]products!$A$1:$A$49,0),MATCH([1]orders!L$1,[1]products!$A$1:$G$1,0))</f>
        <v>29.784999999999997</v>
      </c>
      <c r="R814" s="6">
        <f t="shared" si="60"/>
        <v>178.70999999999998</v>
      </c>
      <c r="S814">
        <f>VLOOKUP(L814,Products!$A$2:$G$49,7,0)</f>
        <v>3.8720499999999998</v>
      </c>
      <c r="T814">
        <f t="shared" si="63"/>
        <v>23.232299999999999</v>
      </c>
      <c r="U814" s="33">
        <f t="shared" si="64"/>
        <v>13</v>
      </c>
    </row>
    <row r="815" spans="1:21" x14ac:dyDescent="0.25">
      <c r="A815" s="1" t="s">
        <v>1576</v>
      </c>
      <c r="B815" s="28">
        <v>44173</v>
      </c>
      <c r="C815" s="21" t="str">
        <f t="shared" si="61"/>
        <v>2020</v>
      </c>
      <c r="D815" s="19" t="str">
        <f t="shared" si="62"/>
        <v>December</v>
      </c>
      <c r="E815" s="3" t="s">
        <v>1577</v>
      </c>
      <c r="F815" s="3" t="str">
        <f>VLOOKUP(E815,Customers!$A$2:$I$1001,2,0)</f>
        <v>Conchita Bryde</v>
      </c>
      <c r="G815" s="3" t="str">
        <f>VLOOKUP(E815,Customers!$A$2:$I$1001,3,0)</f>
        <v>cbrydeml@tuttocitta.it</v>
      </c>
      <c r="H815" s="3" t="str">
        <f>VLOOKUP(E815,Customers!$A$2:$I$1001,4,0)</f>
        <v>+1 (405) 497-2199</v>
      </c>
      <c r="I815" s="25" t="str">
        <f>VLOOKUP(E815,Customers!$A$2:$I$1001,6,0)</f>
        <v>Oklahoma City</v>
      </c>
      <c r="J815" s="25" t="str">
        <f>VLOOKUP(E815,Customers!$A$2:$I$1001,7,0)</f>
        <v>United States</v>
      </c>
      <c r="K815" s="23" t="str">
        <f>VLOOKUP(E815,Customers!$A$2:$I$1001,9,0)</f>
        <v>Yes</v>
      </c>
      <c r="L815" s="4" t="s">
        <v>112</v>
      </c>
      <c r="M815" s="4" t="str">
        <f>VLOOKUP(L815,Products!$A$2:$G$49,2,0)</f>
        <v>Excelsa</v>
      </c>
      <c r="N815" s="4" t="str">
        <f>VLOOKUP(L815,Products!$A$2:$G$49,3,0)</f>
        <v>Medium</v>
      </c>
      <c r="O815" s="25">
        <v>1</v>
      </c>
      <c r="P815" s="5">
        <f>INDEX([1]products!$A$1:$G$49,MATCH([1]orders!$D815,[1]products!$A$1:$A$49,0),MATCH([1]orders!K$1,[1]products!$A$1:$G$1,0))</f>
        <v>2.5</v>
      </c>
      <c r="Q815" s="6">
        <f>INDEX([1]products!$A$1:$G$49,MATCH([1]orders!$D815,[1]products!$A$1:$A$49,0),MATCH([1]orders!L$1,[1]products!$A$1:$G$1,0))</f>
        <v>31.624999999999996</v>
      </c>
      <c r="R815" s="6">
        <f t="shared" si="60"/>
        <v>31.624999999999996</v>
      </c>
      <c r="S815">
        <f>VLOOKUP(L815,Products!$A$2:$G$49,7,0)</f>
        <v>3.4787499999999998</v>
      </c>
      <c r="T815">
        <f t="shared" si="63"/>
        <v>3.4787499999999998</v>
      </c>
      <c r="U815" s="33">
        <f t="shared" si="64"/>
        <v>11</v>
      </c>
    </row>
    <row r="816" spans="1:21" x14ac:dyDescent="0.25">
      <c r="A816" s="1" t="s">
        <v>1578</v>
      </c>
      <c r="B816" s="28">
        <v>43573</v>
      </c>
      <c r="C816" s="21" t="str">
        <f t="shared" si="61"/>
        <v>2019</v>
      </c>
      <c r="D816" s="19" t="str">
        <f t="shared" si="62"/>
        <v>April</v>
      </c>
      <c r="E816" s="3" t="s">
        <v>1579</v>
      </c>
      <c r="F816" s="3" t="str">
        <f>VLOOKUP(E816,Customers!$A$2:$I$1001,2,0)</f>
        <v>Silvanus Enefer</v>
      </c>
      <c r="G816" s="3" t="str">
        <f>VLOOKUP(E816,Customers!$A$2:$I$1001,3,0)</f>
        <v>senefermm@blog.com</v>
      </c>
      <c r="H816" s="3" t="str">
        <f>VLOOKUP(E816,Customers!$A$2:$I$1001,4,0)</f>
        <v>+1 (202) 877-3473</v>
      </c>
      <c r="I816" s="25" t="str">
        <f>VLOOKUP(E816,Customers!$A$2:$I$1001,6,0)</f>
        <v>Washington</v>
      </c>
      <c r="J816" s="25" t="str">
        <f>VLOOKUP(E816,Customers!$A$2:$I$1001,7,0)</f>
        <v>United States</v>
      </c>
      <c r="K816" s="23" t="str">
        <f>VLOOKUP(E816,Customers!$A$2:$I$1001,9,0)</f>
        <v>No</v>
      </c>
      <c r="L816" s="4" t="s">
        <v>254</v>
      </c>
      <c r="M816" s="4" t="str">
        <f>VLOOKUP(L816,Products!$A$2:$G$49,2,0)</f>
        <v>Excelsa</v>
      </c>
      <c r="N816" s="4" t="str">
        <f>VLOOKUP(L816,Products!$A$2:$G$49,3,0)</f>
        <v>Light</v>
      </c>
      <c r="O816" s="25">
        <v>2</v>
      </c>
      <c r="P816" s="5">
        <f>INDEX([1]products!$A$1:$G$49,MATCH([1]orders!$D816,[1]products!$A$1:$A$49,0),MATCH([1]orders!K$1,[1]products!$A$1:$G$1,0))</f>
        <v>0.2</v>
      </c>
      <c r="Q816" s="6">
        <f>INDEX([1]products!$A$1:$G$49,MATCH([1]orders!$D816,[1]products!$A$1:$A$49,0),MATCH([1]orders!L$1,[1]products!$A$1:$G$1,0))</f>
        <v>4.4550000000000001</v>
      </c>
      <c r="R816" s="6">
        <f t="shared" si="60"/>
        <v>8.91</v>
      </c>
      <c r="S816">
        <f>VLOOKUP(L816,Products!$A$2:$G$49,7,0)</f>
        <v>0.49004999999999999</v>
      </c>
      <c r="T816">
        <f t="shared" si="63"/>
        <v>0.98009999999999997</v>
      </c>
      <c r="U816" s="33">
        <f t="shared" si="64"/>
        <v>11</v>
      </c>
    </row>
    <row r="817" spans="1:21" x14ac:dyDescent="0.25">
      <c r="A817" s="1" t="s">
        <v>1580</v>
      </c>
      <c r="B817" s="28">
        <v>44200</v>
      </c>
      <c r="C817" s="21" t="str">
        <f t="shared" si="61"/>
        <v>2021</v>
      </c>
      <c r="D817" s="19" t="str">
        <f t="shared" si="62"/>
        <v>January</v>
      </c>
      <c r="E817" s="3" t="s">
        <v>1581</v>
      </c>
      <c r="F817" s="3" t="str">
        <f>VLOOKUP(E817,Customers!$A$2:$I$1001,2,0)</f>
        <v>Lenci Haggerstone</v>
      </c>
      <c r="G817" s="3" t="str">
        <f>VLOOKUP(E817,Customers!$A$2:$I$1001,3,0)</f>
        <v>lhaggerstonemn@independent.co.uk</v>
      </c>
      <c r="H817" s="3" t="str">
        <f>VLOOKUP(E817,Customers!$A$2:$I$1001,4,0)</f>
        <v>+1 (770) 779-0007</v>
      </c>
      <c r="I817" s="25" t="str">
        <f>VLOOKUP(E817,Customers!$A$2:$I$1001,6,0)</f>
        <v>Atlanta</v>
      </c>
      <c r="J817" s="25" t="str">
        <f>VLOOKUP(E817,Customers!$A$2:$I$1001,7,0)</f>
        <v>United States</v>
      </c>
      <c r="K817" s="23" t="str">
        <f>VLOOKUP(E817,Customers!$A$2:$I$1001,9,0)</f>
        <v>No</v>
      </c>
      <c r="L817" s="4" t="s">
        <v>22</v>
      </c>
      <c r="M817" s="4" t="str">
        <f>VLOOKUP(L817,Products!$A$2:$G$49,2,0)</f>
        <v>Robusta</v>
      </c>
      <c r="N817" s="4" t="str">
        <f>VLOOKUP(L817,Products!$A$2:$G$49,3,0)</f>
        <v>Medium</v>
      </c>
      <c r="O817" s="25">
        <v>6</v>
      </c>
      <c r="P817" s="5">
        <f>INDEX([1]products!$A$1:$G$49,MATCH([1]orders!$D817,[1]products!$A$1:$A$49,0),MATCH([1]orders!K$1,[1]products!$A$1:$G$1,0))</f>
        <v>0.5</v>
      </c>
      <c r="Q817" s="6">
        <f>INDEX([1]products!$A$1:$G$49,MATCH([1]orders!$D817,[1]products!$A$1:$A$49,0),MATCH([1]orders!L$1,[1]products!$A$1:$G$1,0))</f>
        <v>5.97</v>
      </c>
      <c r="R817" s="6">
        <f t="shared" si="60"/>
        <v>35.82</v>
      </c>
      <c r="S817">
        <f>VLOOKUP(L817,Products!$A$2:$G$49,7,0)</f>
        <v>0.35819999999999996</v>
      </c>
      <c r="T817">
        <f t="shared" si="63"/>
        <v>2.1491999999999996</v>
      </c>
      <c r="U817" s="33">
        <f t="shared" si="64"/>
        <v>5.9999999999999982</v>
      </c>
    </row>
    <row r="818" spans="1:21" x14ac:dyDescent="0.25">
      <c r="A818" s="1" t="s">
        <v>1582</v>
      </c>
      <c r="B818" s="28">
        <v>43534</v>
      </c>
      <c r="C818" s="21" t="str">
        <f t="shared" si="61"/>
        <v>2019</v>
      </c>
      <c r="D818" s="19" t="str">
        <f t="shared" si="62"/>
        <v>March</v>
      </c>
      <c r="E818" s="3" t="s">
        <v>1583</v>
      </c>
      <c r="F818" s="3" t="str">
        <f>VLOOKUP(E818,Customers!$A$2:$I$1001,2,0)</f>
        <v>Marvin Gundry</v>
      </c>
      <c r="G818" s="3" t="str">
        <f>VLOOKUP(E818,Customers!$A$2:$I$1001,3,0)</f>
        <v>mgundrymo@omniture.com</v>
      </c>
      <c r="H818" s="3" t="str">
        <f>VLOOKUP(E818,Customers!$A$2:$I$1001,4,0)</f>
        <v>+353 (500) 164-9392</v>
      </c>
      <c r="I818" s="25" t="str">
        <f>VLOOKUP(E818,Customers!$A$2:$I$1001,6,0)</f>
        <v>Castlebridge</v>
      </c>
      <c r="J818" s="25" t="str">
        <f>VLOOKUP(E818,Customers!$A$2:$I$1001,7,0)</f>
        <v>Ireland</v>
      </c>
      <c r="K818" s="23" t="str">
        <f>VLOOKUP(E818,Customers!$A$2:$I$1001,9,0)</f>
        <v>No</v>
      </c>
      <c r="L818" s="4" t="s">
        <v>83</v>
      </c>
      <c r="M818" s="4" t="str">
        <f>VLOOKUP(L818,Products!$A$2:$G$49,2,0)</f>
        <v>Liberica</v>
      </c>
      <c r="N818" s="4" t="str">
        <f>VLOOKUP(L818,Products!$A$2:$G$49,3,0)</f>
        <v>Light</v>
      </c>
      <c r="O818" s="25">
        <v>4</v>
      </c>
      <c r="P818" s="5">
        <f>INDEX([1]products!$A$1:$G$49,MATCH([1]orders!$D818,[1]products!$A$1:$A$49,0),MATCH([1]orders!K$1,[1]products!$A$1:$G$1,0))</f>
        <v>0.5</v>
      </c>
      <c r="Q818" s="6">
        <f>INDEX([1]products!$A$1:$G$49,MATCH([1]orders!$D818,[1]products!$A$1:$A$49,0),MATCH([1]orders!L$1,[1]products!$A$1:$G$1,0))</f>
        <v>9.51</v>
      </c>
      <c r="R818" s="6">
        <f t="shared" si="60"/>
        <v>38.04</v>
      </c>
      <c r="S818">
        <f>VLOOKUP(L818,Products!$A$2:$G$49,7,0)</f>
        <v>1.2363</v>
      </c>
      <c r="T818">
        <f t="shared" si="63"/>
        <v>4.9451999999999998</v>
      </c>
      <c r="U818" s="33">
        <f t="shared" si="64"/>
        <v>13</v>
      </c>
    </row>
    <row r="819" spans="1:21" x14ac:dyDescent="0.25">
      <c r="A819" s="1" t="s">
        <v>1584</v>
      </c>
      <c r="B819" s="28">
        <v>43798</v>
      </c>
      <c r="C819" s="21" t="str">
        <f t="shared" si="61"/>
        <v>2019</v>
      </c>
      <c r="D819" s="19" t="str">
        <f t="shared" si="62"/>
        <v>November</v>
      </c>
      <c r="E819" s="3" t="s">
        <v>1585</v>
      </c>
      <c r="F819" s="3" t="str">
        <f>VLOOKUP(E819,Customers!$A$2:$I$1001,2,0)</f>
        <v>Bayard Wellan</v>
      </c>
      <c r="G819" s="3" t="str">
        <f>VLOOKUP(E819,Customers!$A$2:$I$1001,3,0)</f>
        <v>bwellanmp@cafepress.com</v>
      </c>
      <c r="H819" s="3" t="str">
        <f>VLOOKUP(E819,Customers!$A$2:$I$1001,4,0)</f>
        <v>UNKNOWN</v>
      </c>
      <c r="I819" s="25" t="str">
        <f>VLOOKUP(E819,Customers!$A$2:$I$1001,6,0)</f>
        <v>Buffalo</v>
      </c>
      <c r="J819" s="25" t="str">
        <f>VLOOKUP(E819,Customers!$A$2:$I$1001,7,0)</f>
        <v>United States</v>
      </c>
      <c r="K819" s="23" t="str">
        <f>VLOOKUP(E819,Customers!$A$2:$I$1001,9,0)</f>
        <v>No</v>
      </c>
      <c r="L819" s="4" t="s">
        <v>123</v>
      </c>
      <c r="M819" s="4" t="str">
        <f>VLOOKUP(L819,Products!$A$2:$G$49,2,0)</f>
        <v>Liberica</v>
      </c>
      <c r="N819" s="4" t="str">
        <f>VLOOKUP(L819,Products!$A$2:$G$49,3,0)</f>
        <v>Dark</v>
      </c>
      <c r="O819" s="25">
        <v>2</v>
      </c>
      <c r="P819" s="5">
        <f>INDEX([1]products!$A$1:$G$49,MATCH([1]orders!$D819,[1]products!$A$1:$A$49,0),MATCH([1]orders!K$1,[1]products!$A$1:$G$1,0))</f>
        <v>0.5</v>
      </c>
      <c r="Q819" s="6">
        <f>INDEX([1]products!$A$1:$G$49,MATCH([1]orders!$D819,[1]products!$A$1:$A$49,0),MATCH([1]orders!L$1,[1]products!$A$1:$G$1,0))</f>
        <v>7.77</v>
      </c>
      <c r="R819" s="6">
        <f t="shared" si="60"/>
        <v>15.54</v>
      </c>
      <c r="S819">
        <f>VLOOKUP(L819,Products!$A$2:$G$49,7,0)</f>
        <v>1.0101</v>
      </c>
      <c r="T819">
        <f t="shared" si="63"/>
        <v>2.0202</v>
      </c>
      <c r="U819" s="33">
        <f t="shared" si="64"/>
        <v>13</v>
      </c>
    </row>
    <row r="820" spans="1:21" x14ac:dyDescent="0.25">
      <c r="A820" s="1" t="s">
        <v>1586</v>
      </c>
      <c r="B820" s="28">
        <v>44761</v>
      </c>
      <c r="C820" s="21" t="str">
        <f t="shared" si="61"/>
        <v>2022</v>
      </c>
      <c r="D820" s="19" t="str">
        <f t="shared" si="62"/>
        <v>July</v>
      </c>
      <c r="E820" s="3" t="s">
        <v>1569</v>
      </c>
      <c r="F820" s="3" t="str">
        <f>VLOOKUP(E820,Customers!$A$2:$I$1001,2,0)</f>
        <v>Allis Wilmore</v>
      </c>
      <c r="G820" s="3" t="str">
        <f>VLOOKUP(E820,Customers!$A$2:$I$1001,3,0)</f>
        <v>UNKNOWN</v>
      </c>
      <c r="H820" s="3" t="str">
        <f>VLOOKUP(E820,Customers!$A$2:$I$1001,4,0)</f>
        <v>+1 (713) 984-5207</v>
      </c>
      <c r="I820" s="25" t="str">
        <f>VLOOKUP(E820,Customers!$A$2:$I$1001,6,0)</f>
        <v>Houston</v>
      </c>
      <c r="J820" s="25" t="str">
        <f>VLOOKUP(E820,Customers!$A$2:$I$1001,7,0)</f>
        <v>United States</v>
      </c>
      <c r="K820" s="23" t="str">
        <f>VLOOKUP(E820,Customers!$A$2:$I$1001,9,0)</f>
        <v>No</v>
      </c>
      <c r="L820" s="4" t="s">
        <v>132</v>
      </c>
      <c r="M820" s="4" t="str">
        <f>VLOOKUP(L820,Products!$A$2:$G$49,2,0)</f>
        <v>Liberica</v>
      </c>
      <c r="N820" s="4" t="str">
        <f>VLOOKUP(L820,Products!$A$2:$G$49,3,0)</f>
        <v>Light</v>
      </c>
      <c r="O820" s="25">
        <v>5</v>
      </c>
      <c r="P820" s="5">
        <f>INDEX([1]products!$A$1:$G$49,MATCH([1]orders!$D820,[1]products!$A$1:$A$49,0),MATCH([1]orders!K$1,[1]products!$A$1:$G$1,0))</f>
        <v>1</v>
      </c>
      <c r="Q820" s="6">
        <f>INDEX([1]products!$A$1:$G$49,MATCH([1]orders!$D820,[1]products!$A$1:$A$49,0),MATCH([1]orders!L$1,[1]products!$A$1:$G$1,0))</f>
        <v>15.85</v>
      </c>
      <c r="R820" s="6">
        <f t="shared" si="60"/>
        <v>79.25</v>
      </c>
      <c r="S820">
        <f>VLOOKUP(L820,Products!$A$2:$G$49,7,0)</f>
        <v>2.0605000000000002</v>
      </c>
      <c r="T820">
        <f t="shared" si="63"/>
        <v>10.302500000000002</v>
      </c>
      <c r="U820" s="33">
        <f t="shared" si="64"/>
        <v>13.000000000000004</v>
      </c>
    </row>
    <row r="821" spans="1:21" x14ac:dyDescent="0.25">
      <c r="A821" s="1" t="s">
        <v>1587</v>
      </c>
      <c r="B821" s="28">
        <v>44008</v>
      </c>
      <c r="C821" s="21" t="str">
        <f t="shared" si="61"/>
        <v>2020</v>
      </c>
      <c r="D821" s="19" t="str">
        <f t="shared" si="62"/>
        <v>June</v>
      </c>
      <c r="E821" s="3" t="s">
        <v>1588</v>
      </c>
      <c r="F821" s="3" t="str">
        <f>VLOOKUP(E821,Customers!$A$2:$I$1001,2,0)</f>
        <v>Caddric Atcheson</v>
      </c>
      <c r="G821" s="3" t="str">
        <f>VLOOKUP(E821,Customers!$A$2:$I$1001,3,0)</f>
        <v>catchesonmr@xinhuanet.com</v>
      </c>
      <c r="H821" s="3" t="str">
        <f>VLOOKUP(E821,Customers!$A$2:$I$1001,4,0)</f>
        <v>+1 (202) 975-7723</v>
      </c>
      <c r="I821" s="25" t="str">
        <f>VLOOKUP(E821,Customers!$A$2:$I$1001,6,0)</f>
        <v>Washington</v>
      </c>
      <c r="J821" s="25" t="str">
        <f>VLOOKUP(E821,Customers!$A$2:$I$1001,7,0)</f>
        <v>United States</v>
      </c>
      <c r="K821" s="23" t="str">
        <f>VLOOKUP(E821,Customers!$A$2:$I$1001,9,0)</f>
        <v>Yes</v>
      </c>
      <c r="L821" s="4" t="s">
        <v>19</v>
      </c>
      <c r="M821" s="4" t="str">
        <f>VLOOKUP(L821,Products!$A$2:$G$49,2,0)</f>
        <v>Liberica</v>
      </c>
      <c r="N821" s="4" t="str">
        <f>VLOOKUP(L821,Products!$A$2:$G$49,3,0)</f>
        <v>Light</v>
      </c>
      <c r="O821" s="25">
        <v>1</v>
      </c>
      <c r="P821" s="5">
        <f>INDEX([1]products!$A$1:$G$49,MATCH([1]orders!$D821,[1]products!$A$1:$A$49,0),MATCH([1]orders!K$1,[1]products!$A$1:$G$1,0))</f>
        <v>0.2</v>
      </c>
      <c r="Q821" s="6">
        <f>INDEX([1]products!$A$1:$G$49,MATCH([1]orders!$D821,[1]products!$A$1:$A$49,0),MATCH([1]orders!L$1,[1]products!$A$1:$G$1,0))</f>
        <v>4.7549999999999999</v>
      </c>
      <c r="R821" s="6">
        <f t="shared" si="60"/>
        <v>4.7549999999999999</v>
      </c>
      <c r="S821">
        <f>VLOOKUP(L821,Products!$A$2:$G$49,7,0)</f>
        <v>0.61814999999999998</v>
      </c>
      <c r="T821">
        <f t="shared" si="63"/>
        <v>0.61814999999999998</v>
      </c>
      <c r="U821" s="33">
        <f t="shared" si="64"/>
        <v>13</v>
      </c>
    </row>
    <row r="822" spans="1:21" x14ac:dyDescent="0.25">
      <c r="A822" s="1" t="s">
        <v>1589</v>
      </c>
      <c r="B822" s="28">
        <v>43510</v>
      </c>
      <c r="C822" s="21" t="str">
        <f t="shared" si="61"/>
        <v>2019</v>
      </c>
      <c r="D822" s="19" t="str">
        <f t="shared" si="62"/>
        <v>February</v>
      </c>
      <c r="E822" s="3" t="s">
        <v>1590</v>
      </c>
      <c r="F822" s="3" t="str">
        <f>VLOOKUP(E822,Customers!$A$2:$I$1001,2,0)</f>
        <v>Eustace Stenton</v>
      </c>
      <c r="G822" s="3" t="str">
        <f>VLOOKUP(E822,Customers!$A$2:$I$1001,3,0)</f>
        <v>estentonms@google.it</v>
      </c>
      <c r="H822" s="3" t="str">
        <f>VLOOKUP(E822,Customers!$A$2:$I$1001,4,0)</f>
        <v>+1 (512) 819-1430</v>
      </c>
      <c r="I822" s="25" t="str">
        <f>VLOOKUP(E822,Customers!$A$2:$I$1001,6,0)</f>
        <v>Austin</v>
      </c>
      <c r="J822" s="25" t="str">
        <f>VLOOKUP(E822,Customers!$A$2:$I$1001,7,0)</f>
        <v>United States</v>
      </c>
      <c r="K822" s="23" t="str">
        <f>VLOOKUP(E822,Customers!$A$2:$I$1001,9,0)</f>
        <v>Yes</v>
      </c>
      <c r="L822" s="4" t="s">
        <v>9</v>
      </c>
      <c r="M822" s="4" t="str">
        <f>VLOOKUP(L822,Products!$A$2:$G$49,2,0)</f>
        <v>Excelsa</v>
      </c>
      <c r="N822" s="4" t="str">
        <f>VLOOKUP(L822,Products!$A$2:$G$49,3,0)</f>
        <v>Medium</v>
      </c>
      <c r="O822" s="25">
        <v>4</v>
      </c>
      <c r="P822" s="5">
        <f>INDEX([1]products!$A$1:$G$49,MATCH([1]orders!$D822,[1]products!$A$1:$A$49,0),MATCH([1]orders!K$1,[1]products!$A$1:$G$1,0))</f>
        <v>1</v>
      </c>
      <c r="Q822" s="6">
        <f>INDEX([1]products!$A$1:$G$49,MATCH([1]orders!$D822,[1]products!$A$1:$A$49,0),MATCH([1]orders!L$1,[1]products!$A$1:$G$1,0))</f>
        <v>13.75</v>
      </c>
      <c r="R822" s="6">
        <f t="shared" si="60"/>
        <v>55</v>
      </c>
      <c r="S822">
        <f>VLOOKUP(L822,Products!$A$2:$G$49,7,0)</f>
        <v>1.5125</v>
      </c>
      <c r="T822">
        <f t="shared" si="63"/>
        <v>6.05</v>
      </c>
      <c r="U822" s="33">
        <f t="shared" si="64"/>
        <v>11</v>
      </c>
    </row>
    <row r="823" spans="1:21" x14ac:dyDescent="0.25">
      <c r="A823" s="1" t="s">
        <v>1591</v>
      </c>
      <c r="B823" s="28">
        <v>44144</v>
      </c>
      <c r="C823" s="21" t="str">
        <f t="shared" si="61"/>
        <v>2020</v>
      </c>
      <c r="D823" s="19" t="str">
        <f t="shared" si="62"/>
        <v>November</v>
      </c>
      <c r="E823" s="3" t="s">
        <v>1592</v>
      </c>
      <c r="F823" s="3" t="str">
        <f>VLOOKUP(E823,Customers!$A$2:$I$1001,2,0)</f>
        <v>Ericka Tripp</v>
      </c>
      <c r="G823" s="3" t="str">
        <f>VLOOKUP(E823,Customers!$A$2:$I$1001,3,0)</f>
        <v>etrippmt@wp.com</v>
      </c>
      <c r="H823" s="3" t="str">
        <f>VLOOKUP(E823,Customers!$A$2:$I$1001,4,0)</f>
        <v>+1 (602) 971-9708</v>
      </c>
      <c r="I823" s="25" t="str">
        <f>VLOOKUP(E823,Customers!$A$2:$I$1001,6,0)</f>
        <v>Mesa</v>
      </c>
      <c r="J823" s="25" t="str">
        <f>VLOOKUP(E823,Customers!$A$2:$I$1001,7,0)</f>
        <v>United States</v>
      </c>
      <c r="K823" s="23" t="str">
        <f>VLOOKUP(E823,Customers!$A$2:$I$1001,9,0)</f>
        <v>No</v>
      </c>
      <c r="L823" s="4" t="s">
        <v>146</v>
      </c>
      <c r="M823" s="4" t="str">
        <f>VLOOKUP(L823,Products!$A$2:$G$49,2,0)</f>
        <v>Robusta</v>
      </c>
      <c r="N823" s="4" t="str">
        <f>VLOOKUP(L823,Products!$A$2:$G$49,3,0)</f>
        <v>Dark</v>
      </c>
      <c r="O823" s="25">
        <v>5</v>
      </c>
      <c r="P823" s="5">
        <f>INDEX([1]products!$A$1:$G$49,MATCH([1]orders!$D823,[1]products!$A$1:$A$49,0),MATCH([1]orders!K$1,[1]products!$A$1:$G$1,0))</f>
        <v>0.5</v>
      </c>
      <c r="Q823" s="6">
        <f>INDEX([1]products!$A$1:$G$49,MATCH([1]orders!$D823,[1]products!$A$1:$A$49,0),MATCH([1]orders!L$1,[1]products!$A$1:$G$1,0))</f>
        <v>5.3699999999999992</v>
      </c>
      <c r="R823" s="6">
        <f t="shared" si="60"/>
        <v>26.849999999999994</v>
      </c>
      <c r="S823">
        <f>VLOOKUP(L823,Products!$A$2:$G$49,7,0)</f>
        <v>0.32219999999999993</v>
      </c>
      <c r="T823">
        <f t="shared" si="63"/>
        <v>1.6109999999999998</v>
      </c>
      <c r="U823" s="33">
        <f t="shared" si="64"/>
        <v>6.0000000000000009</v>
      </c>
    </row>
    <row r="824" spans="1:21" x14ac:dyDescent="0.25">
      <c r="A824" s="1" t="s">
        <v>1593</v>
      </c>
      <c r="B824" s="28">
        <v>43585</v>
      </c>
      <c r="C824" s="21" t="str">
        <f t="shared" si="61"/>
        <v>2019</v>
      </c>
      <c r="D824" s="19" t="str">
        <f t="shared" si="62"/>
        <v>April</v>
      </c>
      <c r="E824" s="3" t="s">
        <v>1594</v>
      </c>
      <c r="F824" s="3" t="str">
        <f>VLOOKUP(E824,Customers!$A$2:$I$1001,2,0)</f>
        <v>Lyndsey MacManus</v>
      </c>
      <c r="G824" s="3" t="str">
        <f>VLOOKUP(E824,Customers!$A$2:$I$1001,3,0)</f>
        <v>lmacmanusmu@imdb.com</v>
      </c>
      <c r="H824" s="3" t="str">
        <f>VLOOKUP(E824,Customers!$A$2:$I$1001,4,0)</f>
        <v>+1 (912) 191-6620</v>
      </c>
      <c r="I824" s="25" t="str">
        <f>VLOOKUP(E824,Customers!$A$2:$I$1001,6,0)</f>
        <v>Savannah</v>
      </c>
      <c r="J824" s="25" t="str">
        <f>VLOOKUP(E824,Customers!$A$2:$I$1001,7,0)</f>
        <v>United States</v>
      </c>
      <c r="K824" s="23" t="str">
        <f>VLOOKUP(E824,Customers!$A$2:$I$1001,9,0)</f>
        <v>No</v>
      </c>
      <c r="L824" s="4" t="s">
        <v>30</v>
      </c>
      <c r="M824" s="4" t="str">
        <f>VLOOKUP(L824,Products!$A$2:$G$49,2,0)</f>
        <v>Excelsa</v>
      </c>
      <c r="N824" s="4" t="str">
        <f>VLOOKUP(L824,Products!$A$2:$G$49,3,0)</f>
        <v>Light</v>
      </c>
      <c r="O824" s="25">
        <v>4</v>
      </c>
      <c r="P824" s="5">
        <f>INDEX([1]products!$A$1:$G$49,MATCH([1]orders!$D824,[1]products!$A$1:$A$49,0),MATCH([1]orders!K$1,[1]products!$A$1:$G$1,0))</f>
        <v>2.5</v>
      </c>
      <c r="Q824" s="6">
        <f>INDEX([1]products!$A$1:$G$49,MATCH([1]orders!$D824,[1]products!$A$1:$A$49,0),MATCH([1]orders!L$1,[1]products!$A$1:$G$1,0))</f>
        <v>34.154999999999994</v>
      </c>
      <c r="R824" s="6">
        <f t="shared" si="60"/>
        <v>136.61999999999998</v>
      </c>
      <c r="S824">
        <f>VLOOKUP(L824,Products!$A$2:$G$49,7,0)</f>
        <v>3.7570499999999996</v>
      </c>
      <c r="T824">
        <f t="shared" si="63"/>
        <v>15.028199999999998</v>
      </c>
      <c r="U824" s="33">
        <f t="shared" si="64"/>
        <v>11</v>
      </c>
    </row>
    <row r="825" spans="1:21" x14ac:dyDescent="0.25">
      <c r="A825" s="1" t="s">
        <v>1595</v>
      </c>
      <c r="B825" s="28">
        <v>44134</v>
      </c>
      <c r="C825" s="21" t="str">
        <f t="shared" si="61"/>
        <v>2020</v>
      </c>
      <c r="D825" s="19" t="str">
        <f t="shared" si="62"/>
        <v>October</v>
      </c>
      <c r="E825" s="3" t="s">
        <v>1596</v>
      </c>
      <c r="F825" s="3" t="str">
        <f>VLOOKUP(E825,Customers!$A$2:$I$1001,2,0)</f>
        <v>Tess Benediktovich</v>
      </c>
      <c r="G825" s="3" t="str">
        <f>VLOOKUP(E825,Customers!$A$2:$I$1001,3,0)</f>
        <v>tbenediktovichmv@ebay.com</v>
      </c>
      <c r="H825" s="3" t="str">
        <f>VLOOKUP(E825,Customers!$A$2:$I$1001,4,0)</f>
        <v>+1 (505) 523-8113</v>
      </c>
      <c r="I825" s="25" t="str">
        <f>VLOOKUP(E825,Customers!$A$2:$I$1001,6,0)</f>
        <v>Albuquerque</v>
      </c>
      <c r="J825" s="25" t="str">
        <f>VLOOKUP(E825,Customers!$A$2:$I$1001,7,0)</f>
        <v>United States</v>
      </c>
      <c r="K825" s="23" t="str">
        <f>VLOOKUP(E825,Customers!$A$2:$I$1001,9,0)</f>
        <v>Yes</v>
      </c>
      <c r="L825" s="4" t="s">
        <v>132</v>
      </c>
      <c r="M825" s="4" t="str">
        <f>VLOOKUP(L825,Products!$A$2:$G$49,2,0)</f>
        <v>Liberica</v>
      </c>
      <c r="N825" s="4" t="str">
        <f>VLOOKUP(L825,Products!$A$2:$G$49,3,0)</f>
        <v>Light</v>
      </c>
      <c r="O825" s="25">
        <v>3</v>
      </c>
      <c r="P825" s="5">
        <f>INDEX([1]products!$A$1:$G$49,MATCH([1]orders!$D825,[1]products!$A$1:$A$49,0),MATCH([1]orders!K$1,[1]products!$A$1:$G$1,0))</f>
        <v>1</v>
      </c>
      <c r="Q825" s="6">
        <f>INDEX([1]products!$A$1:$G$49,MATCH([1]orders!$D825,[1]products!$A$1:$A$49,0),MATCH([1]orders!L$1,[1]products!$A$1:$G$1,0))</f>
        <v>15.85</v>
      </c>
      <c r="R825" s="6">
        <f t="shared" si="60"/>
        <v>47.55</v>
      </c>
      <c r="S825">
        <f>VLOOKUP(L825,Products!$A$2:$G$49,7,0)</f>
        <v>2.0605000000000002</v>
      </c>
      <c r="T825">
        <f t="shared" si="63"/>
        <v>6.1815000000000007</v>
      </c>
      <c r="U825" s="33">
        <f t="shared" si="64"/>
        <v>13.000000000000004</v>
      </c>
    </row>
    <row r="826" spans="1:21" x14ac:dyDescent="0.25">
      <c r="A826" s="1" t="s">
        <v>1597</v>
      </c>
      <c r="B826" s="28">
        <v>43781</v>
      </c>
      <c r="C826" s="21" t="str">
        <f t="shared" si="61"/>
        <v>2019</v>
      </c>
      <c r="D826" s="19" t="str">
        <f t="shared" si="62"/>
        <v>November</v>
      </c>
      <c r="E826" s="3" t="s">
        <v>1598</v>
      </c>
      <c r="F826" s="3" t="str">
        <f>VLOOKUP(E826,Customers!$A$2:$I$1001,2,0)</f>
        <v>Correy Bourner</v>
      </c>
      <c r="G826" s="3" t="str">
        <f>VLOOKUP(E826,Customers!$A$2:$I$1001,3,0)</f>
        <v>cbournermw@chronoengine.com</v>
      </c>
      <c r="H826" s="3" t="str">
        <f>VLOOKUP(E826,Customers!$A$2:$I$1001,4,0)</f>
        <v>UNKNOWN</v>
      </c>
      <c r="I826" s="25" t="str">
        <f>VLOOKUP(E826,Customers!$A$2:$I$1001,6,0)</f>
        <v>Charlotte</v>
      </c>
      <c r="J826" s="25" t="str">
        <f>VLOOKUP(E826,Customers!$A$2:$I$1001,7,0)</f>
        <v>United States</v>
      </c>
      <c r="K826" s="23" t="str">
        <f>VLOOKUP(E826,Customers!$A$2:$I$1001,9,0)</f>
        <v>Yes</v>
      </c>
      <c r="L826" s="4" t="s">
        <v>44</v>
      </c>
      <c r="M826" s="4" t="str">
        <f>VLOOKUP(L826,Products!$A$2:$G$49,2,0)</f>
        <v>Arabica</v>
      </c>
      <c r="N826" s="4" t="str">
        <f>VLOOKUP(L826,Products!$A$2:$G$49,3,0)</f>
        <v>Medium</v>
      </c>
      <c r="O826" s="25">
        <v>5</v>
      </c>
      <c r="P826" s="5">
        <f>INDEX([1]products!$A$1:$G$49,MATCH([1]orders!$D826,[1]products!$A$1:$A$49,0),MATCH([1]orders!K$1,[1]products!$A$1:$G$1,0))</f>
        <v>0.2</v>
      </c>
      <c r="Q826" s="6">
        <f>INDEX([1]products!$A$1:$G$49,MATCH([1]orders!$D826,[1]products!$A$1:$A$49,0),MATCH([1]orders!L$1,[1]products!$A$1:$G$1,0))</f>
        <v>3.375</v>
      </c>
      <c r="R826" s="6">
        <f t="shared" si="60"/>
        <v>16.875</v>
      </c>
      <c r="S826">
        <f>VLOOKUP(L826,Products!$A$2:$G$49,7,0)</f>
        <v>0.30374999999999996</v>
      </c>
      <c r="T826">
        <f t="shared" si="63"/>
        <v>1.5187499999999998</v>
      </c>
      <c r="U826" s="33">
        <f t="shared" si="64"/>
        <v>8.9999999999999982</v>
      </c>
    </row>
    <row r="827" spans="1:21" x14ac:dyDescent="0.25">
      <c r="A827" s="1" t="s">
        <v>1599</v>
      </c>
      <c r="B827" s="28">
        <v>44603</v>
      </c>
      <c r="C827" s="21" t="str">
        <f t="shared" si="61"/>
        <v>2022</v>
      </c>
      <c r="D827" s="19" t="str">
        <f t="shared" si="62"/>
        <v>February</v>
      </c>
      <c r="E827" s="3" t="s">
        <v>1600</v>
      </c>
      <c r="F827" s="3" t="str">
        <f>VLOOKUP(E827,Customers!$A$2:$I$1001,2,0)</f>
        <v>Odelia Skerme</v>
      </c>
      <c r="G827" s="3" t="str">
        <f>VLOOKUP(E827,Customers!$A$2:$I$1001,3,0)</f>
        <v>oskermen3@hatena.ne.jp</v>
      </c>
      <c r="H827" s="3" t="str">
        <f>VLOOKUP(E827,Customers!$A$2:$I$1001,4,0)</f>
        <v>+1 (405) 615-0298</v>
      </c>
      <c r="I827" s="25" t="str">
        <f>VLOOKUP(E827,Customers!$A$2:$I$1001,6,0)</f>
        <v>Oklahoma City</v>
      </c>
      <c r="J827" s="25" t="str">
        <f>VLOOKUP(E827,Customers!$A$2:$I$1001,7,0)</f>
        <v>United States</v>
      </c>
      <c r="K827" s="23" t="str">
        <f>VLOOKUP(E827,Customers!$A$2:$I$1001,9,0)</f>
        <v>Yes</v>
      </c>
      <c r="L827" s="4" t="s">
        <v>27</v>
      </c>
      <c r="M827" s="4" t="str">
        <f>VLOOKUP(L827,Products!$A$2:$G$49,2,0)</f>
        <v>Arabica</v>
      </c>
      <c r="N827" s="4" t="str">
        <f>VLOOKUP(L827,Products!$A$2:$G$49,3,0)</f>
        <v>Dark</v>
      </c>
      <c r="O827" s="25">
        <v>3</v>
      </c>
      <c r="P827" s="5">
        <f>INDEX([1]products!$A$1:$G$49,MATCH([1]orders!$D827,[1]products!$A$1:$A$49,0),MATCH([1]orders!K$1,[1]products!$A$1:$G$1,0))</f>
        <v>1</v>
      </c>
      <c r="Q827" s="6">
        <f>INDEX([1]products!$A$1:$G$49,MATCH([1]orders!$D827,[1]products!$A$1:$A$49,0),MATCH([1]orders!L$1,[1]products!$A$1:$G$1,0))</f>
        <v>9.9499999999999993</v>
      </c>
      <c r="R827" s="6">
        <f t="shared" si="60"/>
        <v>29.849999999999998</v>
      </c>
      <c r="S827">
        <f>VLOOKUP(L827,Products!$A$2:$G$49,7,0)</f>
        <v>0.89549999999999985</v>
      </c>
      <c r="T827">
        <f t="shared" si="63"/>
        <v>2.6864999999999997</v>
      </c>
      <c r="U827" s="33">
        <f t="shared" si="64"/>
        <v>9</v>
      </c>
    </row>
    <row r="828" spans="1:21" x14ac:dyDescent="0.25">
      <c r="A828" s="1" t="s">
        <v>1601</v>
      </c>
      <c r="B828" s="28">
        <v>44283</v>
      </c>
      <c r="C828" s="21" t="str">
        <f t="shared" si="61"/>
        <v>2021</v>
      </c>
      <c r="D828" s="19" t="str">
        <f t="shared" si="62"/>
        <v>March</v>
      </c>
      <c r="E828" s="3" t="s">
        <v>1602</v>
      </c>
      <c r="F828" s="3" t="str">
        <f>VLOOKUP(E828,Customers!$A$2:$I$1001,2,0)</f>
        <v>Kandy Heddan</v>
      </c>
      <c r="G828" s="3" t="str">
        <f>VLOOKUP(E828,Customers!$A$2:$I$1001,3,0)</f>
        <v>kheddanmy@icq.com</v>
      </c>
      <c r="H828" s="3" t="str">
        <f>VLOOKUP(E828,Customers!$A$2:$I$1001,4,0)</f>
        <v>+1 (850) 796-6812</v>
      </c>
      <c r="I828" s="25" t="str">
        <f>VLOOKUP(E828,Customers!$A$2:$I$1001,6,0)</f>
        <v>Pensacola</v>
      </c>
      <c r="J828" s="25" t="str">
        <f>VLOOKUP(E828,Customers!$A$2:$I$1001,7,0)</f>
        <v>United States</v>
      </c>
      <c r="K828" s="23" t="str">
        <f>VLOOKUP(E828,Customers!$A$2:$I$1001,9,0)</f>
        <v>Yes</v>
      </c>
      <c r="L828" s="4" t="s">
        <v>3</v>
      </c>
      <c r="M828" s="4" t="str">
        <f>VLOOKUP(L828,Products!$A$2:$G$49,2,0)</f>
        <v>Excelsa</v>
      </c>
      <c r="N828" s="4" t="str">
        <f>VLOOKUP(L828,Products!$A$2:$G$49,3,0)</f>
        <v>Medium</v>
      </c>
      <c r="O828" s="25">
        <v>5</v>
      </c>
      <c r="P828" s="5">
        <f>INDEX([1]products!$A$1:$G$49,MATCH([1]orders!$D828,[1]products!$A$1:$A$49,0),MATCH([1]orders!K$1,[1]products!$A$1:$G$1,0))</f>
        <v>0.5</v>
      </c>
      <c r="Q828" s="6">
        <f>INDEX([1]products!$A$1:$G$49,MATCH([1]orders!$D828,[1]products!$A$1:$A$49,0),MATCH([1]orders!L$1,[1]products!$A$1:$G$1,0))</f>
        <v>8.25</v>
      </c>
      <c r="R828" s="6">
        <f t="shared" si="60"/>
        <v>41.25</v>
      </c>
      <c r="S828">
        <f>VLOOKUP(L828,Products!$A$2:$G$49,7,0)</f>
        <v>0.90749999999999997</v>
      </c>
      <c r="T828">
        <f t="shared" si="63"/>
        <v>4.5374999999999996</v>
      </c>
      <c r="U828" s="33">
        <f t="shared" si="64"/>
        <v>10.999999999999998</v>
      </c>
    </row>
    <row r="829" spans="1:21" x14ac:dyDescent="0.25">
      <c r="A829" s="1" t="s">
        <v>1603</v>
      </c>
      <c r="B829" s="28">
        <v>44540</v>
      </c>
      <c r="C829" s="21" t="str">
        <f t="shared" si="61"/>
        <v>2021</v>
      </c>
      <c r="D829" s="19" t="str">
        <f t="shared" si="62"/>
        <v>December</v>
      </c>
      <c r="E829" s="3" t="s">
        <v>1604</v>
      </c>
      <c r="F829" s="3" t="str">
        <f>VLOOKUP(E829,Customers!$A$2:$I$1001,2,0)</f>
        <v>Ibby Charters</v>
      </c>
      <c r="G829" s="3" t="str">
        <f>VLOOKUP(E829,Customers!$A$2:$I$1001,3,0)</f>
        <v>ichartersmz@abc.net.au</v>
      </c>
      <c r="H829" s="3" t="str">
        <f>VLOOKUP(E829,Customers!$A$2:$I$1001,4,0)</f>
        <v>+1 (202) 710-9776</v>
      </c>
      <c r="I829" s="25" t="str">
        <f>VLOOKUP(E829,Customers!$A$2:$I$1001,6,0)</f>
        <v>Washington</v>
      </c>
      <c r="J829" s="25" t="str">
        <f>VLOOKUP(E829,Customers!$A$2:$I$1001,7,0)</f>
        <v>United States</v>
      </c>
      <c r="K829" s="23" t="str">
        <f>VLOOKUP(E829,Customers!$A$2:$I$1001,9,0)</f>
        <v>No</v>
      </c>
      <c r="L829" s="4" t="s">
        <v>64</v>
      </c>
      <c r="M829" s="4" t="str">
        <f>VLOOKUP(L829,Products!$A$2:$G$49,2,0)</f>
        <v>Excelsa</v>
      </c>
      <c r="N829" s="4" t="str">
        <f>VLOOKUP(L829,Products!$A$2:$G$49,3,0)</f>
        <v>Medium</v>
      </c>
      <c r="O829" s="25">
        <v>5</v>
      </c>
      <c r="P829" s="5">
        <f>INDEX([1]products!$A$1:$G$49,MATCH([1]orders!$D829,[1]products!$A$1:$A$49,0),MATCH([1]orders!K$1,[1]products!$A$1:$G$1,0))</f>
        <v>0.2</v>
      </c>
      <c r="Q829" s="6">
        <f>INDEX([1]products!$A$1:$G$49,MATCH([1]orders!$D829,[1]products!$A$1:$A$49,0),MATCH([1]orders!L$1,[1]products!$A$1:$G$1,0))</f>
        <v>4.125</v>
      </c>
      <c r="R829" s="6">
        <f t="shared" si="60"/>
        <v>20.625</v>
      </c>
      <c r="S829">
        <f>VLOOKUP(L829,Products!$A$2:$G$49,7,0)</f>
        <v>0.45374999999999999</v>
      </c>
      <c r="T829">
        <f t="shared" si="63"/>
        <v>2.2687499999999998</v>
      </c>
      <c r="U829" s="33">
        <f t="shared" si="64"/>
        <v>10.999999999999998</v>
      </c>
    </row>
    <row r="830" spans="1:21" x14ac:dyDescent="0.25">
      <c r="A830" s="1" t="s">
        <v>1605</v>
      </c>
      <c r="B830" s="28">
        <v>44505</v>
      </c>
      <c r="C830" s="21" t="str">
        <f t="shared" si="61"/>
        <v>2021</v>
      </c>
      <c r="D830" s="19" t="str">
        <f t="shared" si="62"/>
        <v>November</v>
      </c>
      <c r="E830" s="3" t="s">
        <v>1606</v>
      </c>
      <c r="F830" s="3" t="str">
        <f>VLOOKUP(E830,Customers!$A$2:$I$1001,2,0)</f>
        <v>Adora Roubert</v>
      </c>
      <c r="G830" s="3" t="str">
        <f>VLOOKUP(E830,Customers!$A$2:$I$1001,3,0)</f>
        <v>aroubertn0@tmall.com</v>
      </c>
      <c r="H830" s="3" t="str">
        <f>VLOOKUP(E830,Customers!$A$2:$I$1001,4,0)</f>
        <v>+1 (772) 366-6549</v>
      </c>
      <c r="I830" s="25" t="str">
        <f>VLOOKUP(E830,Customers!$A$2:$I$1001,6,0)</f>
        <v>Port Saint Lucie</v>
      </c>
      <c r="J830" s="25" t="str">
        <f>VLOOKUP(E830,Customers!$A$2:$I$1001,7,0)</f>
        <v>United States</v>
      </c>
      <c r="K830" s="23" t="str">
        <f>VLOOKUP(E830,Customers!$A$2:$I$1001,9,0)</f>
        <v>Yes</v>
      </c>
      <c r="L830" s="4" t="s">
        <v>118</v>
      </c>
      <c r="M830" s="4" t="str">
        <f>VLOOKUP(L830,Products!$A$2:$G$49,2,0)</f>
        <v>Arabica</v>
      </c>
      <c r="N830" s="4" t="str">
        <f>VLOOKUP(L830,Products!$A$2:$G$49,3,0)</f>
        <v>Dark</v>
      </c>
      <c r="O830" s="25">
        <v>6</v>
      </c>
      <c r="P830" s="5">
        <f>INDEX([1]products!$A$1:$G$49,MATCH([1]orders!$D830,[1]products!$A$1:$A$49,0),MATCH([1]orders!K$1,[1]products!$A$1:$G$1,0))</f>
        <v>2.5</v>
      </c>
      <c r="Q830" s="6">
        <f>INDEX([1]products!$A$1:$G$49,MATCH([1]orders!$D830,[1]products!$A$1:$A$49,0),MATCH([1]orders!L$1,[1]products!$A$1:$G$1,0))</f>
        <v>22.884999999999998</v>
      </c>
      <c r="R830" s="6">
        <f t="shared" si="60"/>
        <v>137.31</v>
      </c>
      <c r="S830">
        <f>VLOOKUP(L830,Products!$A$2:$G$49,7,0)</f>
        <v>2.0596499999999995</v>
      </c>
      <c r="T830">
        <f t="shared" si="63"/>
        <v>12.357899999999997</v>
      </c>
      <c r="U830" s="33">
        <f t="shared" si="64"/>
        <v>8.9999999999999982</v>
      </c>
    </row>
    <row r="831" spans="1:21" x14ac:dyDescent="0.25">
      <c r="A831" s="1" t="s">
        <v>1607</v>
      </c>
      <c r="B831" s="28">
        <v>43890</v>
      </c>
      <c r="C831" s="21" t="str">
        <f t="shared" si="61"/>
        <v>2020</v>
      </c>
      <c r="D831" s="19" t="str">
        <f t="shared" si="62"/>
        <v>February</v>
      </c>
      <c r="E831" s="3" t="s">
        <v>1608</v>
      </c>
      <c r="F831" s="3" t="str">
        <f>VLOOKUP(E831,Customers!$A$2:$I$1001,2,0)</f>
        <v>Hillel Mairs</v>
      </c>
      <c r="G831" s="3" t="str">
        <f>VLOOKUP(E831,Customers!$A$2:$I$1001,3,0)</f>
        <v>hmairsn1@so-net.ne.jp</v>
      </c>
      <c r="H831" s="3" t="str">
        <f>VLOOKUP(E831,Customers!$A$2:$I$1001,4,0)</f>
        <v>+1 (304) 834-9665</v>
      </c>
      <c r="I831" s="25" t="str">
        <f>VLOOKUP(E831,Customers!$A$2:$I$1001,6,0)</f>
        <v>Huntington</v>
      </c>
      <c r="J831" s="25" t="str">
        <f>VLOOKUP(E831,Customers!$A$2:$I$1001,7,0)</f>
        <v>United States</v>
      </c>
      <c r="K831" s="23" t="str">
        <f>VLOOKUP(E831,Customers!$A$2:$I$1001,9,0)</f>
        <v>No</v>
      </c>
      <c r="L831" s="4" t="s">
        <v>54</v>
      </c>
      <c r="M831" s="4" t="str">
        <f>VLOOKUP(L831,Products!$A$2:$G$49,2,0)</f>
        <v>Arabica</v>
      </c>
      <c r="N831" s="4" t="str">
        <f>VLOOKUP(L831,Products!$A$2:$G$49,3,0)</f>
        <v>Dark</v>
      </c>
      <c r="O831" s="25">
        <v>1</v>
      </c>
      <c r="P831" s="5">
        <f>INDEX([1]products!$A$1:$G$49,MATCH([1]orders!$D831,[1]products!$A$1:$A$49,0),MATCH([1]orders!K$1,[1]products!$A$1:$G$1,0))</f>
        <v>0.2</v>
      </c>
      <c r="Q831" s="6">
        <f>INDEX([1]products!$A$1:$G$49,MATCH([1]orders!$D831,[1]products!$A$1:$A$49,0),MATCH([1]orders!L$1,[1]products!$A$1:$G$1,0))</f>
        <v>2.9849999999999999</v>
      </c>
      <c r="R831" s="6">
        <f t="shared" si="60"/>
        <v>2.9849999999999999</v>
      </c>
      <c r="S831">
        <f>VLOOKUP(L831,Products!$A$2:$G$49,7,0)</f>
        <v>0.26865</v>
      </c>
      <c r="T831">
        <f t="shared" si="63"/>
        <v>0.26865</v>
      </c>
      <c r="U831" s="33">
        <f t="shared" si="64"/>
        <v>9.0000000000000018</v>
      </c>
    </row>
    <row r="832" spans="1:21" x14ac:dyDescent="0.25">
      <c r="A832" s="1" t="s">
        <v>1609</v>
      </c>
      <c r="B832" s="28">
        <v>44414</v>
      </c>
      <c r="C832" s="21" t="str">
        <f t="shared" si="61"/>
        <v>2021</v>
      </c>
      <c r="D832" s="19" t="str">
        <f t="shared" si="62"/>
        <v>August</v>
      </c>
      <c r="E832" s="3" t="s">
        <v>1610</v>
      </c>
      <c r="F832" s="3" t="str">
        <f>VLOOKUP(E832,Customers!$A$2:$I$1001,2,0)</f>
        <v>Helaina Rainforth</v>
      </c>
      <c r="G832" s="3" t="str">
        <f>VLOOKUP(E832,Customers!$A$2:$I$1001,3,0)</f>
        <v>hrainforthn2@blog.com</v>
      </c>
      <c r="H832" s="3" t="str">
        <f>VLOOKUP(E832,Customers!$A$2:$I$1001,4,0)</f>
        <v>+1 (215) 607-9440</v>
      </c>
      <c r="I832" s="25" t="str">
        <f>VLOOKUP(E832,Customers!$A$2:$I$1001,6,0)</f>
        <v>Philadelphia</v>
      </c>
      <c r="J832" s="25" t="str">
        <f>VLOOKUP(E832,Customers!$A$2:$I$1001,7,0)</f>
        <v>United States</v>
      </c>
      <c r="K832" s="23" t="str">
        <f>VLOOKUP(E832,Customers!$A$2:$I$1001,9,0)</f>
        <v>No</v>
      </c>
      <c r="L832" s="4" t="s">
        <v>9</v>
      </c>
      <c r="M832" s="4" t="str">
        <f>VLOOKUP(L832,Products!$A$2:$G$49,2,0)</f>
        <v>Excelsa</v>
      </c>
      <c r="N832" s="4" t="str">
        <f>VLOOKUP(L832,Products!$A$2:$G$49,3,0)</f>
        <v>Medium</v>
      </c>
      <c r="O832" s="25">
        <v>2</v>
      </c>
      <c r="P832" s="5">
        <f>INDEX([1]products!$A$1:$G$49,MATCH([1]orders!$D832,[1]products!$A$1:$A$49,0),MATCH([1]orders!K$1,[1]products!$A$1:$G$1,0))</f>
        <v>1</v>
      </c>
      <c r="Q832" s="6">
        <f>INDEX([1]products!$A$1:$G$49,MATCH([1]orders!$D832,[1]products!$A$1:$A$49,0),MATCH([1]orders!L$1,[1]products!$A$1:$G$1,0))</f>
        <v>13.75</v>
      </c>
      <c r="R832" s="6">
        <f t="shared" si="60"/>
        <v>27.5</v>
      </c>
      <c r="S832">
        <f>VLOOKUP(L832,Products!$A$2:$G$49,7,0)</f>
        <v>1.5125</v>
      </c>
      <c r="T832">
        <f t="shared" si="63"/>
        <v>3.0249999999999999</v>
      </c>
      <c r="U832" s="33">
        <f t="shared" si="64"/>
        <v>11</v>
      </c>
    </row>
    <row r="833" spans="1:21" x14ac:dyDescent="0.25">
      <c r="A833" s="1" t="s">
        <v>1609</v>
      </c>
      <c r="B833" s="28">
        <v>44414</v>
      </c>
      <c r="C833" s="21" t="str">
        <f t="shared" si="61"/>
        <v>2021</v>
      </c>
      <c r="D833" s="19" t="str">
        <f t="shared" si="62"/>
        <v>August</v>
      </c>
      <c r="E833" s="3" t="s">
        <v>1610</v>
      </c>
      <c r="F833" s="3" t="str">
        <f>VLOOKUP(E833,Customers!$A$2:$I$1001,2,0)</f>
        <v>Helaina Rainforth</v>
      </c>
      <c r="G833" s="3" t="str">
        <f>VLOOKUP(E833,Customers!$A$2:$I$1001,3,0)</f>
        <v>hrainforthn2@blog.com</v>
      </c>
      <c r="H833" s="3" t="str">
        <f>VLOOKUP(E833,Customers!$A$2:$I$1001,4,0)</f>
        <v>+1 (215) 607-9440</v>
      </c>
      <c r="I833" s="25" t="str">
        <f>VLOOKUP(E833,Customers!$A$2:$I$1001,6,0)</f>
        <v>Philadelphia</v>
      </c>
      <c r="J833" s="25" t="str">
        <f>VLOOKUP(E833,Customers!$A$2:$I$1001,7,0)</f>
        <v>United States</v>
      </c>
      <c r="K833" s="23" t="str">
        <f>VLOOKUP(E833,Customers!$A$2:$I$1001,9,0)</f>
        <v>No</v>
      </c>
      <c r="L833" s="4" t="s">
        <v>54</v>
      </c>
      <c r="M833" s="4" t="str">
        <f>VLOOKUP(L833,Products!$A$2:$G$49,2,0)</f>
        <v>Arabica</v>
      </c>
      <c r="N833" s="4" t="str">
        <f>VLOOKUP(L833,Products!$A$2:$G$49,3,0)</f>
        <v>Dark</v>
      </c>
      <c r="O833" s="25">
        <v>2</v>
      </c>
      <c r="P833" s="5">
        <f>INDEX([1]products!$A$1:$G$49,MATCH([1]orders!$D833,[1]products!$A$1:$A$49,0),MATCH([1]orders!K$1,[1]products!$A$1:$G$1,0))</f>
        <v>0.2</v>
      </c>
      <c r="Q833" s="6">
        <f>INDEX([1]products!$A$1:$G$49,MATCH([1]orders!$D833,[1]products!$A$1:$A$49,0),MATCH([1]orders!L$1,[1]products!$A$1:$G$1,0))</f>
        <v>2.9849999999999999</v>
      </c>
      <c r="R833" s="6">
        <f t="shared" si="60"/>
        <v>5.97</v>
      </c>
      <c r="S833">
        <f>VLOOKUP(L833,Products!$A$2:$G$49,7,0)</f>
        <v>0.26865</v>
      </c>
      <c r="T833">
        <f t="shared" si="63"/>
        <v>0.5373</v>
      </c>
      <c r="U833" s="33">
        <f t="shared" si="64"/>
        <v>9.0000000000000018</v>
      </c>
    </row>
    <row r="834" spans="1:21" x14ac:dyDescent="0.25">
      <c r="A834" s="1" t="s">
        <v>1611</v>
      </c>
      <c r="B834" s="28">
        <v>44274</v>
      </c>
      <c r="C834" s="21" t="str">
        <f t="shared" si="61"/>
        <v>2021</v>
      </c>
      <c r="D834" s="19" t="str">
        <f t="shared" si="62"/>
        <v>March</v>
      </c>
      <c r="E834" s="3" t="s">
        <v>1612</v>
      </c>
      <c r="F834" s="3" t="str">
        <f>VLOOKUP(E834,Customers!$A$2:$I$1001,2,0)</f>
        <v>Isac Jesper</v>
      </c>
      <c r="G834" s="3" t="str">
        <f>VLOOKUP(E834,Customers!$A$2:$I$1001,3,0)</f>
        <v>ijespern4@theglobeandmail.com</v>
      </c>
      <c r="H834" s="3" t="str">
        <f>VLOOKUP(E834,Customers!$A$2:$I$1001,4,0)</f>
        <v>+1 (239) 918-0943</v>
      </c>
      <c r="I834" s="25" t="str">
        <f>VLOOKUP(E834,Customers!$A$2:$I$1001,6,0)</f>
        <v>Naples</v>
      </c>
      <c r="J834" s="25" t="str">
        <f>VLOOKUP(E834,Customers!$A$2:$I$1001,7,0)</f>
        <v>United States</v>
      </c>
      <c r="K834" s="23" t="str">
        <f>VLOOKUP(E834,Customers!$A$2:$I$1001,9,0)</f>
        <v>No</v>
      </c>
      <c r="L834" s="4" t="s">
        <v>2</v>
      </c>
      <c r="M834" s="4" t="str">
        <f>VLOOKUP(L834,Products!$A$2:$G$49,2,0)</f>
        <v>Robusta</v>
      </c>
      <c r="N834" s="4" t="str">
        <f>VLOOKUP(L834,Products!$A$2:$G$49,3,0)</f>
        <v>Medium</v>
      </c>
      <c r="O834" s="25">
        <v>6</v>
      </c>
      <c r="P834" s="5">
        <f>INDEX([1]products!$A$1:$G$49,MATCH([1]orders!$D834,[1]products!$A$1:$A$49,0),MATCH([1]orders!K$1,[1]products!$A$1:$G$1,0))</f>
        <v>1</v>
      </c>
      <c r="Q834" s="6">
        <f>INDEX([1]products!$A$1:$G$49,MATCH([1]orders!$D834,[1]products!$A$1:$A$49,0),MATCH([1]orders!L$1,[1]products!$A$1:$G$1,0))</f>
        <v>9.9499999999999993</v>
      </c>
      <c r="R834" s="6">
        <f t="shared" ref="R834:R897" si="65">O834*Q834</f>
        <v>59.699999999999996</v>
      </c>
      <c r="S834">
        <f>VLOOKUP(L834,Products!$A$2:$G$49,7,0)</f>
        <v>0.59699999999999998</v>
      </c>
      <c r="T834">
        <f t="shared" si="63"/>
        <v>3.5819999999999999</v>
      </c>
      <c r="U834" s="33">
        <f t="shared" si="64"/>
        <v>6.0000000000000009</v>
      </c>
    </row>
    <row r="835" spans="1:21" x14ac:dyDescent="0.25">
      <c r="A835" s="1" t="s">
        <v>1613</v>
      </c>
      <c r="B835" s="28">
        <v>44302</v>
      </c>
      <c r="C835" s="21" t="str">
        <f t="shared" ref="C835:C898" si="66">TEXT(B835,"yyyy")</f>
        <v>2021</v>
      </c>
      <c r="D835" s="19" t="str">
        <f t="shared" ref="D835:D898" si="67">TEXT(B835,"mmmm")</f>
        <v>April</v>
      </c>
      <c r="E835" s="3" t="s">
        <v>1614</v>
      </c>
      <c r="F835" s="3" t="str">
        <f>VLOOKUP(E835,Customers!$A$2:$I$1001,2,0)</f>
        <v>Lenette Dwerryhouse</v>
      </c>
      <c r="G835" s="3" t="str">
        <f>VLOOKUP(E835,Customers!$A$2:$I$1001,3,0)</f>
        <v>ldwerryhousen5@gravatar.com</v>
      </c>
      <c r="H835" s="3" t="str">
        <f>VLOOKUP(E835,Customers!$A$2:$I$1001,4,0)</f>
        <v>+1 (682) 812-1698</v>
      </c>
      <c r="I835" s="25" t="str">
        <f>VLOOKUP(E835,Customers!$A$2:$I$1001,6,0)</f>
        <v>Fort Worth</v>
      </c>
      <c r="J835" s="25" t="str">
        <f>VLOOKUP(E835,Customers!$A$2:$I$1001,7,0)</f>
        <v>United States</v>
      </c>
      <c r="K835" s="23" t="str">
        <f>VLOOKUP(E835,Customers!$A$2:$I$1001,9,0)</f>
        <v>Yes</v>
      </c>
      <c r="L835" s="4" t="s">
        <v>35</v>
      </c>
      <c r="M835" s="4" t="str">
        <f>VLOOKUP(L835,Products!$A$2:$G$49,2,0)</f>
        <v>Robusta</v>
      </c>
      <c r="N835" s="4" t="str">
        <f>VLOOKUP(L835,Products!$A$2:$G$49,3,0)</f>
        <v>Dark</v>
      </c>
      <c r="O835" s="25">
        <v>4</v>
      </c>
      <c r="P835" s="5">
        <f>INDEX([1]products!$A$1:$G$49,MATCH([1]orders!$D835,[1]products!$A$1:$A$49,0),MATCH([1]orders!K$1,[1]products!$A$1:$G$1,0))</f>
        <v>2.5</v>
      </c>
      <c r="Q835" s="6">
        <f>INDEX([1]products!$A$1:$G$49,MATCH([1]orders!$D835,[1]products!$A$1:$A$49,0),MATCH([1]orders!L$1,[1]products!$A$1:$G$1,0))</f>
        <v>20.584999999999997</v>
      </c>
      <c r="R835" s="6">
        <f t="shared" si="65"/>
        <v>82.339999999999989</v>
      </c>
      <c r="S835">
        <f>VLOOKUP(L835,Products!$A$2:$G$49,7,0)</f>
        <v>1.2350999999999999</v>
      </c>
      <c r="T835">
        <f t="shared" ref="T835:T898" si="68">O835*S835</f>
        <v>4.9403999999999995</v>
      </c>
      <c r="U835" s="33">
        <f t="shared" ref="U835:U898" si="69">T835/R835*100</f>
        <v>6.0000000000000009</v>
      </c>
    </row>
    <row r="836" spans="1:21" x14ac:dyDescent="0.25">
      <c r="A836" s="1" t="s">
        <v>1615</v>
      </c>
      <c r="B836" s="28">
        <v>44141</v>
      </c>
      <c r="C836" s="21" t="str">
        <f t="shared" si="66"/>
        <v>2020</v>
      </c>
      <c r="D836" s="19" t="str">
        <f t="shared" si="67"/>
        <v>November</v>
      </c>
      <c r="E836" s="3" t="s">
        <v>1616</v>
      </c>
      <c r="F836" s="3" t="str">
        <f>VLOOKUP(E836,Customers!$A$2:$I$1001,2,0)</f>
        <v>Nadeen Broomer</v>
      </c>
      <c r="G836" s="3" t="str">
        <f>VLOOKUP(E836,Customers!$A$2:$I$1001,3,0)</f>
        <v>nbroomern6@examiner.com</v>
      </c>
      <c r="H836" s="3" t="str">
        <f>VLOOKUP(E836,Customers!$A$2:$I$1001,4,0)</f>
        <v>+1 (402) 219-2018</v>
      </c>
      <c r="I836" s="25" t="str">
        <f>VLOOKUP(E836,Customers!$A$2:$I$1001,6,0)</f>
        <v>Omaha</v>
      </c>
      <c r="J836" s="25" t="str">
        <f>VLOOKUP(E836,Customers!$A$2:$I$1001,7,0)</f>
        <v>United States</v>
      </c>
      <c r="K836" s="23" t="str">
        <f>VLOOKUP(E836,Customers!$A$2:$I$1001,9,0)</f>
        <v>No</v>
      </c>
      <c r="L836" s="4" t="s">
        <v>118</v>
      </c>
      <c r="M836" s="4" t="str">
        <f>VLOOKUP(L836,Products!$A$2:$G$49,2,0)</f>
        <v>Arabica</v>
      </c>
      <c r="N836" s="4" t="str">
        <f>VLOOKUP(L836,Products!$A$2:$G$49,3,0)</f>
        <v>Dark</v>
      </c>
      <c r="O836" s="25">
        <v>1</v>
      </c>
      <c r="P836" s="5">
        <f>INDEX([1]products!$A$1:$G$49,MATCH([1]orders!$D836,[1]products!$A$1:$A$49,0),MATCH([1]orders!K$1,[1]products!$A$1:$G$1,0))</f>
        <v>2.5</v>
      </c>
      <c r="Q836" s="6">
        <f>INDEX([1]products!$A$1:$G$49,MATCH([1]orders!$D836,[1]products!$A$1:$A$49,0),MATCH([1]orders!L$1,[1]products!$A$1:$G$1,0))</f>
        <v>22.884999999999998</v>
      </c>
      <c r="R836" s="6">
        <f t="shared" si="65"/>
        <v>22.884999999999998</v>
      </c>
      <c r="S836">
        <f>VLOOKUP(L836,Products!$A$2:$G$49,7,0)</f>
        <v>2.0596499999999995</v>
      </c>
      <c r="T836">
        <f t="shared" si="68"/>
        <v>2.0596499999999995</v>
      </c>
      <c r="U836" s="33">
        <f t="shared" si="69"/>
        <v>8.9999999999999982</v>
      </c>
    </row>
    <row r="837" spans="1:21" x14ac:dyDescent="0.25">
      <c r="A837" s="1" t="s">
        <v>1617</v>
      </c>
      <c r="B837" s="28">
        <v>44270</v>
      </c>
      <c r="C837" s="21" t="str">
        <f t="shared" si="66"/>
        <v>2021</v>
      </c>
      <c r="D837" s="19" t="str">
        <f t="shared" si="67"/>
        <v>March</v>
      </c>
      <c r="E837" s="3" t="s">
        <v>1618</v>
      </c>
      <c r="F837" s="3" t="str">
        <f>VLOOKUP(E837,Customers!$A$2:$I$1001,2,0)</f>
        <v>Konstantine Thoumasson</v>
      </c>
      <c r="G837" s="3" t="str">
        <f>VLOOKUP(E837,Customers!$A$2:$I$1001,3,0)</f>
        <v>kthoumassonn7@bloglovin.com</v>
      </c>
      <c r="H837" s="3" t="str">
        <f>VLOOKUP(E837,Customers!$A$2:$I$1001,4,0)</f>
        <v>UNKNOWN</v>
      </c>
      <c r="I837" s="25" t="str">
        <f>VLOOKUP(E837,Customers!$A$2:$I$1001,6,0)</f>
        <v>Tucson</v>
      </c>
      <c r="J837" s="25" t="str">
        <f>VLOOKUP(E837,Customers!$A$2:$I$1001,7,0)</f>
        <v>United States</v>
      </c>
      <c r="K837" s="23" t="str">
        <f>VLOOKUP(E837,Customers!$A$2:$I$1001,9,0)</f>
        <v>Yes</v>
      </c>
      <c r="L837" s="4" t="s">
        <v>176</v>
      </c>
      <c r="M837" s="4" t="str">
        <f>VLOOKUP(L837,Products!$A$2:$G$49,2,0)</f>
        <v>Excelsa</v>
      </c>
      <c r="N837" s="4" t="str">
        <f>VLOOKUP(L837,Products!$A$2:$G$49,3,0)</f>
        <v>Light</v>
      </c>
      <c r="O837" s="25">
        <v>1</v>
      </c>
      <c r="P837" s="5">
        <f>INDEX([1]products!$A$1:$G$49,MATCH([1]orders!$D837,[1]products!$A$1:$A$49,0),MATCH([1]orders!K$1,[1]products!$A$1:$G$1,0))</f>
        <v>0.5</v>
      </c>
      <c r="Q837" s="6">
        <f>INDEX([1]products!$A$1:$G$49,MATCH([1]orders!$D837,[1]products!$A$1:$A$49,0),MATCH([1]orders!L$1,[1]products!$A$1:$G$1,0))</f>
        <v>8.91</v>
      </c>
      <c r="R837" s="6">
        <f t="shared" si="65"/>
        <v>8.91</v>
      </c>
      <c r="S837">
        <f>VLOOKUP(L837,Products!$A$2:$G$49,7,0)</f>
        <v>0.98009999999999997</v>
      </c>
      <c r="T837">
        <f t="shared" si="68"/>
        <v>0.98009999999999997</v>
      </c>
      <c r="U837" s="33">
        <f t="shared" si="69"/>
        <v>11</v>
      </c>
    </row>
    <row r="838" spans="1:21" x14ac:dyDescent="0.25">
      <c r="A838" s="1" t="s">
        <v>1619</v>
      </c>
      <c r="B838" s="28">
        <v>44486</v>
      </c>
      <c r="C838" s="21" t="str">
        <f t="shared" si="66"/>
        <v>2021</v>
      </c>
      <c r="D838" s="19" t="str">
        <f t="shared" si="67"/>
        <v>October</v>
      </c>
      <c r="E838" s="3" t="s">
        <v>1620</v>
      </c>
      <c r="F838" s="3" t="str">
        <f>VLOOKUP(E838,Customers!$A$2:$I$1001,2,0)</f>
        <v>Frans Habbergham</v>
      </c>
      <c r="G838" s="3" t="str">
        <f>VLOOKUP(E838,Customers!$A$2:$I$1001,3,0)</f>
        <v>fhabberghamn8@discovery.com</v>
      </c>
      <c r="H838" s="3" t="str">
        <f>VLOOKUP(E838,Customers!$A$2:$I$1001,4,0)</f>
        <v>+1 (775) 814-9362</v>
      </c>
      <c r="I838" s="25" t="str">
        <f>VLOOKUP(E838,Customers!$A$2:$I$1001,6,0)</f>
        <v>Sparks</v>
      </c>
      <c r="J838" s="25" t="str">
        <f>VLOOKUP(E838,Customers!$A$2:$I$1001,7,0)</f>
        <v>United States</v>
      </c>
      <c r="K838" s="23" t="str">
        <f>VLOOKUP(E838,Customers!$A$2:$I$1001,9,0)</f>
        <v>No</v>
      </c>
      <c r="L838" s="4" t="s">
        <v>54</v>
      </c>
      <c r="M838" s="4" t="str">
        <f>VLOOKUP(L838,Products!$A$2:$G$49,2,0)</f>
        <v>Arabica</v>
      </c>
      <c r="N838" s="4" t="str">
        <f>VLOOKUP(L838,Products!$A$2:$G$49,3,0)</f>
        <v>Dark</v>
      </c>
      <c r="O838" s="25">
        <v>4</v>
      </c>
      <c r="P838" s="5">
        <f>INDEX([1]products!$A$1:$G$49,MATCH([1]orders!$D838,[1]products!$A$1:$A$49,0),MATCH([1]orders!K$1,[1]products!$A$1:$G$1,0))</f>
        <v>0.2</v>
      </c>
      <c r="Q838" s="6">
        <f>INDEX([1]products!$A$1:$G$49,MATCH([1]orders!$D838,[1]products!$A$1:$A$49,0),MATCH([1]orders!L$1,[1]products!$A$1:$G$1,0))</f>
        <v>2.9849999999999999</v>
      </c>
      <c r="R838" s="6">
        <f t="shared" si="65"/>
        <v>11.94</v>
      </c>
      <c r="S838">
        <f>VLOOKUP(L838,Products!$A$2:$G$49,7,0)</f>
        <v>0.26865</v>
      </c>
      <c r="T838">
        <f t="shared" si="68"/>
        <v>1.0746</v>
      </c>
      <c r="U838" s="33">
        <f t="shared" si="69"/>
        <v>9.0000000000000018</v>
      </c>
    </row>
    <row r="839" spans="1:21" x14ac:dyDescent="0.25">
      <c r="A839" s="1" t="s">
        <v>1621</v>
      </c>
      <c r="B839" s="28">
        <v>43715</v>
      </c>
      <c r="C839" s="21" t="str">
        <f t="shared" si="66"/>
        <v>2019</v>
      </c>
      <c r="D839" s="19" t="str">
        <f t="shared" si="67"/>
        <v>September</v>
      </c>
      <c r="E839" s="3" t="s">
        <v>1569</v>
      </c>
      <c r="F839" s="3" t="str">
        <f>VLOOKUP(E839,Customers!$A$2:$I$1001,2,0)</f>
        <v>Allis Wilmore</v>
      </c>
      <c r="G839" s="3" t="str">
        <f>VLOOKUP(E839,Customers!$A$2:$I$1001,3,0)</f>
        <v>UNKNOWN</v>
      </c>
      <c r="H839" s="3" t="str">
        <f>VLOOKUP(E839,Customers!$A$2:$I$1001,4,0)</f>
        <v>+1 (713) 984-5207</v>
      </c>
      <c r="I839" s="25" t="str">
        <f>VLOOKUP(E839,Customers!$A$2:$I$1001,6,0)</f>
        <v>Houston</v>
      </c>
      <c r="J839" s="25" t="str">
        <f>VLOOKUP(E839,Customers!$A$2:$I$1001,7,0)</f>
        <v>United States</v>
      </c>
      <c r="K839" s="23" t="str">
        <f>VLOOKUP(E839,Customers!$A$2:$I$1001,9,0)</f>
        <v>No</v>
      </c>
      <c r="L839" s="4" t="s">
        <v>197</v>
      </c>
      <c r="M839" s="4" t="str">
        <f>VLOOKUP(L839,Products!$A$2:$G$49,2,0)</f>
        <v>Liberica</v>
      </c>
      <c r="N839" s="4" t="str">
        <f>VLOOKUP(L839,Products!$A$2:$G$49,3,0)</f>
        <v>Medium</v>
      </c>
      <c r="O839" s="25">
        <v>3</v>
      </c>
      <c r="P839" s="5">
        <f>INDEX([1]products!$A$1:$G$49,MATCH([1]orders!$D839,[1]products!$A$1:$A$49,0),MATCH([1]orders!K$1,[1]products!$A$1:$G$1,0))</f>
        <v>2.5</v>
      </c>
      <c r="Q839" s="6">
        <f>INDEX([1]products!$A$1:$G$49,MATCH([1]orders!$D839,[1]products!$A$1:$A$49,0),MATCH([1]orders!L$1,[1]products!$A$1:$G$1,0))</f>
        <v>33.464999999999996</v>
      </c>
      <c r="R839" s="6">
        <f t="shared" si="65"/>
        <v>100.39499999999998</v>
      </c>
      <c r="S839">
        <f>VLOOKUP(L839,Products!$A$2:$G$49,7,0)</f>
        <v>4.3504499999999995</v>
      </c>
      <c r="T839">
        <f t="shared" si="68"/>
        <v>13.051349999999999</v>
      </c>
      <c r="U839" s="33">
        <f t="shared" si="69"/>
        <v>13</v>
      </c>
    </row>
    <row r="840" spans="1:21" x14ac:dyDescent="0.25">
      <c r="A840" s="1" t="s">
        <v>1622</v>
      </c>
      <c r="B840" s="28">
        <v>44755</v>
      </c>
      <c r="C840" s="21" t="str">
        <f t="shared" si="66"/>
        <v>2022</v>
      </c>
      <c r="D840" s="19" t="str">
        <f t="shared" si="67"/>
        <v>July</v>
      </c>
      <c r="E840" s="3" t="s">
        <v>1623</v>
      </c>
      <c r="F840" s="3" t="str">
        <f>VLOOKUP(E840,Customers!$A$2:$I$1001,2,0)</f>
        <v>Romain Avrashin</v>
      </c>
      <c r="G840" s="3" t="str">
        <f>VLOOKUP(E840,Customers!$A$2:$I$1001,3,0)</f>
        <v>ravrashinna@tamu.edu</v>
      </c>
      <c r="H840" s="3" t="str">
        <f>VLOOKUP(E840,Customers!$A$2:$I$1001,4,0)</f>
        <v>+1 (202) 973-9890</v>
      </c>
      <c r="I840" s="25" t="str">
        <f>VLOOKUP(E840,Customers!$A$2:$I$1001,6,0)</f>
        <v>Washington</v>
      </c>
      <c r="J840" s="25" t="str">
        <f>VLOOKUP(E840,Customers!$A$2:$I$1001,7,0)</f>
        <v>United States</v>
      </c>
      <c r="K840" s="23" t="str">
        <f>VLOOKUP(E840,Customers!$A$2:$I$1001,9,0)</f>
        <v>No</v>
      </c>
      <c r="L840" s="4" t="s">
        <v>118</v>
      </c>
      <c r="M840" s="4" t="str">
        <f>VLOOKUP(L840,Products!$A$2:$G$49,2,0)</f>
        <v>Arabica</v>
      </c>
      <c r="N840" s="4" t="str">
        <f>VLOOKUP(L840,Products!$A$2:$G$49,3,0)</f>
        <v>Dark</v>
      </c>
      <c r="O840" s="25">
        <v>5</v>
      </c>
      <c r="P840" s="5">
        <f>INDEX([1]products!$A$1:$G$49,MATCH([1]orders!$D840,[1]products!$A$1:$A$49,0),MATCH([1]orders!K$1,[1]products!$A$1:$G$1,0))</f>
        <v>2.5</v>
      </c>
      <c r="Q840" s="6">
        <f>INDEX([1]products!$A$1:$G$49,MATCH([1]orders!$D840,[1]products!$A$1:$A$49,0),MATCH([1]orders!L$1,[1]products!$A$1:$G$1,0))</f>
        <v>22.884999999999998</v>
      </c>
      <c r="R840" s="6">
        <f t="shared" si="65"/>
        <v>114.42499999999998</v>
      </c>
      <c r="S840">
        <f>VLOOKUP(L840,Products!$A$2:$G$49,7,0)</f>
        <v>2.0596499999999995</v>
      </c>
      <c r="T840">
        <f t="shared" si="68"/>
        <v>10.298249999999998</v>
      </c>
      <c r="U840" s="33">
        <f t="shared" si="69"/>
        <v>9</v>
      </c>
    </row>
    <row r="841" spans="1:21" x14ac:dyDescent="0.25">
      <c r="A841" s="1" t="s">
        <v>1624</v>
      </c>
      <c r="B841" s="28">
        <v>44521</v>
      </c>
      <c r="C841" s="21" t="str">
        <f t="shared" si="66"/>
        <v>2021</v>
      </c>
      <c r="D841" s="19" t="str">
        <f t="shared" si="67"/>
        <v>November</v>
      </c>
      <c r="E841" s="3" t="s">
        <v>1625</v>
      </c>
      <c r="F841" s="3" t="str">
        <f>VLOOKUP(E841,Customers!$A$2:$I$1001,2,0)</f>
        <v>Miran Doidge</v>
      </c>
      <c r="G841" s="3" t="str">
        <f>VLOOKUP(E841,Customers!$A$2:$I$1001,3,0)</f>
        <v>mdoidgenb@etsy.com</v>
      </c>
      <c r="H841" s="3" t="str">
        <f>VLOOKUP(E841,Customers!$A$2:$I$1001,4,0)</f>
        <v>+1 (831) 955-4716</v>
      </c>
      <c r="I841" s="25" t="str">
        <f>VLOOKUP(E841,Customers!$A$2:$I$1001,6,0)</f>
        <v>Salinas</v>
      </c>
      <c r="J841" s="25" t="str">
        <f>VLOOKUP(E841,Customers!$A$2:$I$1001,7,0)</f>
        <v>United States</v>
      </c>
      <c r="K841" s="23" t="str">
        <f>VLOOKUP(E841,Customers!$A$2:$I$1001,9,0)</f>
        <v>No</v>
      </c>
      <c r="L841" s="4" t="s">
        <v>3</v>
      </c>
      <c r="M841" s="4" t="str">
        <f>VLOOKUP(L841,Products!$A$2:$G$49,2,0)</f>
        <v>Excelsa</v>
      </c>
      <c r="N841" s="4" t="str">
        <f>VLOOKUP(L841,Products!$A$2:$G$49,3,0)</f>
        <v>Medium</v>
      </c>
      <c r="O841" s="25">
        <v>5</v>
      </c>
      <c r="P841" s="5">
        <f>INDEX([1]products!$A$1:$G$49,MATCH([1]orders!$D841,[1]products!$A$1:$A$49,0),MATCH([1]orders!K$1,[1]products!$A$1:$G$1,0))</f>
        <v>0.5</v>
      </c>
      <c r="Q841" s="6">
        <f>INDEX([1]products!$A$1:$G$49,MATCH([1]orders!$D841,[1]products!$A$1:$A$49,0),MATCH([1]orders!L$1,[1]products!$A$1:$G$1,0))</f>
        <v>8.25</v>
      </c>
      <c r="R841" s="6">
        <f t="shared" si="65"/>
        <v>41.25</v>
      </c>
      <c r="S841">
        <f>VLOOKUP(L841,Products!$A$2:$G$49,7,0)</f>
        <v>0.90749999999999997</v>
      </c>
      <c r="T841">
        <f t="shared" si="68"/>
        <v>4.5374999999999996</v>
      </c>
      <c r="U841" s="33">
        <f t="shared" si="69"/>
        <v>10.999999999999998</v>
      </c>
    </row>
    <row r="842" spans="1:21" x14ac:dyDescent="0.25">
      <c r="A842" s="1" t="s">
        <v>1626</v>
      </c>
      <c r="B842" s="28">
        <v>44574</v>
      </c>
      <c r="C842" s="21" t="str">
        <f t="shared" si="66"/>
        <v>2022</v>
      </c>
      <c r="D842" s="19" t="str">
        <f t="shared" si="67"/>
        <v>January</v>
      </c>
      <c r="E842" s="3" t="s">
        <v>1627</v>
      </c>
      <c r="F842" s="3" t="str">
        <f>VLOOKUP(E842,Customers!$A$2:$I$1001,2,0)</f>
        <v>Janeva Edinboro</v>
      </c>
      <c r="G842" s="3" t="str">
        <f>VLOOKUP(E842,Customers!$A$2:$I$1001,3,0)</f>
        <v>jedinboronc@reverbnation.com</v>
      </c>
      <c r="H842" s="3" t="str">
        <f>VLOOKUP(E842,Customers!$A$2:$I$1001,4,0)</f>
        <v>+1 (754) 219-4187</v>
      </c>
      <c r="I842" s="25" t="str">
        <f>VLOOKUP(E842,Customers!$A$2:$I$1001,6,0)</f>
        <v>Fort Lauderdale</v>
      </c>
      <c r="J842" s="25" t="str">
        <f>VLOOKUP(E842,Customers!$A$2:$I$1001,7,0)</f>
        <v>United States</v>
      </c>
      <c r="K842" s="23" t="str">
        <f>VLOOKUP(E842,Customers!$A$2:$I$1001,9,0)</f>
        <v>Yes</v>
      </c>
      <c r="L842" s="4" t="s">
        <v>157</v>
      </c>
      <c r="M842" s="4" t="str">
        <f>VLOOKUP(L842,Products!$A$2:$G$49,2,0)</f>
        <v>Robusta</v>
      </c>
      <c r="N842" s="4" t="str">
        <f>VLOOKUP(L842,Products!$A$2:$G$49,3,0)</f>
        <v>Light</v>
      </c>
      <c r="O842" s="25">
        <v>4</v>
      </c>
      <c r="P842" s="5">
        <f>INDEX([1]products!$A$1:$G$49,MATCH([1]orders!$D842,[1]products!$A$1:$A$49,0),MATCH([1]orders!K$1,[1]products!$A$1:$G$1,0))</f>
        <v>0.5</v>
      </c>
      <c r="Q842" s="6">
        <f>INDEX([1]products!$A$1:$G$49,MATCH([1]orders!$D842,[1]products!$A$1:$A$49,0),MATCH([1]orders!L$1,[1]products!$A$1:$G$1,0))</f>
        <v>7.169999999999999</v>
      </c>
      <c r="R842" s="6">
        <f t="shared" si="65"/>
        <v>28.679999999999996</v>
      </c>
      <c r="S842">
        <f>VLOOKUP(L842,Products!$A$2:$G$49,7,0)</f>
        <v>0.43019999999999992</v>
      </c>
      <c r="T842">
        <f t="shared" si="68"/>
        <v>1.7207999999999997</v>
      </c>
      <c r="U842" s="33">
        <f t="shared" si="69"/>
        <v>6</v>
      </c>
    </row>
    <row r="843" spans="1:21" x14ac:dyDescent="0.25">
      <c r="A843" s="1" t="s">
        <v>1628</v>
      </c>
      <c r="B843" s="28">
        <v>44755</v>
      </c>
      <c r="C843" s="21" t="str">
        <f t="shared" si="66"/>
        <v>2022</v>
      </c>
      <c r="D843" s="19" t="str">
        <f t="shared" si="67"/>
        <v>July</v>
      </c>
      <c r="E843" s="3" t="s">
        <v>1629</v>
      </c>
      <c r="F843" s="3" t="str">
        <f>VLOOKUP(E843,Customers!$A$2:$I$1001,2,0)</f>
        <v>Trumaine Tewelson</v>
      </c>
      <c r="G843" s="3" t="str">
        <f>VLOOKUP(E843,Customers!$A$2:$I$1001,3,0)</f>
        <v>ttewelsonnd@cdbaby.com</v>
      </c>
      <c r="H843" s="3" t="str">
        <f>VLOOKUP(E843,Customers!$A$2:$I$1001,4,0)</f>
        <v>UNKNOWN</v>
      </c>
      <c r="I843" s="25" t="str">
        <f>VLOOKUP(E843,Customers!$A$2:$I$1001,6,0)</f>
        <v>El Paso</v>
      </c>
      <c r="J843" s="25" t="str">
        <f>VLOOKUP(E843,Customers!$A$2:$I$1001,7,0)</f>
        <v>United States</v>
      </c>
      <c r="K843" s="23" t="str">
        <f>VLOOKUP(E843,Customers!$A$2:$I$1001,9,0)</f>
        <v>No</v>
      </c>
      <c r="L843" s="4" t="s">
        <v>77</v>
      </c>
      <c r="M843" s="4" t="str">
        <f>VLOOKUP(L843,Products!$A$2:$G$49,2,0)</f>
        <v>Liberica</v>
      </c>
      <c r="N843" s="4" t="str">
        <f>VLOOKUP(L843,Products!$A$2:$G$49,3,0)</f>
        <v>Medium</v>
      </c>
      <c r="O843" s="25">
        <v>1</v>
      </c>
      <c r="P843" s="5">
        <f>INDEX([1]products!$A$1:$G$49,MATCH([1]orders!$D843,[1]products!$A$1:$A$49,0),MATCH([1]orders!K$1,[1]products!$A$1:$G$1,0))</f>
        <v>0.2</v>
      </c>
      <c r="Q843" s="6">
        <f>INDEX([1]products!$A$1:$G$49,MATCH([1]orders!$D843,[1]products!$A$1:$A$49,0),MATCH([1]orders!L$1,[1]products!$A$1:$G$1,0))</f>
        <v>4.3650000000000002</v>
      </c>
      <c r="R843" s="6">
        <f t="shared" si="65"/>
        <v>4.3650000000000002</v>
      </c>
      <c r="S843">
        <f>VLOOKUP(L843,Products!$A$2:$G$49,7,0)</f>
        <v>0.56745000000000001</v>
      </c>
      <c r="T843">
        <f t="shared" si="68"/>
        <v>0.56745000000000001</v>
      </c>
      <c r="U843" s="33">
        <f t="shared" si="69"/>
        <v>13</v>
      </c>
    </row>
    <row r="844" spans="1:21" x14ac:dyDescent="0.25">
      <c r="A844" s="1" t="s">
        <v>1630</v>
      </c>
      <c r="B844" s="28">
        <v>44502</v>
      </c>
      <c r="C844" s="21" t="str">
        <f t="shared" si="66"/>
        <v>2021</v>
      </c>
      <c r="D844" s="19" t="str">
        <f t="shared" si="67"/>
        <v>November</v>
      </c>
      <c r="E844" s="3" t="s">
        <v>1600</v>
      </c>
      <c r="F844" s="3" t="str">
        <f>VLOOKUP(E844,Customers!$A$2:$I$1001,2,0)</f>
        <v>Odelia Skerme</v>
      </c>
      <c r="G844" s="3" t="str">
        <f>VLOOKUP(E844,Customers!$A$2:$I$1001,3,0)</f>
        <v>oskermen3@hatena.ne.jp</v>
      </c>
      <c r="H844" s="3" t="str">
        <f>VLOOKUP(E844,Customers!$A$2:$I$1001,4,0)</f>
        <v>+1 (405) 615-0298</v>
      </c>
      <c r="I844" s="25" t="str">
        <f>VLOOKUP(E844,Customers!$A$2:$I$1001,6,0)</f>
        <v>Oklahoma City</v>
      </c>
      <c r="J844" s="25" t="str">
        <f>VLOOKUP(E844,Customers!$A$2:$I$1001,7,0)</f>
        <v>United States</v>
      </c>
      <c r="K844" s="23" t="str">
        <f>VLOOKUP(E844,Customers!$A$2:$I$1001,9,0)</f>
        <v>Yes</v>
      </c>
      <c r="L844" s="4" t="s">
        <v>64</v>
      </c>
      <c r="M844" s="4" t="str">
        <f>VLOOKUP(L844,Products!$A$2:$G$49,2,0)</f>
        <v>Excelsa</v>
      </c>
      <c r="N844" s="4" t="str">
        <f>VLOOKUP(L844,Products!$A$2:$G$49,3,0)</f>
        <v>Medium</v>
      </c>
      <c r="O844" s="25">
        <v>2</v>
      </c>
      <c r="P844" s="5">
        <f>INDEX([1]products!$A$1:$G$49,MATCH([1]orders!$D844,[1]products!$A$1:$A$49,0),MATCH([1]orders!K$1,[1]products!$A$1:$G$1,0))</f>
        <v>0.2</v>
      </c>
      <c r="Q844" s="6">
        <f>INDEX([1]products!$A$1:$G$49,MATCH([1]orders!$D844,[1]products!$A$1:$A$49,0),MATCH([1]orders!L$1,[1]products!$A$1:$G$1,0))</f>
        <v>4.125</v>
      </c>
      <c r="R844" s="6">
        <f t="shared" si="65"/>
        <v>8.25</v>
      </c>
      <c r="S844">
        <f>VLOOKUP(L844,Products!$A$2:$G$49,7,0)</f>
        <v>0.45374999999999999</v>
      </c>
      <c r="T844">
        <f t="shared" si="68"/>
        <v>0.90749999999999997</v>
      </c>
      <c r="U844" s="33">
        <f t="shared" si="69"/>
        <v>11</v>
      </c>
    </row>
    <row r="845" spans="1:21" x14ac:dyDescent="0.25">
      <c r="A845" s="1" t="s">
        <v>1631</v>
      </c>
      <c r="B845" s="28">
        <v>44387</v>
      </c>
      <c r="C845" s="21" t="str">
        <f t="shared" si="66"/>
        <v>2021</v>
      </c>
      <c r="D845" s="19" t="str">
        <f t="shared" si="67"/>
        <v>July</v>
      </c>
      <c r="E845" s="3" t="s">
        <v>1632</v>
      </c>
      <c r="F845" s="3" t="str">
        <f>VLOOKUP(E845,Customers!$A$2:$I$1001,2,0)</f>
        <v>De Drewitt</v>
      </c>
      <c r="G845" s="3" t="str">
        <f>VLOOKUP(E845,Customers!$A$2:$I$1001,3,0)</f>
        <v>ddrewittnf@mapquest.com</v>
      </c>
      <c r="H845" s="3" t="str">
        <f>VLOOKUP(E845,Customers!$A$2:$I$1001,4,0)</f>
        <v>+1 (571) 504-1175</v>
      </c>
      <c r="I845" s="25" t="str">
        <f>VLOOKUP(E845,Customers!$A$2:$I$1001,6,0)</f>
        <v>Alexandria</v>
      </c>
      <c r="J845" s="25" t="str">
        <f>VLOOKUP(E845,Customers!$A$2:$I$1001,7,0)</f>
        <v>United States</v>
      </c>
      <c r="K845" s="23" t="str">
        <f>VLOOKUP(E845,Customers!$A$2:$I$1001,9,0)</f>
        <v>Yes</v>
      </c>
      <c r="L845" s="4" t="s">
        <v>64</v>
      </c>
      <c r="M845" s="4" t="str">
        <f>VLOOKUP(L845,Products!$A$2:$G$49,2,0)</f>
        <v>Excelsa</v>
      </c>
      <c r="N845" s="4" t="str">
        <f>VLOOKUP(L845,Products!$A$2:$G$49,3,0)</f>
        <v>Medium</v>
      </c>
      <c r="O845" s="25">
        <v>2</v>
      </c>
      <c r="P845" s="5">
        <f>INDEX([1]products!$A$1:$G$49,MATCH([1]orders!$D845,[1]products!$A$1:$A$49,0),MATCH([1]orders!K$1,[1]products!$A$1:$G$1,0))</f>
        <v>0.2</v>
      </c>
      <c r="Q845" s="6">
        <f>INDEX([1]products!$A$1:$G$49,MATCH([1]orders!$D845,[1]products!$A$1:$A$49,0),MATCH([1]orders!L$1,[1]products!$A$1:$G$1,0))</f>
        <v>4.125</v>
      </c>
      <c r="R845" s="6">
        <f t="shared" si="65"/>
        <v>8.25</v>
      </c>
      <c r="S845">
        <f>VLOOKUP(L845,Products!$A$2:$G$49,7,0)</f>
        <v>0.45374999999999999</v>
      </c>
      <c r="T845">
        <f t="shared" si="68"/>
        <v>0.90749999999999997</v>
      </c>
      <c r="U845" s="33">
        <f t="shared" si="69"/>
        <v>11</v>
      </c>
    </row>
    <row r="846" spans="1:21" x14ac:dyDescent="0.25">
      <c r="A846" s="1" t="s">
        <v>1633</v>
      </c>
      <c r="B846" s="28">
        <v>44476</v>
      </c>
      <c r="C846" s="21" t="str">
        <f t="shared" si="66"/>
        <v>2021</v>
      </c>
      <c r="D846" s="19" t="str">
        <f t="shared" si="67"/>
        <v>October</v>
      </c>
      <c r="E846" s="3" t="s">
        <v>1634</v>
      </c>
      <c r="F846" s="3" t="str">
        <f>VLOOKUP(E846,Customers!$A$2:$I$1001,2,0)</f>
        <v>Adelheid Gladhill</v>
      </c>
      <c r="G846" s="3" t="str">
        <f>VLOOKUP(E846,Customers!$A$2:$I$1001,3,0)</f>
        <v>agladhillng@stanford.edu</v>
      </c>
      <c r="H846" s="3" t="str">
        <f>VLOOKUP(E846,Customers!$A$2:$I$1001,4,0)</f>
        <v>+1 (410) 991-5601</v>
      </c>
      <c r="I846" s="25" t="str">
        <f>VLOOKUP(E846,Customers!$A$2:$I$1001,6,0)</f>
        <v>Baltimore</v>
      </c>
      <c r="J846" s="25" t="str">
        <f>VLOOKUP(E846,Customers!$A$2:$I$1001,7,0)</f>
        <v>United States</v>
      </c>
      <c r="K846" s="23" t="str">
        <f>VLOOKUP(E846,Customers!$A$2:$I$1001,9,0)</f>
        <v>Yes</v>
      </c>
      <c r="L846" s="4" t="s">
        <v>72</v>
      </c>
      <c r="M846" s="4" t="str">
        <f>VLOOKUP(L846,Products!$A$2:$G$49,2,0)</f>
        <v>Arabica</v>
      </c>
      <c r="N846" s="4" t="str">
        <f>VLOOKUP(L846,Products!$A$2:$G$49,3,0)</f>
        <v>Dark</v>
      </c>
      <c r="O846" s="25">
        <v>6</v>
      </c>
      <c r="P846" s="5">
        <f>INDEX([1]products!$A$1:$G$49,MATCH([1]orders!$D846,[1]products!$A$1:$A$49,0),MATCH([1]orders!K$1,[1]products!$A$1:$G$1,0))</f>
        <v>0.5</v>
      </c>
      <c r="Q846" s="6">
        <f>INDEX([1]products!$A$1:$G$49,MATCH([1]orders!$D846,[1]products!$A$1:$A$49,0),MATCH([1]orders!L$1,[1]products!$A$1:$G$1,0))</f>
        <v>5.97</v>
      </c>
      <c r="R846" s="6">
        <f t="shared" si="65"/>
        <v>35.82</v>
      </c>
      <c r="S846">
        <f>VLOOKUP(L846,Products!$A$2:$G$49,7,0)</f>
        <v>0.5373</v>
      </c>
      <c r="T846">
        <f t="shared" si="68"/>
        <v>3.2237999999999998</v>
      </c>
      <c r="U846" s="33">
        <f t="shared" si="69"/>
        <v>9</v>
      </c>
    </row>
    <row r="847" spans="1:21" x14ac:dyDescent="0.25">
      <c r="A847" s="1" t="s">
        <v>1635</v>
      </c>
      <c r="B847" s="28">
        <v>43889</v>
      </c>
      <c r="C847" s="21" t="str">
        <f t="shared" si="66"/>
        <v>2020</v>
      </c>
      <c r="D847" s="19" t="str">
        <f t="shared" si="67"/>
        <v>February</v>
      </c>
      <c r="E847" s="3" t="s">
        <v>1636</v>
      </c>
      <c r="F847" s="3" t="str">
        <f>VLOOKUP(E847,Customers!$A$2:$I$1001,2,0)</f>
        <v>Murielle Lorinez</v>
      </c>
      <c r="G847" s="3" t="str">
        <f>VLOOKUP(E847,Customers!$A$2:$I$1001,3,0)</f>
        <v>mlorineznh@whitehouse.gov</v>
      </c>
      <c r="H847" s="3" t="str">
        <f>VLOOKUP(E847,Customers!$A$2:$I$1001,4,0)</f>
        <v>UNKNOWN</v>
      </c>
      <c r="I847" s="25" t="str">
        <f>VLOOKUP(E847,Customers!$A$2:$I$1001,6,0)</f>
        <v>Evansville</v>
      </c>
      <c r="J847" s="25" t="str">
        <f>VLOOKUP(E847,Customers!$A$2:$I$1001,7,0)</f>
        <v>United States</v>
      </c>
      <c r="K847" s="23" t="str">
        <f>VLOOKUP(E847,Customers!$A$2:$I$1001,9,0)</f>
        <v>No</v>
      </c>
      <c r="L847" s="4" t="s">
        <v>530</v>
      </c>
      <c r="M847" s="4" t="str">
        <f>VLOOKUP(L847,Products!$A$2:$G$49,2,0)</f>
        <v>Excelsa</v>
      </c>
      <c r="N847" s="4" t="str">
        <f>VLOOKUP(L847,Products!$A$2:$G$49,3,0)</f>
        <v>Dark</v>
      </c>
      <c r="O847" s="25">
        <v>6</v>
      </c>
      <c r="P847" s="5">
        <f>INDEX([1]products!$A$1:$G$49,MATCH([1]orders!$D847,[1]products!$A$1:$A$49,0),MATCH([1]orders!K$1,[1]products!$A$1:$G$1,0))</f>
        <v>2.5</v>
      </c>
      <c r="Q847" s="6">
        <f>INDEX([1]products!$A$1:$G$49,MATCH([1]orders!$D847,[1]products!$A$1:$A$49,0),MATCH([1]orders!L$1,[1]products!$A$1:$G$1,0))</f>
        <v>27.945</v>
      </c>
      <c r="R847" s="6">
        <f t="shared" si="65"/>
        <v>167.67000000000002</v>
      </c>
      <c r="S847">
        <f>VLOOKUP(L847,Products!$A$2:$G$49,7,0)</f>
        <v>3.07395</v>
      </c>
      <c r="T847">
        <f t="shared" si="68"/>
        <v>18.4437</v>
      </c>
      <c r="U847" s="33">
        <f t="shared" si="69"/>
        <v>10.999999999999998</v>
      </c>
    </row>
    <row r="848" spans="1:21" x14ac:dyDescent="0.25">
      <c r="A848" s="1" t="s">
        <v>1637</v>
      </c>
      <c r="B848" s="28">
        <v>44747</v>
      </c>
      <c r="C848" s="21" t="str">
        <f t="shared" si="66"/>
        <v>2022</v>
      </c>
      <c r="D848" s="19" t="str">
        <f t="shared" si="67"/>
        <v>July</v>
      </c>
      <c r="E848" s="3" t="s">
        <v>1638</v>
      </c>
      <c r="F848" s="3" t="str">
        <f>VLOOKUP(E848,Customers!$A$2:$I$1001,2,0)</f>
        <v>Edin Mathe</v>
      </c>
      <c r="G848" s="3" t="str">
        <f>VLOOKUP(E848,Customers!$A$2:$I$1001,3,0)</f>
        <v>UNKNOWN</v>
      </c>
      <c r="H848" s="3" t="str">
        <f>VLOOKUP(E848,Customers!$A$2:$I$1001,4,0)</f>
        <v>+1 (404) 514-8311</v>
      </c>
      <c r="I848" s="25" t="str">
        <f>VLOOKUP(E848,Customers!$A$2:$I$1001,6,0)</f>
        <v>Lawrenceville</v>
      </c>
      <c r="J848" s="25" t="str">
        <f>VLOOKUP(E848,Customers!$A$2:$I$1001,7,0)</f>
        <v>United States</v>
      </c>
      <c r="K848" s="23" t="str">
        <f>VLOOKUP(E848,Customers!$A$2:$I$1001,9,0)</f>
        <v>Yes</v>
      </c>
      <c r="L848" s="4" t="s">
        <v>171</v>
      </c>
      <c r="M848" s="4" t="str">
        <f>VLOOKUP(L848,Products!$A$2:$G$49,2,0)</f>
        <v>Arabica</v>
      </c>
      <c r="N848" s="4" t="str">
        <f>VLOOKUP(L848,Products!$A$2:$G$49,3,0)</f>
        <v>Medium</v>
      </c>
      <c r="O848" s="25">
        <v>2</v>
      </c>
      <c r="P848" s="5">
        <f>INDEX([1]products!$A$1:$G$49,MATCH([1]orders!$D848,[1]products!$A$1:$A$49,0),MATCH([1]orders!K$1,[1]products!$A$1:$G$1,0))</f>
        <v>2.5</v>
      </c>
      <c r="Q848" s="6">
        <f>INDEX([1]products!$A$1:$G$49,MATCH([1]orders!$D848,[1]products!$A$1:$A$49,0),MATCH([1]orders!L$1,[1]products!$A$1:$G$1,0))</f>
        <v>25.874999999999996</v>
      </c>
      <c r="R848" s="6">
        <f t="shared" si="65"/>
        <v>51.749999999999993</v>
      </c>
      <c r="S848">
        <f>VLOOKUP(L848,Products!$A$2:$G$49,7,0)</f>
        <v>2.3287499999999994</v>
      </c>
      <c r="T848">
        <f t="shared" si="68"/>
        <v>4.6574999999999989</v>
      </c>
      <c r="U848" s="33">
        <f t="shared" si="69"/>
        <v>9</v>
      </c>
    </row>
    <row r="849" spans="1:21" x14ac:dyDescent="0.25">
      <c r="A849" s="1" t="s">
        <v>1639</v>
      </c>
      <c r="B849" s="28">
        <v>44460</v>
      </c>
      <c r="C849" s="21" t="str">
        <f t="shared" si="66"/>
        <v>2021</v>
      </c>
      <c r="D849" s="19" t="str">
        <f t="shared" si="67"/>
        <v>September</v>
      </c>
      <c r="E849" s="3" t="s">
        <v>1640</v>
      </c>
      <c r="F849" s="3" t="str">
        <f>VLOOKUP(E849,Customers!$A$2:$I$1001,2,0)</f>
        <v>Mordy Van Der Vlies</v>
      </c>
      <c r="G849" s="3" t="str">
        <f>VLOOKUP(E849,Customers!$A$2:$I$1001,3,0)</f>
        <v>mvannj@wikipedia.org</v>
      </c>
      <c r="H849" s="3" t="str">
        <f>VLOOKUP(E849,Customers!$A$2:$I$1001,4,0)</f>
        <v>UNKNOWN</v>
      </c>
      <c r="I849" s="25" t="str">
        <f>VLOOKUP(E849,Customers!$A$2:$I$1001,6,0)</f>
        <v>Mobile</v>
      </c>
      <c r="J849" s="25" t="str">
        <f>VLOOKUP(E849,Customers!$A$2:$I$1001,7,0)</f>
        <v>United States</v>
      </c>
      <c r="K849" s="23" t="str">
        <f>VLOOKUP(E849,Customers!$A$2:$I$1001,9,0)</f>
        <v>Yes</v>
      </c>
      <c r="L849" s="4" t="s">
        <v>54</v>
      </c>
      <c r="M849" s="4" t="str">
        <f>VLOOKUP(L849,Products!$A$2:$G$49,2,0)</f>
        <v>Arabica</v>
      </c>
      <c r="N849" s="4" t="str">
        <f>VLOOKUP(L849,Products!$A$2:$G$49,3,0)</f>
        <v>Dark</v>
      </c>
      <c r="O849" s="25">
        <v>3</v>
      </c>
      <c r="P849" s="5">
        <f>INDEX([1]products!$A$1:$G$49,MATCH([1]orders!$D849,[1]products!$A$1:$A$49,0),MATCH([1]orders!K$1,[1]products!$A$1:$G$1,0))</f>
        <v>0.2</v>
      </c>
      <c r="Q849" s="6">
        <f>INDEX([1]products!$A$1:$G$49,MATCH([1]orders!$D849,[1]products!$A$1:$A$49,0),MATCH([1]orders!L$1,[1]products!$A$1:$G$1,0))</f>
        <v>2.9849999999999999</v>
      </c>
      <c r="R849" s="6">
        <f t="shared" si="65"/>
        <v>8.9550000000000001</v>
      </c>
      <c r="S849">
        <f>VLOOKUP(L849,Products!$A$2:$G$49,7,0)</f>
        <v>0.26865</v>
      </c>
      <c r="T849">
        <f t="shared" si="68"/>
        <v>0.80594999999999994</v>
      </c>
      <c r="U849" s="33">
        <f t="shared" si="69"/>
        <v>9</v>
      </c>
    </row>
    <row r="850" spans="1:21" x14ac:dyDescent="0.25">
      <c r="A850" s="1" t="s">
        <v>1641</v>
      </c>
      <c r="B850" s="28">
        <v>43468</v>
      </c>
      <c r="C850" s="21" t="str">
        <f t="shared" si="66"/>
        <v>2019</v>
      </c>
      <c r="D850" s="19" t="str">
        <f t="shared" si="67"/>
        <v>January</v>
      </c>
      <c r="E850" s="3" t="s">
        <v>1642</v>
      </c>
      <c r="F850" s="3" t="str">
        <f>VLOOKUP(E850,Customers!$A$2:$I$1001,2,0)</f>
        <v>Spencer Wastell</v>
      </c>
      <c r="G850" s="3" t="str">
        <f>VLOOKUP(E850,Customers!$A$2:$I$1001,3,0)</f>
        <v>UNKNOWN</v>
      </c>
      <c r="H850" s="3" t="str">
        <f>VLOOKUP(E850,Customers!$A$2:$I$1001,4,0)</f>
        <v>+1 (432) 765-8747</v>
      </c>
      <c r="I850" s="25" t="str">
        <f>VLOOKUP(E850,Customers!$A$2:$I$1001,6,0)</f>
        <v>Midland</v>
      </c>
      <c r="J850" s="25" t="str">
        <f>VLOOKUP(E850,Customers!$A$2:$I$1001,7,0)</f>
        <v>United States</v>
      </c>
      <c r="K850" s="23" t="str">
        <f>VLOOKUP(E850,Customers!$A$2:$I$1001,9,0)</f>
        <v>No</v>
      </c>
      <c r="L850" s="4" t="s">
        <v>176</v>
      </c>
      <c r="M850" s="4" t="str">
        <f>VLOOKUP(L850,Products!$A$2:$G$49,2,0)</f>
        <v>Excelsa</v>
      </c>
      <c r="N850" s="4" t="str">
        <f>VLOOKUP(L850,Products!$A$2:$G$49,3,0)</f>
        <v>Light</v>
      </c>
      <c r="O850" s="25">
        <v>6</v>
      </c>
      <c r="P850" s="5">
        <f>INDEX([1]products!$A$1:$G$49,MATCH([1]orders!$D850,[1]products!$A$1:$A$49,0),MATCH([1]orders!K$1,[1]products!$A$1:$G$1,0))</f>
        <v>0.5</v>
      </c>
      <c r="Q850" s="6">
        <f>INDEX([1]products!$A$1:$G$49,MATCH([1]orders!$D850,[1]products!$A$1:$A$49,0),MATCH([1]orders!L$1,[1]products!$A$1:$G$1,0))</f>
        <v>8.91</v>
      </c>
      <c r="R850" s="6">
        <f t="shared" si="65"/>
        <v>53.46</v>
      </c>
      <c r="S850">
        <f>VLOOKUP(L850,Products!$A$2:$G$49,7,0)</f>
        <v>0.98009999999999997</v>
      </c>
      <c r="T850">
        <f t="shared" si="68"/>
        <v>5.8805999999999994</v>
      </c>
      <c r="U850" s="33">
        <f t="shared" si="69"/>
        <v>10.999999999999998</v>
      </c>
    </row>
    <row r="851" spans="1:21" x14ac:dyDescent="0.25">
      <c r="A851" s="1" t="s">
        <v>1643</v>
      </c>
      <c r="B851" s="28">
        <v>44628</v>
      </c>
      <c r="C851" s="21" t="str">
        <f t="shared" si="66"/>
        <v>2022</v>
      </c>
      <c r="D851" s="19" t="str">
        <f t="shared" si="67"/>
        <v>March</v>
      </c>
      <c r="E851" s="3" t="s">
        <v>1644</v>
      </c>
      <c r="F851" s="3" t="str">
        <f>VLOOKUP(E851,Customers!$A$2:$I$1001,2,0)</f>
        <v>Jemimah Ethelston</v>
      </c>
      <c r="G851" s="3" t="str">
        <f>VLOOKUP(E851,Customers!$A$2:$I$1001,3,0)</f>
        <v>jethelstonnl@creativecommons.org</v>
      </c>
      <c r="H851" s="3" t="str">
        <f>VLOOKUP(E851,Customers!$A$2:$I$1001,4,0)</f>
        <v>+1 (954) 385-3551</v>
      </c>
      <c r="I851" s="25" t="str">
        <f>VLOOKUP(E851,Customers!$A$2:$I$1001,6,0)</f>
        <v>Hollywood</v>
      </c>
      <c r="J851" s="25" t="str">
        <f>VLOOKUP(E851,Customers!$A$2:$I$1001,7,0)</f>
        <v>United States</v>
      </c>
      <c r="K851" s="23" t="str">
        <f>VLOOKUP(E851,Customers!$A$2:$I$1001,9,0)</f>
        <v>Yes</v>
      </c>
      <c r="L851" s="4" t="s">
        <v>115</v>
      </c>
      <c r="M851" s="4" t="str">
        <f>VLOOKUP(L851,Products!$A$2:$G$49,2,0)</f>
        <v>Arabica</v>
      </c>
      <c r="N851" s="4" t="str">
        <f>VLOOKUP(L851,Products!$A$2:$G$49,3,0)</f>
        <v>Light</v>
      </c>
      <c r="O851" s="25">
        <v>6</v>
      </c>
      <c r="P851" s="5">
        <f>INDEX([1]products!$A$1:$G$49,MATCH([1]orders!$D851,[1]products!$A$1:$A$49,0),MATCH([1]orders!K$1,[1]products!$A$1:$G$1,0))</f>
        <v>0.2</v>
      </c>
      <c r="Q851" s="6">
        <f>INDEX([1]products!$A$1:$G$49,MATCH([1]orders!$D851,[1]products!$A$1:$A$49,0),MATCH([1]orders!L$1,[1]products!$A$1:$G$1,0))</f>
        <v>3.8849999999999998</v>
      </c>
      <c r="R851" s="6">
        <f t="shared" si="65"/>
        <v>23.31</v>
      </c>
      <c r="S851">
        <f>VLOOKUP(L851,Products!$A$2:$G$49,7,0)</f>
        <v>0.34964999999999996</v>
      </c>
      <c r="T851">
        <f t="shared" si="68"/>
        <v>2.0978999999999997</v>
      </c>
      <c r="U851" s="33">
        <f t="shared" si="69"/>
        <v>9</v>
      </c>
    </row>
    <row r="852" spans="1:21" x14ac:dyDescent="0.25">
      <c r="A852" s="1" t="s">
        <v>1643</v>
      </c>
      <c r="B852" s="28">
        <v>44628</v>
      </c>
      <c r="C852" s="21" t="str">
        <f t="shared" si="66"/>
        <v>2022</v>
      </c>
      <c r="D852" s="19" t="str">
        <f t="shared" si="67"/>
        <v>March</v>
      </c>
      <c r="E852" s="3" t="s">
        <v>1644</v>
      </c>
      <c r="F852" s="3" t="str">
        <f>VLOOKUP(E852,Customers!$A$2:$I$1001,2,0)</f>
        <v>Jemimah Ethelston</v>
      </c>
      <c r="G852" s="3" t="str">
        <f>VLOOKUP(E852,Customers!$A$2:$I$1001,3,0)</f>
        <v>jethelstonnl@creativecommons.org</v>
      </c>
      <c r="H852" s="3" t="str">
        <f>VLOOKUP(E852,Customers!$A$2:$I$1001,4,0)</f>
        <v>+1 (954) 385-3551</v>
      </c>
      <c r="I852" s="25" t="str">
        <f>VLOOKUP(E852,Customers!$A$2:$I$1001,6,0)</f>
        <v>Hollywood</v>
      </c>
      <c r="J852" s="25" t="str">
        <f>VLOOKUP(E852,Customers!$A$2:$I$1001,7,0)</f>
        <v>United States</v>
      </c>
      <c r="K852" s="23" t="str">
        <f>VLOOKUP(E852,Customers!$A$2:$I$1001,9,0)</f>
        <v>Yes</v>
      </c>
      <c r="L852" s="4" t="s">
        <v>44</v>
      </c>
      <c r="M852" s="4" t="str">
        <f>VLOOKUP(L852,Products!$A$2:$G$49,2,0)</f>
        <v>Arabica</v>
      </c>
      <c r="N852" s="4" t="str">
        <f>VLOOKUP(L852,Products!$A$2:$G$49,3,0)</f>
        <v>Medium</v>
      </c>
      <c r="O852" s="25">
        <v>2</v>
      </c>
      <c r="P852" s="5">
        <f>INDEX([1]products!$A$1:$G$49,MATCH([1]orders!$D852,[1]products!$A$1:$A$49,0),MATCH([1]orders!K$1,[1]products!$A$1:$G$1,0))</f>
        <v>0.2</v>
      </c>
      <c r="Q852" s="6">
        <f>INDEX([1]products!$A$1:$G$49,MATCH([1]orders!$D852,[1]products!$A$1:$A$49,0),MATCH([1]orders!L$1,[1]products!$A$1:$G$1,0))</f>
        <v>3.375</v>
      </c>
      <c r="R852" s="6">
        <f t="shared" si="65"/>
        <v>6.75</v>
      </c>
      <c r="S852">
        <f>VLOOKUP(L852,Products!$A$2:$G$49,7,0)</f>
        <v>0.30374999999999996</v>
      </c>
      <c r="T852">
        <f t="shared" si="68"/>
        <v>0.60749999999999993</v>
      </c>
      <c r="U852" s="33">
        <f t="shared" si="69"/>
        <v>8.9999999999999982</v>
      </c>
    </row>
    <row r="853" spans="1:21" x14ac:dyDescent="0.25">
      <c r="A853" s="1" t="s">
        <v>1645</v>
      </c>
      <c r="B853" s="28">
        <v>43900</v>
      </c>
      <c r="C853" s="21" t="str">
        <f t="shared" si="66"/>
        <v>2020</v>
      </c>
      <c r="D853" s="19" t="str">
        <f t="shared" si="67"/>
        <v>March</v>
      </c>
      <c r="E853" s="3" t="s">
        <v>1646</v>
      </c>
      <c r="F853" s="3" t="str">
        <f>VLOOKUP(E853,Customers!$A$2:$I$1001,2,0)</f>
        <v>Perice Eberz</v>
      </c>
      <c r="G853" s="3" t="str">
        <f>VLOOKUP(E853,Customers!$A$2:$I$1001,3,0)</f>
        <v>peberznn@woothemes.com</v>
      </c>
      <c r="H853" s="3" t="str">
        <f>VLOOKUP(E853,Customers!$A$2:$I$1001,4,0)</f>
        <v>+1 (530) 938-1204</v>
      </c>
      <c r="I853" s="25" t="str">
        <f>VLOOKUP(E853,Customers!$A$2:$I$1001,6,0)</f>
        <v>Chico</v>
      </c>
      <c r="J853" s="25" t="str">
        <f>VLOOKUP(E853,Customers!$A$2:$I$1001,7,0)</f>
        <v>United States</v>
      </c>
      <c r="K853" s="23" t="str">
        <f>VLOOKUP(E853,Customers!$A$2:$I$1001,9,0)</f>
        <v>Yes</v>
      </c>
      <c r="L853" s="4" t="s">
        <v>123</v>
      </c>
      <c r="M853" s="4" t="str">
        <f>VLOOKUP(L853,Products!$A$2:$G$49,2,0)</f>
        <v>Liberica</v>
      </c>
      <c r="N853" s="4" t="str">
        <f>VLOOKUP(L853,Products!$A$2:$G$49,3,0)</f>
        <v>Dark</v>
      </c>
      <c r="O853" s="25">
        <v>1</v>
      </c>
      <c r="P853" s="5">
        <f>INDEX([1]products!$A$1:$G$49,MATCH([1]orders!$D853,[1]products!$A$1:$A$49,0),MATCH([1]orders!K$1,[1]products!$A$1:$G$1,0))</f>
        <v>0.5</v>
      </c>
      <c r="Q853" s="6">
        <f>INDEX([1]products!$A$1:$G$49,MATCH([1]orders!$D853,[1]products!$A$1:$A$49,0),MATCH([1]orders!L$1,[1]products!$A$1:$G$1,0))</f>
        <v>7.77</v>
      </c>
      <c r="R853" s="6">
        <f t="shared" si="65"/>
        <v>7.77</v>
      </c>
      <c r="S853">
        <f>VLOOKUP(L853,Products!$A$2:$G$49,7,0)</f>
        <v>1.0101</v>
      </c>
      <c r="T853">
        <f t="shared" si="68"/>
        <v>1.0101</v>
      </c>
      <c r="U853" s="33">
        <f t="shared" si="69"/>
        <v>13</v>
      </c>
    </row>
    <row r="854" spans="1:21" x14ac:dyDescent="0.25">
      <c r="A854" s="1" t="s">
        <v>1647</v>
      </c>
      <c r="B854" s="28">
        <v>44527</v>
      </c>
      <c r="C854" s="21" t="str">
        <f t="shared" si="66"/>
        <v>2021</v>
      </c>
      <c r="D854" s="19" t="str">
        <f t="shared" si="67"/>
        <v>November</v>
      </c>
      <c r="E854" s="3" t="s">
        <v>1648</v>
      </c>
      <c r="F854" s="3" t="str">
        <f>VLOOKUP(E854,Customers!$A$2:$I$1001,2,0)</f>
        <v>Bear Gaish</v>
      </c>
      <c r="G854" s="3" t="str">
        <f>VLOOKUP(E854,Customers!$A$2:$I$1001,3,0)</f>
        <v>bgaishno@altervista.org</v>
      </c>
      <c r="H854" s="3" t="str">
        <f>VLOOKUP(E854,Customers!$A$2:$I$1001,4,0)</f>
        <v>UNKNOWN</v>
      </c>
      <c r="I854" s="25" t="str">
        <f>VLOOKUP(E854,Customers!$A$2:$I$1001,6,0)</f>
        <v>Austin</v>
      </c>
      <c r="J854" s="25" t="str">
        <f>VLOOKUP(E854,Customers!$A$2:$I$1001,7,0)</f>
        <v>United States</v>
      </c>
      <c r="K854" s="23" t="str">
        <f>VLOOKUP(E854,Customers!$A$2:$I$1001,9,0)</f>
        <v>Yes</v>
      </c>
      <c r="L854" s="4" t="s">
        <v>109</v>
      </c>
      <c r="M854" s="4" t="str">
        <f>VLOOKUP(L854,Products!$A$2:$G$49,2,0)</f>
        <v>Liberica</v>
      </c>
      <c r="N854" s="4" t="str">
        <f>VLOOKUP(L854,Products!$A$2:$G$49,3,0)</f>
        <v>Dark</v>
      </c>
      <c r="O854" s="25">
        <v>4</v>
      </c>
      <c r="P854" s="5">
        <f>INDEX([1]products!$A$1:$G$49,MATCH([1]orders!$D854,[1]products!$A$1:$A$49,0),MATCH([1]orders!K$1,[1]products!$A$1:$G$1,0))</f>
        <v>2.5</v>
      </c>
      <c r="Q854" s="6">
        <f>INDEX([1]products!$A$1:$G$49,MATCH([1]orders!$D854,[1]products!$A$1:$A$49,0),MATCH([1]orders!L$1,[1]products!$A$1:$G$1,0))</f>
        <v>29.784999999999997</v>
      </c>
      <c r="R854" s="6">
        <f t="shared" si="65"/>
        <v>119.13999999999999</v>
      </c>
      <c r="S854">
        <f>VLOOKUP(L854,Products!$A$2:$G$49,7,0)</f>
        <v>3.8720499999999998</v>
      </c>
      <c r="T854">
        <f t="shared" si="68"/>
        <v>15.488199999999999</v>
      </c>
      <c r="U854" s="33">
        <f t="shared" si="69"/>
        <v>13</v>
      </c>
    </row>
    <row r="855" spans="1:21" x14ac:dyDescent="0.25">
      <c r="A855" s="1" t="s">
        <v>1649</v>
      </c>
      <c r="B855" s="28">
        <v>44259</v>
      </c>
      <c r="C855" s="21" t="str">
        <f t="shared" si="66"/>
        <v>2021</v>
      </c>
      <c r="D855" s="19" t="str">
        <f t="shared" si="67"/>
        <v>March</v>
      </c>
      <c r="E855" s="3" t="s">
        <v>1650</v>
      </c>
      <c r="F855" s="3" t="str">
        <f>VLOOKUP(E855,Customers!$A$2:$I$1001,2,0)</f>
        <v>Lynnea Danton</v>
      </c>
      <c r="G855" s="3" t="str">
        <f>VLOOKUP(E855,Customers!$A$2:$I$1001,3,0)</f>
        <v>ldantonnp@miitbeian.gov.cn</v>
      </c>
      <c r="H855" s="3" t="str">
        <f>VLOOKUP(E855,Customers!$A$2:$I$1001,4,0)</f>
        <v>UNKNOWN</v>
      </c>
      <c r="I855" s="25" t="str">
        <f>VLOOKUP(E855,Customers!$A$2:$I$1001,6,0)</f>
        <v>El Paso</v>
      </c>
      <c r="J855" s="25" t="str">
        <f>VLOOKUP(E855,Customers!$A$2:$I$1001,7,0)</f>
        <v>United States</v>
      </c>
      <c r="K855" s="23" t="str">
        <f>VLOOKUP(E855,Customers!$A$2:$I$1001,9,0)</f>
        <v>No</v>
      </c>
      <c r="L855" s="4" t="s">
        <v>27</v>
      </c>
      <c r="M855" s="4" t="str">
        <f>VLOOKUP(L855,Products!$A$2:$G$49,2,0)</f>
        <v>Arabica</v>
      </c>
      <c r="N855" s="4" t="str">
        <f>VLOOKUP(L855,Products!$A$2:$G$49,3,0)</f>
        <v>Dark</v>
      </c>
      <c r="O855" s="25">
        <v>2</v>
      </c>
      <c r="P855" s="5">
        <f>INDEX([1]products!$A$1:$G$49,MATCH([1]orders!$D855,[1]products!$A$1:$A$49,0),MATCH([1]orders!K$1,[1]products!$A$1:$G$1,0))</f>
        <v>1</v>
      </c>
      <c r="Q855" s="6">
        <f>INDEX([1]products!$A$1:$G$49,MATCH([1]orders!$D855,[1]products!$A$1:$A$49,0),MATCH([1]orders!L$1,[1]products!$A$1:$G$1,0))</f>
        <v>9.9499999999999993</v>
      </c>
      <c r="R855" s="6">
        <f t="shared" si="65"/>
        <v>19.899999999999999</v>
      </c>
      <c r="S855">
        <f>VLOOKUP(L855,Products!$A$2:$G$49,7,0)</f>
        <v>0.89549999999999985</v>
      </c>
      <c r="T855">
        <f t="shared" si="68"/>
        <v>1.7909999999999997</v>
      </c>
      <c r="U855" s="33">
        <f t="shared" si="69"/>
        <v>9</v>
      </c>
    </row>
    <row r="856" spans="1:21" x14ac:dyDescent="0.25">
      <c r="A856" s="1" t="s">
        <v>1651</v>
      </c>
      <c r="B856" s="28">
        <v>44516</v>
      </c>
      <c r="C856" s="21" t="str">
        <f t="shared" si="66"/>
        <v>2021</v>
      </c>
      <c r="D856" s="19" t="str">
        <f t="shared" si="67"/>
        <v>November</v>
      </c>
      <c r="E856" s="3" t="s">
        <v>1652</v>
      </c>
      <c r="F856" s="3" t="str">
        <f>VLOOKUP(E856,Customers!$A$2:$I$1001,2,0)</f>
        <v>Skipton Morrall</v>
      </c>
      <c r="G856" s="3" t="str">
        <f>VLOOKUP(E856,Customers!$A$2:$I$1001,3,0)</f>
        <v>smorrallnq@answers.com</v>
      </c>
      <c r="H856" s="3" t="str">
        <f>VLOOKUP(E856,Customers!$A$2:$I$1001,4,0)</f>
        <v>+1 (304) 897-5422</v>
      </c>
      <c r="I856" s="25" t="str">
        <f>VLOOKUP(E856,Customers!$A$2:$I$1001,6,0)</f>
        <v>Charleston</v>
      </c>
      <c r="J856" s="25" t="str">
        <f>VLOOKUP(E856,Customers!$A$2:$I$1001,7,0)</f>
        <v>United States</v>
      </c>
      <c r="K856" s="23" t="str">
        <f>VLOOKUP(E856,Customers!$A$2:$I$1001,9,0)</f>
        <v>Yes</v>
      </c>
      <c r="L856" s="4" t="s">
        <v>157</v>
      </c>
      <c r="M856" s="4" t="str">
        <f>VLOOKUP(L856,Products!$A$2:$G$49,2,0)</f>
        <v>Robusta</v>
      </c>
      <c r="N856" s="4" t="str">
        <f>VLOOKUP(L856,Products!$A$2:$G$49,3,0)</f>
        <v>Light</v>
      </c>
      <c r="O856" s="25">
        <v>5</v>
      </c>
      <c r="P856" s="5">
        <f>INDEX([1]products!$A$1:$G$49,MATCH([1]orders!$D856,[1]products!$A$1:$A$49,0),MATCH([1]orders!K$1,[1]products!$A$1:$G$1,0))</f>
        <v>0.5</v>
      </c>
      <c r="Q856" s="6">
        <f>INDEX([1]products!$A$1:$G$49,MATCH([1]orders!$D856,[1]products!$A$1:$A$49,0),MATCH([1]orders!L$1,[1]products!$A$1:$G$1,0))</f>
        <v>7.169999999999999</v>
      </c>
      <c r="R856" s="6">
        <f t="shared" si="65"/>
        <v>35.849999999999994</v>
      </c>
      <c r="S856">
        <f>VLOOKUP(L856,Products!$A$2:$G$49,7,0)</f>
        <v>0.43019999999999992</v>
      </c>
      <c r="T856">
        <f t="shared" si="68"/>
        <v>2.1509999999999998</v>
      </c>
      <c r="U856" s="33">
        <f t="shared" si="69"/>
        <v>6.0000000000000009</v>
      </c>
    </row>
    <row r="857" spans="1:21" x14ac:dyDescent="0.25">
      <c r="A857" s="1" t="s">
        <v>1653</v>
      </c>
      <c r="B857" s="28">
        <v>43632</v>
      </c>
      <c r="C857" s="21" t="str">
        <f t="shared" si="66"/>
        <v>2019</v>
      </c>
      <c r="D857" s="19" t="str">
        <f t="shared" si="67"/>
        <v>June</v>
      </c>
      <c r="E857" s="3" t="s">
        <v>1654</v>
      </c>
      <c r="F857" s="3" t="str">
        <f>VLOOKUP(E857,Customers!$A$2:$I$1001,2,0)</f>
        <v>Devan Crownshaw</v>
      </c>
      <c r="G857" s="3" t="str">
        <f>VLOOKUP(E857,Customers!$A$2:$I$1001,3,0)</f>
        <v>dcrownshawnr@photobucket.com</v>
      </c>
      <c r="H857" s="3" t="str">
        <f>VLOOKUP(E857,Customers!$A$2:$I$1001,4,0)</f>
        <v>+1 (610) 576-4733</v>
      </c>
      <c r="I857" s="25" t="str">
        <f>VLOOKUP(E857,Customers!$A$2:$I$1001,6,0)</f>
        <v>Allentown</v>
      </c>
      <c r="J857" s="25" t="str">
        <f>VLOOKUP(E857,Customers!$A$2:$I$1001,7,0)</f>
        <v>United States</v>
      </c>
      <c r="K857" s="23" t="str">
        <f>VLOOKUP(E857,Customers!$A$2:$I$1001,9,0)</f>
        <v>No</v>
      </c>
      <c r="L857" s="4" t="s">
        <v>109</v>
      </c>
      <c r="M857" s="4" t="str">
        <f>VLOOKUP(L857,Products!$A$2:$G$49,2,0)</f>
        <v>Liberica</v>
      </c>
      <c r="N857" s="4" t="str">
        <f>VLOOKUP(L857,Products!$A$2:$G$49,3,0)</f>
        <v>Dark</v>
      </c>
      <c r="O857" s="25">
        <v>3</v>
      </c>
      <c r="P857" s="5">
        <f>INDEX([1]products!$A$1:$G$49,MATCH([1]orders!$D857,[1]products!$A$1:$A$49,0),MATCH([1]orders!K$1,[1]products!$A$1:$G$1,0))</f>
        <v>2.5</v>
      </c>
      <c r="Q857" s="6">
        <f>INDEX([1]products!$A$1:$G$49,MATCH([1]orders!$D857,[1]products!$A$1:$A$49,0),MATCH([1]orders!L$1,[1]products!$A$1:$G$1,0))</f>
        <v>29.784999999999997</v>
      </c>
      <c r="R857" s="6">
        <f t="shared" si="65"/>
        <v>89.35499999999999</v>
      </c>
      <c r="S857">
        <f>VLOOKUP(L857,Products!$A$2:$G$49,7,0)</f>
        <v>3.8720499999999998</v>
      </c>
      <c r="T857">
        <f t="shared" si="68"/>
        <v>11.616149999999999</v>
      </c>
      <c r="U857" s="33">
        <f t="shared" si="69"/>
        <v>13</v>
      </c>
    </row>
    <row r="858" spans="1:21" x14ac:dyDescent="0.25">
      <c r="A858" s="1" t="s">
        <v>1655</v>
      </c>
      <c r="B858" s="28">
        <v>44031</v>
      </c>
      <c r="C858" s="21" t="str">
        <f t="shared" si="66"/>
        <v>2020</v>
      </c>
      <c r="D858" s="19" t="str">
        <f t="shared" si="67"/>
        <v>July</v>
      </c>
      <c r="E858" s="3" t="s">
        <v>1600</v>
      </c>
      <c r="F858" s="3" t="str">
        <f>VLOOKUP(E858,Customers!$A$2:$I$1001,2,0)</f>
        <v>Odelia Skerme</v>
      </c>
      <c r="G858" s="3" t="str">
        <f>VLOOKUP(E858,Customers!$A$2:$I$1001,3,0)</f>
        <v>oskermen3@hatena.ne.jp</v>
      </c>
      <c r="H858" s="3" t="str">
        <f>VLOOKUP(E858,Customers!$A$2:$I$1001,4,0)</f>
        <v>+1 (405) 615-0298</v>
      </c>
      <c r="I858" s="25" t="str">
        <f>VLOOKUP(E858,Customers!$A$2:$I$1001,6,0)</f>
        <v>Oklahoma City</v>
      </c>
      <c r="J858" s="25" t="str">
        <f>VLOOKUP(E858,Customers!$A$2:$I$1001,7,0)</f>
        <v>United States</v>
      </c>
      <c r="K858" s="23" t="str">
        <f>VLOOKUP(E858,Customers!$A$2:$I$1001,9,0)</f>
        <v>Yes</v>
      </c>
      <c r="L858" s="4" t="s">
        <v>77</v>
      </c>
      <c r="M858" s="4" t="str">
        <f>VLOOKUP(L858,Products!$A$2:$G$49,2,0)</f>
        <v>Liberica</v>
      </c>
      <c r="N858" s="4" t="str">
        <f>VLOOKUP(L858,Products!$A$2:$G$49,3,0)</f>
        <v>Medium</v>
      </c>
      <c r="O858" s="25">
        <v>2</v>
      </c>
      <c r="P858" s="5">
        <f>INDEX([1]products!$A$1:$G$49,MATCH([1]orders!$D858,[1]products!$A$1:$A$49,0),MATCH([1]orders!K$1,[1]products!$A$1:$G$1,0))</f>
        <v>0.2</v>
      </c>
      <c r="Q858" s="6">
        <f>INDEX([1]products!$A$1:$G$49,MATCH([1]orders!$D858,[1]products!$A$1:$A$49,0),MATCH([1]orders!L$1,[1]products!$A$1:$G$1,0))</f>
        <v>4.3650000000000002</v>
      </c>
      <c r="R858" s="6">
        <f t="shared" si="65"/>
        <v>8.73</v>
      </c>
      <c r="S858">
        <f>VLOOKUP(L858,Products!$A$2:$G$49,7,0)</f>
        <v>0.56745000000000001</v>
      </c>
      <c r="T858">
        <f t="shared" si="68"/>
        <v>1.1349</v>
      </c>
      <c r="U858" s="33">
        <f t="shared" si="69"/>
        <v>13</v>
      </c>
    </row>
    <row r="859" spans="1:21" x14ac:dyDescent="0.25">
      <c r="A859" s="1" t="s">
        <v>1656</v>
      </c>
      <c r="B859" s="28">
        <v>43889</v>
      </c>
      <c r="C859" s="21" t="str">
        <f t="shared" si="66"/>
        <v>2020</v>
      </c>
      <c r="D859" s="19" t="str">
        <f t="shared" si="67"/>
        <v>February</v>
      </c>
      <c r="E859" s="3" t="s">
        <v>1657</v>
      </c>
      <c r="F859" s="3" t="str">
        <f>VLOOKUP(E859,Customers!$A$2:$I$1001,2,0)</f>
        <v>Joceline Reddoch</v>
      </c>
      <c r="G859" s="3" t="str">
        <f>VLOOKUP(E859,Customers!$A$2:$I$1001,3,0)</f>
        <v>jreddochnt@sun.com</v>
      </c>
      <c r="H859" s="3" t="str">
        <f>VLOOKUP(E859,Customers!$A$2:$I$1001,4,0)</f>
        <v>+1 (863) 742-5292</v>
      </c>
      <c r="I859" s="25" t="str">
        <f>VLOOKUP(E859,Customers!$A$2:$I$1001,6,0)</f>
        <v>Largo</v>
      </c>
      <c r="J859" s="25" t="str">
        <f>VLOOKUP(E859,Customers!$A$2:$I$1001,7,0)</f>
        <v>United States</v>
      </c>
      <c r="K859" s="23" t="str">
        <f>VLOOKUP(E859,Customers!$A$2:$I$1001,9,0)</f>
        <v>No</v>
      </c>
      <c r="L859" s="4" t="s">
        <v>10</v>
      </c>
      <c r="M859" s="4" t="str">
        <f>VLOOKUP(L859,Products!$A$2:$G$49,2,0)</f>
        <v>Robusta</v>
      </c>
      <c r="N859" s="4" t="str">
        <f>VLOOKUP(L859,Products!$A$2:$G$49,3,0)</f>
        <v>Light</v>
      </c>
      <c r="O859" s="25">
        <v>5</v>
      </c>
      <c r="P859" s="5">
        <f>INDEX([1]products!$A$1:$G$49,MATCH([1]orders!$D859,[1]products!$A$1:$A$49,0),MATCH([1]orders!K$1,[1]products!$A$1:$G$1,0))</f>
        <v>2.5</v>
      </c>
      <c r="Q859" s="6">
        <f>INDEX([1]products!$A$1:$G$49,MATCH([1]orders!$D859,[1]products!$A$1:$A$49,0),MATCH([1]orders!L$1,[1]products!$A$1:$G$1,0))</f>
        <v>27.484999999999996</v>
      </c>
      <c r="R859" s="6">
        <f t="shared" si="65"/>
        <v>137.42499999999998</v>
      </c>
      <c r="S859">
        <f>VLOOKUP(L859,Products!$A$2:$G$49,7,0)</f>
        <v>1.6490999999999998</v>
      </c>
      <c r="T859">
        <f t="shared" si="68"/>
        <v>8.2454999999999998</v>
      </c>
      <c r="U859" s="33">
        <f t="shared" si="69"/>
        <v>6.0000000000000009</v>
      </c>
    </row>
    <row r="860" spans="1:21" x14ac:dyDescent="0.25">
      <c r="A860" s="1" t="s">
        <v>1658</v>
      </c>
      <c r="B860" s="28">
        <v>43638</v>
      </c>
      <c r="C860" s="21" t="str">
        <f t="shared" si="66"/>
        <v>2019</v>
      </c>
      <c r="D860" s="19" t="str">
        <f t="shared" si="67"/>
        <v>June</v>
      </c>
      <c r="E860" s="3" t="s">
        <v>1659</v>
      </c>
      <c r="F860" s="3" t="str">
        <f>VLOOKUP(E860,Customers!$A$2:$I$1001,2,0)</f>
        <v>Shelley Titley</v>
      </c>
      <c r="G860" s="3" t="str">
        <f>VLOOKUP(E860,Customers!$A$2:$I$1001,3,0)</f>
        <v>stitleynu@whitehouse.gov</v>
      </c>
      <c r="H860" s="3" t="str">
        <f>VLOOKUP(E860,Customers!$A$2:$I$1001,4,0)</f>
        <v>+1 (701) 350-6149</v>
      </c>
      <c r="I860" s="25" t="str">
        <f>VLOOKUP(E860,Customers!$A$2:$I$1001,6,0)</f>
        <v>Fargo</v>
      </c>
      <c r="J860" s="25" t="str">
        <f>VLOOKUP(E860,Customers!$A$2:$I$1001,7,0)</f>
        <v>United States</v>
      </c>
      <c r="K860" s="23" t="str">
        <f>VLOOKUP(E860,Customers!$A$2:$I$1001,9,0)</f>
        <v>No</v>
      </c>
      <c r="L860" s="4" t="s">
        <v>78</v>
      </c>
      <c r="M860" s="4" t="str">
        <f>VLOOKUP(L860,Products!$A$2:$G$49,2,0)</f>
        <v>Liberica</v>
      </c>
      <c r="N860" s="4" t="str">
        <f>VLOOKUP(L860,Products!$A$2:$G$49,3,0)</f>
        <v>Medium</v>
      </c>
      <c r="O860" s="25">
        <v>4</v>
      </c>
      <c r="P860" s="5">
        <f>INDEX([1]products!$A$1:$G$49,MATCH([1]orders!$D860,[1]products!$A$1:$A$49,0),MATCH([1]orders!K$1,[1]products!$A$1:$G$1,0))</f>
        <v>0.5</v>
      </c>
      <c r="Q860" s="6">
        <f>INDEX([1]products!$A$1:$G$49,MATCH([1]orders!$D860,[1]products!$A$1:$A$49,0),MATCH([1]orders!L$1,[1]products!$A$1:$G$1,0))</f>
        <v>8.73</v>
      </c>
      <c r="R860" s="6">
        <f t="shared" si="65"/>
        <v>34.92</v>
      </c>
      <c r="S860">
        <f>VLOOKUP(L860,Products!$A$2:$G$49,7,0)</f>
        <v>1.1349</v>
      </c>
      <c r="T860">
        <f t="shared" si="68"/>
        <v>4.5396000000000001</v>
      </c>
      <c r="U860" s="33">
        <f t="shared" si="69"/>
        <v>13</v>
      </c>
    </row>
    <row r="861" spans="1:21" x14ac:dyDescent="0.25">
      <c r="A861" s="1" t="s">
        <v>1660</v>
      </c>
      <c r="B861" s="28">
        <v>43716</v>
      </c>
      <c r="C861" s="21" t="str">
        <f t="shared" si="66"/>
        <v>2019</v>
      </c>
      <c r="D861" s="19" t="str">
        <f t="shared" si="67"/>
        <v>September</v>
      </c>
      <c r="E861" s="3" t="s">
        <v>1661</v>
      </c>
      <c r="F861" s="3" t="str">
        <f>VLOOKUP(E861,Customers!$A$2:$I$1001,2,0)</f>
        <v>Redd Simao</v>
      </c>
      <c r="G861" s="3" t="str">
        <f>VLOOKUP(E861,Customers!$A$2:$I$1001,3,0)</f>
        <v>rsimaonv@simplemachines.org</v>
      </c>
      <c r="H861" s="3" t="str">
        <f>VLOOKUP(E861,Customers!$A$2:$I$1001,4,0)</f>
        <v>+1 (479) 898-5090</v>
      </c>
      <c r="I861" s="25" t="str">
        <f>VLOOKUP(E861,Customers!$A$2:$I$1001,6,0)</f>
        <v>Fort Smith</v>
      </c>
      <c r="J861" s="25" t="str">
        <f>VLOOKUP(E861,Customers!$A$2:$I$1001,7,0)</f>
        <v>United States</v>
      </c>
      <c r="K861" s="23" t="str">
        <f>VLOOKUP(E861,Customers!$A$2:$I$1001,9,0)</f>
        <v>No</v>
      </c>
      <c r="L861" s="4" t="s">
        <v>204</v>
      </c>
      <c r="M861" s="4" t="str">
        <f>VLOOKUP(L861,Products!$A$2:$G$49,2,0)</f>
        <v>Arabica</v>
      </c>
      <c r="N861" s="4" t="str">
        <f>VLOOKUP(L861,Products!$A$2:$G$49,3,0)</f>
        <v>Light</v>
      </c>
      <c r="O861" s="25">
        <v>6</v>
      </c>
      <c r="P861" s="5">
        <f>INDEX([1]products!$A$1:$G$49,MATCH([1]orders!$D861,[1]products!$A$1:$A$49,0),MATCH([1]orders!K$1,[1]products!$A$1:$G$1,0))</f>
        <v>2.5</v>
      </c>
      <c r="Q861" s="6">
        <f>INDEX([1]products!$A$1:$G$49,MATCH([1]orders!$D861,[1]products!$A$1:$A$49,0),MATCH([1]orders!L$1,[1]products!$A$1:$G$1,0))</f>
        <v>29.784999999999997</v>
      </c>
      <c r="R861" s="6">
        <f t="shared" si="65"/>
        <v>178.70999999999998</v>
      </c>
      <c r="S861">
        <f>VLOOKUP(L861,Products!$A$2:$G$49,7,0)</f>
        <v>2.6806499999999995</v>
      </c>
      <c r="T861">
        <f t="shared" si="68"/>
        <v>16.083899999999996</v>
      </c>
      <c r="U861" s="33">
        <f t="shared" si="69"/>
        <v>8.9999999999999982</v>
      </c>
    </row>
    <row r="862" spans="1:21" x14ac:dyDescent="0.25">
      <c r="A862" s="1" t="s">
        <v>1662</v>
      </c>
      <c r="B862" s="28">
        <v>44707</v>
      </c>
      <c r="C862" s="21" t="str">
        <f t="shared" si="66"/>
        <v>2022</v>
      </c>
      <c r="D862" s="19" t="str">
        <f t="shared" si="67"/>
        <v>May</v>
      </c>
      <c r="E862" s="3" t="s">
        <v>1663</v>
      </c>
      <c r="F862" s="3" t="str">
        <f>VLOOKUP(E862,Customers!$A$2:$I$1001,2,0)</f>
        <v>Cece Inker</v>
      </c>
      <c r="G862" s="3" t="str">
        <f>VLOOKUP(E862,Customers!$A$2:$I$1001,3,0)</f>
        <v>UNKNOWN</v>
      </c>
      <c r="H862" s="3" t="str">
        <f>VLOOKUP(E862,Customers!$A$2:$I$1001,4,0)</f>
        <v>+1 (863) 977-9033</v>
      </c>
      <c r="I862" s="25" t="str">
        <f>VLOOKUP(E862,Customers!$A$2:$I$1001,6,0)</f>
        <v>Lakeland</v>
      </c>
      <c r="J862" s="25" t="str">
        <f>VLOOKUP(E862,Customers!$A$2:$I$1001,7,0)</f>
        <v>United States</v>
      </c>
      <c r="K862" s="23" t="str">
        <f>VLOOKUP(E862,Customers!$A$2:$I$1001,9,0)</f>
        <v>No</v>
      </c>
      <c r="L862" s="4" t="s">
        <v>171</v>
      </c>
      <c r="M862" s="4" t="str">
        <f>VLOOKUP(L862,Products!$A$2:$G$49,2,0)</f>
        <v>Arabica</v>
      </c>
      <c r="N862" s="4" t="str">
        <f>VLOOKUP(L862,Products!$A$2:$G$49,3,0)</f>
        <v>Medium</v>
      </c>
      <c r="O862" s="25">
        <v>1</v>
      </c>
      <c r="P862" s="5">
        <f>INDEX([1]products!$A$1:$G$49,MATCH([1]orders!$D862,[1]products!$A$1:$A$49,0),MATCH([1]orders!K$1,[1]products!$A$1:$G$1,0))</f>
        <v>2.5</v>
      </c>
      <c r="Q862" s="6">
        <f>INDEX([1]products!$A$1:$G$49,MATCH([1]orders!$D862,[1]products!$A$1:$A$49,0),MATCH([1]orders!L$1,[1]products!$A$1:$G$1,0))</f>
        <v>25.874999999999996</v>
      </c>
      <c r="R862" s="6">
        <f t="shared" si="65"/>
        <v>25.874999999999996</v>
      </c>
      <c r="S862">
        <f>VLOOKUP(L862,Products!$A$2:$G$49,7,0)</f>
        <v>2.3287499999999994</v>
      </c>
      <c r="T862">
        <f t="shared" si="68"/>
        <v>2.3287499999999994</v>
      </c>
      <c r="U862" s="33">
        <f t="shared" si="69"/>
        <v>9</v>
      </c>
    </row>
    <row r="863" spans="1:21" x14ac:dyDescent="0.25">
      <c r="A863" s="1" t="s">
        <v>1664</v>
      </c>
      <c r="B863" s="28">
        <v>43802</v>
      </c>
      <c r="C863" s="21" t="str">
        <f t="shared" si="66"/>
        <v>2019</v>
      </c>
      <c r="D863" s="19" t="str">
        <f t="shared" si="67"/>
        <v>December</v>
      </c>
      <c r="E863" s="3" t="s">
        <v>1665</v>
      </c>
      <c r="F863" s="3" t="str">
        <f>VLOOKUP(E863,Customers!$A$2:$I$1001,2,0)</f>
        <v>Noel Chisholm</v>
      </c>
      <c r="G863" s="3" t="str">
        <f>VLOOKUP(E863,Customers!$A$2:$I$1001,3,0)</f>
        <v>nchisholmnx@example.com</v>
      </c>
      <c r="H863" s="3" t="str">
        <f>VLOOKUP(E863,Customers!$A$2:$I$1001,4,0)</f>
        <v>+1 (865) 228-1100</v>
      </c>
      <c r="I863" s="25" t="str">
        <f>VLOOKUP(E863,Customers!$A$2:$I$1001,6,0)</f>
        <v>Knoxville</v>
      </c>
      <c r="J863" s="25" t="str">
        <f>VLOOKUP(E863,Customers!$A$2:$I$1001,7,0)</f>
        <v>United States</v>
      </c>
      <c r="K863" s="23" t="str">
        <f>VLOOKUP(E863,Customers!$A$2:$I$1001,9,0)</f>
        <v>Yes</v>
      </c>
      <c r="L863" s="4" t="s">
        <v>13</v>
      </c>
      <c r="M863" s="4" t="str">
        <f>VLOOKUP(L863,Products!$A$2:$G$49,2,0)</f>
        <v>Liberica</v>
      </c>
      <c r="N863" s="4" t="str">
        <f>VLOOKUP(L863,Products!$A$2:$G$49,3,0)</f>
        <v>Dark</v>
      </c>
      <c r="O863" s="25">
        <v>6</v>
      </c>
      <c r="P863" s="5">
        <f>INDEX([1]products!$A$1:$G$49,MATCH([1]orders!$D863,[1]products!$A$1:$A$49,0),MATCH([1]orders!K$1,[1]products!$A$1:$G$1,0))</f>
        <v>1</v>
      </c>
      <c r="Q863" s="6">
        <f>INDEX([1]products!$A$1:$G$49,MATCH([1]orders!$D863,[1]products!$A$1:$A$49,0),MATCH([1]orders!L$1,[1]products!$A$1:$G$1,0))</f>
        <v>12.95</v>
      </c>
      <c r="R863" s="6">
        <f t="shared" si="65"/>
        <v>77.699999999999989</v>
      </c>
      <c r="S863">
        <f>VLOOKUP(L863,Products!$A$2:$G$49,7,0)</f>
        <v>1.6835</v>
      </c>
      <c r="T863">
        <f t="shared" si="68"/>
        <v>10.100999999999999</v>
      </c>
      <c r="U863" s="33">
        <f t="shared" si="69"/>
        <v>13</v>
      </c>
    </row>
    <row r="864" spans="1:21" x14ac:dyDescent="0.25">
      <c r="A864" s="1" t="s">
        <v>1666</v>
      </c>
      <c r="B864" s="28">
        <v>43725</v>
      </c>
      <c r="C864" s="21" t="str">
        <f t="shared" si="66"/>
        <v>2019</v>
      </c>
      <c r="D864" s="19" t="str">
        <f t="shared" si="67"/>
        <v>September</v>
      </c>
      <c r="E864" s="3" t="s">
        <v>1667</v>
      </c>
      <c r="F864" s="3" t="str">
        <f>VLOOKUP(E864,Customers!$A$2:$I$1001,2,0)</f>
        <v>Grazia Oats</v>
      </c>
      <c r="G864" s="3" t="str">
        <f>VLOOKUP(E864,Customers!$A$2:$I$1001,3,0)</f>
        <v>goatsny@live.com</v>
      </c>
      <c r="H864" s="3" t="str">
        <f>VLOOKUP(E864,Customers!$A$2:$I$1001,4,0)</f>
        <v>+1 (213) 813-1072</v>
      </c>
      <c r="I864" s="25" t="str">
        <f>VLOOKUP(E864,Customers!$A$2:$I$1001,6,0)</f>
        <v>Los Angeles</v>
      </c>
      <c r="J864" s="25" t="str">
        <f>VLOOKUP(E864,Customers!$A$2:$I$1001,7,0)</f>
        <v>United States</v>
      </c>
      <c r="K864" s="23" t="str">
        <f>VLOOKUP(E864,Customers!$A$2:$I$1001,9,0)</f>
        <v>Yes</v>
      </c>
      <c r="L864" s="4" t="s">
        <v>2</v>
      </c>
      <c r="M864" s="4" t="str">
        <f>VLOOKUP(L864,Products!$A$2:$G$49,2,0)</f>
        <v>Robusta</v>
      </c>
      <c r="N864" s="4" t="str">
        <f>VLOOKUP(L864,Products!$A$2:$G$49,3,0)</f>
        <v>Medium</v>
      </c>
      <c r="O864" s="25">
        <v>1</v>
      </c>
      <c r="P864" s="5">
        <f>INDEX([1]products!$A$1:$G$49,MATCH([1]orders!$D864,[1]products!$A$1:$A$49,0),MATCH([1]orders!K$1,[1]products!$A$1:$G$1,0))</f>
        <v>1</v>
      </c>
      <c r="Q864" s="6">
        <f>INDEX([1]products!$A$1:$G$49,MATCH([1]orders!$D864,[1]products!$A$1:$A$49,0),MATCH([1]orders!L$1,[1]products!$A$1:$G$1,0))</f>
        <v>9.9499999999999993</v>
      </c>
      <c r="R864" s="6">
        <f t="shared" si="65"/>
        <v>9.9499999999999993</v>
      </c>
      <c r="S864">
        <f>VLOOKUP(L864,Products!$A$2:$G$49,7,0)</f>
        <v>0.59699999999999998</v>
      </c>
      <c r="T864">
        <f t="shared" si="68"/>
        <v>0.59699999999999998</v>
      </c>
      <c r="U864" s="33">
        <f t="shared" si="69"/>
        <v>6.0000000000000009</v>
      </c>
    </row>
    <row r="865" spans="1:21" x14ac:dyDescent="0.25">
      <c r="A865" s="1" t="s">
        <v>1668</v>
      </c>
      <c r="B865" s="28">
        <v>44712</v>
      </c>
      <c r="C865" s="21" t="str">
        <f t="shared" si="66"/>
        <v>2022</v>
      </c>
      <c r="D865" s="19" t="str">
        <f t="shared" si="67"/>
        <v>May</v>
      </c>
      <c r="E865" s="3" t="s">
        <v>1669</v>
      </c>
      <c r="F865" s="3" t="str">
        <f>VLOOKUP(E865,Customers!$A$2:$I$1001,2,0)</f>
        <v>Meade Birkin</v>
      </c>
      <c r="G865" s="3" t="str">
        <f>VLOOKUP(E865,Customers!$A$2:$I$1001,3,0)</f>
        <v>mbirkinnz@java.com</v>
      </c>
      <c r="H865" s="3" t="str">
        <f>VLOOKUP(E865,Customers!$A$2:$I$1001,4,0)</f>
        <v>+1 (954) 431-7206</v>
      </c>
      <c r="I865" s="25" t="str">
        <f>VLOOKUP(E865,Customers!$A$2:$I$1001,6,0)</f>
        <v>Miami</v>
      </c>
      <c r="J865" s="25" t="str">
        <f>VLOOKUP(E865,Customers!$A$2:$I$1001,7,0)</f>
        <v>United States</v>
      </c>
      <c r="K865" s="23" t="str">
        <f>VLOOKUP(E865,Customers!$A$2:$I$1001,9,0)</f>
        <v>Yes</v>
      </c>
      <c r="L865" s="4" t="s">
        <v>96</v>
      </c>
      <c r="M865" s="4" t="str">
        <f>VLOOKUP(L865,Products!$A$2:$G$49,2,0)</f>
        <v>Liberica</v>
      </c>
      <c r="N865" s="4" t="str">
        <f>VLOOKUP(L865,Products!$A$2:$G$49,3,0)</f>
        <v>Medium</v>
      </c>
      <c r="O865" s="25">
        <v>2</v>
      </c>
      <c r="P865" s="5">
        <f>INDEX([1]products!$A$1:$G$49,MATCH([1]orders!$D865,[1]products!$A$1:$A$49,0),MATCH([1]orders!K$1,[1]products!$A$1:$G$1,0))</f>
        <v>1</v>
      </c>
      <c r="Q865" s="6">
        <f>INDEX([1]products!$A$1:$G$49,MATCH([1]orders!$D865,[1]products!$A$1:$A$49,0),MATCH([1]orders!L$1,[1]products!$A$1:$G$1,0))</f>
        <v>14.55</v>
      </c>
      <c r="R865" s="6">
        <f t="shared" si="65"/>
        <v>29.1</v>
      </c>
      <c r="S865">
        <f>VLOOKUP(L865,Products!$A$2:$G$49,7,0)</f>
        <v>1.8915000000000002</v>
      </c>
      <c r="T865">
        <f t="shared" si="68"/>
        <v>3.7830000000000004</v>
      </c>
      <c r="U865" s="33">
        <f t="shared" si="69"/>
        <v>13</v>
      </c>
    </row>
    <row r="866" spans="1:21" x14ac:dyDescent="0.25">
      <c r="A866" s="1" t="s">
        <v>1670</v>
      </c>
      <c r="B866" s="28">
        <v>43759</v>
      </c>
      <c r="C866" s="21" t="str">
        <f t="shared" si="66"/>
        <v>2019</v>
      </c>
      <c r="D866" s="19" t="str">
        <f t="shared" si="67"/>
        <v>October</v>
      </c>
      <c r="E866" s="3" t="s">
        <v>1671</v>
      </c>
      <c r="F866" s="3" t="str">
        <f>VLOOKUP(E866,Customers!$A$2:$I$1001,2,0)</f>
        <v>Ronda Pyson</v>
      </c>
      <c r="G866" s="3" t="str">
        <f>VLOOKUP(E866,Customers!$A$2:$I$1001,3,0)</f>
        <v>rpysono0@constantcontact.com</v>
      </c>
      <c r="H866" s="3" t="str">
        <f>VLOOKUP(E866,Customers!$A$2:$I$1001,4,0)</f>
        <v>+353 (836) 436-1472</v>
      </c>
      <c r="I866" s="25" t="str">
        <f>VLOOKUP(E866,Customers!$A$2:$I$1001,6,0)</f>
        <v>Clones</v>
      </c>
      <c r="J866" s="25" t="str">
        <f>VLOOKUP(E866,Customers!$A$2:$I$1001,7,0)</f>
        <v>Ireland</v>
      </c>
      <c r="K866" s="23" t="str">
        <f>VLOOKUP(E866,Customers!$A$2:$I$1001,9,0)</f>
        <v>No</v>
      </c>
      <c r="L866" s="4" t="s">
        <v>182</v>
      </c>
      <c r="M866" s="4" t="str">
        <f>VLOOKUP(L866,Products!$A$2:$G$49,2,0)</f>
        <v>Robusta</v>
      </c>
      <c r="N866" s="4" t="str">
        <f>VLOOKUP(L866,Products!$A$2:$G$49,3,0)</f>
        <v>Light</v>
      </c>
      <c r="O866" s="25">
        <v>6</v>
      </c>
      <c r="P866" s="5">
        <f>INDEX([1]products!$A$1:$G$49,MATCH([1]orders!$D866,[1]products!$A$1:$A$49,0),MATCH([1]orders!K$1,[1]products!$A$1:$G$1,0))</f>
        <v>0.2</v>
      </c>
      <c r="Q866" s="6">
        <f>INDEX([1]products!$A$1:$G$49,MATCH([1]orders!$D866,[1]products!$A$1:$A$49,0),MATCH([1]orders!L$1,[1]products!$A$1:$G$1,0))</f>
        <v>3.5849999999999995</v>
      </c>
      <c r="R866" s="6">
        <f t="shared" si="65"/>
        <v>21.509999999999998</v>
      </c>
      <c r="S866">
        <f>VLOOKUP(L866,Products!$A$2:$G$49,7,0)</f>
        <v>0.21509999999999996</v>
      </c>
      <c r="T866">
        <f t="shared" si="68"/>
        <v>1.2905999999999997</v>
      </c>
      <c r="U866" s="33">
        <f t="shared" si="69"/>
        <v>5.9999999999999991</v>
      </c>
    </row>
    <row r="867" spans="1:21" x14ac:dyDescent="0.25">
      <c r="A867" s="1" t="s">
        <v>1672</v>
      </c>
      <c r="B867" s="28">
        <v>44675</v>
      </c>
      <c r="C867" s="21" t="str">
        <f t="shared" si="66"/>
        <v>2022</v>
      </c>
      <c r="D867" s="19" t="str">
        <f t="shared" si="67"/>
        <v>April</v>
      </c>
      <c r="E867" s="3" t="s">
        <v>1673</v>
      </c>
      <c r="F867" s="3" t="str">
        <f>VLOOKUP(E867,Customers!$A$2:$I$1001,2,0)</f>
        <v>Modesty MacConnechie</v>
      </c>
      <c r="G867" s="3" t="str">
        <f>VLOOKUP(E867,Customers!$A$2:$I$1001,3,0)</f>
        <v>mmacconnechieo9@reuters.com</v>
      </c>
      <c r="H867" s="3" t="str">
        <f>VLOOKUP(E867,Customers!$A$2:$I$1001,4,0)</f>
        <v>+1 (304) 620-6008</v>
      </c>
      <c r="I867" s="25" t="str">
        <f>VLOOKUP(E867,Customers!$A$2:$I$1001,6,0)</f>
        <v>Charleston</v>
      </c>
      <c r="J867" s="25" t="str">
        <f>VLOOKUP(E867,Customers!$A$2:$I$1001,7,0)</f>
        <v>United States</v>
      </c>
      <c r="K867" s="23" t="str">
        <f>VLOOKUP(E867,Customers!$A$2:$I$1001,9,0)</f>
        <v>Yes</v>
      </c>
      <c r="L867" s="4" t="s">
        <v>67</v>
      </c>
      <c r="M867" s="4" t="str">
        <f>VLOOKUP(L867,Products!$A$2:$G$49,2,0)</f>
        <v>Arabica</v>
      </c>
      <c r="N867" s="4" t="str">
        <f>VLOOKUP(L867,Products!$A$2:$G$49,3,0)</f>
        <v>Medium</v>
      </c>
      <c r="O867" s="25">
        <v>1</v>
      </c>
      <c r="P867" s="5">
        <f>INDEX([1]products!$A$1:$G$49,MATCH([1]orders!$D867,[1]products!$A$1:$A$49,0),MATCH([1]orders!K$1,[1]products!$A$1:$G$1,0))</f>
        <v>0.5</v>
      </c>
      <c r="Q867" s="6">
        <f>INDEX([1]products!$A$1:$G$49,MATCH([1]orders!$D867,[1]products!$A$1:$A$49,0),MATCH([1]orders!L$1,[1]products!$A$1:$G$1,0))</f>
        <v>6.75</v>
      </c>
      <c r="R867" s="6">
        <f t="shared" si="65"/>
        <v>6.75</v>
      </c>
      <c r="S867">
        <f>VLOOKUP(L867,Products!$A$2:$G$49,7,0)</f>
        <v>0.60749999999999993</v>
      </c>
      <c r="T867">
        <f t="shared" si="68"/>
        <v>0.60749999999999993</v>
      </c>
      <c r="U867" s="33">
        <f t="shared" si="69"/>
        <v>8.9999999999999982</v>
      </c>
    </row>
    <row r="868" spans="1:21" x14ac:dyDescent="0.25">
      <c r="A868" s="1" t="s">
        <v>1674</v>
      </c>
      <c r="B868" s="28">
        <v>44209</v>
      </c>
      <c r="C868" s="21" t="str">
        <f t="shared" si="66"/>
        <v>2021</v>
      </c>
      <c r="D868" s="19" t="str">
        <f t="shared" si="67"/>
        <v>January</v>
      </c>
      <c r="E868" s="3" t="s">
        <v>1675</v>
      </c>
      <c r="F868" s="3" t="str">
        <f>VLOOKUP(E868,Customers!$A$2:$I$1001,2,0)</f>
        <v>Rafaela Treacher</v>
      </c>
      <c r="G868" s="3" t="str">
        <f>VLOOKUP(E868,Customers!$A$2:$I$1001,3,0)</f>
        <v>rtreachero2@usa.gov</v>
      </c>
      <c r="H868" s="3" t="str">
        <f>VLOOKUP(E868,Customers!$A$2:$I$1001,4,0)</f>
        <v>+353 (552) 867-2244</v>
      </c>
      <c r="I868" s="25" t="str">
        <f>VLOOKUP(E868,Customers!$A$2:$I$1001,6,0)</f>
        <v>Greystones</v>
      </c>
      <c r="J868" s="25" t="str">
        <f>VLOOKUP(E868,Customers!$A$2:$I$1001,7,0)</f>
        <v>Ireland</v>
      </c>
      <c r="K868" s="23" t="str">
        <f>VLOOKUP(E868,Customers!$A$2:$I$1001,9,0)</f>
        <v>No</v>
      </c>
      <c r="L868" s="4" t="s">
        <v>72</v>
      </c>
      <c r="M868" s="4" t="str">
        <f>VLOOKUP(L868,Products!$A$2:$G$49,2,0)</f>
        <v>Arabica</v>
      </c>
      <c r="N868" s="4" t="str">
        <f>VLOOKUP(L868,Products!$A$2:$G$49,3,0)</f>
        <v>Dark</v>
      </c>
      <c r="O868" s="25">
        <v>3</v>
      </c>
      <c r="P868" s="5">
        <f>INDEX([1]products!$A$1:$G$49,MATCH([1]orders!$D868,[1]products!$A$1:$A$49,0),MATCH([1]orders!K$1,[1]products!$A$1:$G$1,0))</f>
        <v>0.5</v>
      </c>
      <c r="Q868" s="6">
        <f>INDEX([1]products!$A$1:$G$49,MATCH([1]orders!$D868,[1]products!$A$1:$A$49,0),MATCH([1]orders!L$1,[1]products!$A$1:$G$1,0))</f>
        <v>5.97</v>
      </c>
      <c r="R868" s="6">
        <f t="shared" si="65"/>
        <v>17.91</v>
      </c>
      <c r="S868">
        <f>VLOOKUP(L868,Products!$A$2:$G$49,7,0)</f>
        <v>0.5373</v>
      </c>
      <c r="T868">
        <f t="shared" si="68"/>
        <v>1.6118999999999999</v>
      </c>
      <c r="U868" s="33">
        <f t="shared" si="69"/>
        <v>9</v>
      </c>
    </row>
    <row r="869" spans="1:21" x14ac:dyDescent="0.25">
      <c r="A869" s="1" t="s">
        <v>1676</v>
      </c>
      <c r="B869" s="28">
        <v>44792</v>
      </c>
      <c r="C869" s="21" t="str">
        <f t="shared" si="66"/>
        <v>2022</v>
      </c>
      <c r="D869" s="19" t="str">
        <f t="shared" si="67"/>
        <v>August</v>
      </c>
      <c r="E869" s="3" t="s">
        <v>1677</v>
      </c>
      <c r="F869" s="3" t="str">
        <f>VLOOKUP(E869,Customers!$A$2:$I$1001,2,0)</f>
        <v>Bee Fattorini</v>
      </c>
      <c r="G869" s="3" t="str">
        <f>VLOOKUP(E869,Customers!$A$2:$I$1001,3,0)</f>
        <v>bfattorinio3@quantcast.com</v>
      </c>
      <c r="H869" s="3" t="str">
        <f>VLOOKUP(E869,Customers!$A$2:$I$1001,4,0)</f>
        <v>UNKNOWN</v>
      </c>
      <c r="I869" s="25" t="str">
        <f>VLOOKUP(E869,Customers!$A$2:$I$1001,6,0)</f>
        <v>Monaghan</v>
      </c>
      <c r="J869" s="25" t="str">
        <f>VLOOKUP(E869,Customers!$A$2:$I$1001,7,0)</f>
        <v>Ireland</v>
      </c>
      <c r="K869" s="23" t="str">
        <f>VLOOKUP(E869,Customers!$A$2:$I$1001,9,0)</f>
        <v>Yes</v>
      </c>
      <c r="L869" s="4" t="s">
        <v>204</v>
      </c>
      <c r="M869" s="4" t="str">
        <f>VLOOKUP(L869,Products!$A$2:$G$49,2,0)</f>
        <v>Arabica</v>
      </c>
      <c r="N869" s="4" t="str">
        <f>VLOOKUP(L869,Products!$A$2:$G$49,3,0)</f>
        <v>Light</v>
      </c>
      <c r="O869" s="25">
        <v>1</v>
      </c>
      <c r="P869" s="5">
        <f>INDEX([1]products!$A$1:$G$49,MATCH([1]orders!$D869,[1]products!$A$1:$A$49,0),MATCH([1]orders!K$1,[1]products!$A$1:$G$1,0))</f>
        <v>2.5</v>
      </c>
      <c r="Q869" s="6">
        <f>INDEX([1]products!$A$1:$G$49,MATCH([1]orders!$D869,[1]products!$A$1:$A$49,0),MATCH([1]orders!L$1,[1]products!$A$1:$G$1,0))</f>
        <v>29.784999999999997</v>
      </c>
      <c r="R869" s="6">
        <f t="shared" si="65"/>
        <v>29.784999999999997</v>
      </c>
      <c r="S869">
        <f>VLOOKUP(L869,Products!$A$2:$G$49,7,0)</f>
        <v>2.6806499999999995</v>
      </c>
      <c r="T869">
        <f t="shared" si="68"/>
        <v>2.6806499999999995</v>
      </c>
      <c r="U869" s="33">
        <f t="shared" si="69"/>
        <v>9</v>
      </c>
    </row>
    <row r="870" spans="1:21" x14ac:dyDescent="0.25">
      <c r="A870" s="1" t="s">
        <v>1678</v>
      </c>
      <c r="B870" s="28">
        <v>43526</v>
      </c>
      <c r="C870" s="21" t="str">
        <f t="shared" si="66"/>
        <v>2019</v>
      </c>
      <c r="D870" s="19" t="str">
        <f t="shared" si="67"/>
        <v>March</v>
      </c>
      <c r="E870" s="3" t="s">
        <v>1679</v>
      </c>
      <c r="F870" s="3" t="str">
        <f>VLOOKUP(E870,Customers!$A$2:$I$1001,2,0)</f>
        <v>Margie Palleske</v>
      </c>
      <c r="G870" s="3" t="str">
        <f>VLOOKUP(E870,Customers!$A$2:$I$1001,3,0)</f>
        <v>mpalleskeo4@nyu.edu</v>
      </c>
      <c r="H870" s="3" t="str">
        <f>VLOOKUP(E870,Customers!$A$2:$I$1001,4,0)</f>
        <v>+1 (561) 371-1596</v>
      </c>
      <c r="I870" s="25" t="str">
        <f>VLOOKUP(E870,Customers!$A$2:$I$1001,6,0)</f>
        <v>Pompano Beach</v>
      </c>
      <c r="J870" s="25" t="str">
        <f>VLOOKUP(E870,Customers!$A$2:$I$1001,7,0)</f>
        <v>United States</v>
      </c>
      <c r="K870" s="23" t="str">
        <f>VLOOKUP(E870,Customers!$A$2:$I$1001,9,0)</f>
        <v>Yes</v>
      </c>
      <c r="L870" s="4" t="s">
        <v>3</v>
      </c>
      <c r="M870" s="4" t="str">
        <f>VLOOKUP(L870,Products!$A$2:$G$49,2,0)</f>
        <v>Excelsa</v>
      </c>
      <c r="N870" s="4" t="str">
        <f>VLOOKUP(L870,Products!$A$2:$G$49,3,0)</f>
        <v>Medium</v>
      </c>
      <c r="O870" s="25">
        <v>5</v>
      </c>
      <c r="P870" s="5">
        <f>INDEX([1]products!$A$1:$G$49,MATCH([1]orders!$D870,[1]products!$A$1:$A$49,0),MATCH([1]orders!K$1,[1]products!$A$1:$G$1,0))</f>
        <v>0.5</v>
      </c>
      <c r="Q870" s="6">
        <f>INDEX([1]products!$A$1:$G$49,MATCH([1]orders!$D870,[1]products!$A$1:$A$49,0),MATCH([1]orders!L$1,[1]products!$A$1:$G$1,0))</f>
        <v>8.25</v>
      </c>
      <c r="R870" s="6">
        <f t="shared" si="65"/>
        <v>41.25</v>
      </c>
      <c r="S870">
        <f>VLOOKUP(L870,Products!$A$2:$G$49,7,0)</f>
        <v>0.90749999999999997</v>
      </c>
      <c r="T870">
        <f t="shared" si="68"/>
        <v>4.5374999999999996</v>
      </c>
      <c r="U870" s="33">
        <f t="shared" si="69"/>
        <v>10.999999999999998</v>
      </c>
    </row>
    <row r="871" spans="1:21" x14ac:dyDescent="0.25">
      <c r="A871" s="1" t="s">
        <v>1680</v>
      </c>
      <c r="B871" s="28">
        <v>43851</v>
      </c>
      <c r="C871" s="21" t="str">
        <f t="shared" si="66"/>
        <v>2020</v>
      </c>
      <c r="D871" s="19" t="str">
        <f t="shared" si="67"/>
        <v>January</v>
      </c>
      <c r="E871" s="3" t="s">
        <v>1681</v>
      </c>
      <c r="F871" s="3" t="str">
        <f>VLOOKUP(E871,Customers!$A$2:$I$1001,2,0)</f>
        <v>Alexina Randals</v>
      </c>
      <c r="G871" s="3" t="str">
        <f>VLOOKUP(E871,Customers!$A$2:$I$1001,3,0)</f>
        <v>UNKNOWN</v>
      </c>
      <c r="H871" s="3" t="str">
        <f>VLOOKUP(E871,Customers!$A$2:$I$1001,4,0)</f>
        <v>+1 (916) 300-4433</v>
      </c>
      <c r="I871" s="25" t="str">
        <f>VLOOKUP(E871,Customers!$A$2:$I$1001,6,0)</f>
        <v>Sacramento</v>
      </c>
      <c r="J871" s="25" t="str">
        <f>VLOOKUP(E871,Customers!$A$2:$I$1001,7,0)</f>
        <v>United States</v>
      </c>
      <c r="K871" s="23" t="str">
        <f>VLOOKUP(E871,Customers!$A$2:$I$1001,9,0)</f>
        <v>Yes</v>
      </c>
      <c r="L871" s="4" t="s">
        <v>22</v>
      </c>
      <c r="M871" s="4" t="str">
        <f>VLOOKUP(L871,Products!$A$2:$G$49,2,0)</f>
        <v>Robusta</v>
      </c>
      <c r="N871" s="4" t="str">
        <f>VLOOKUP(L871,Products!$A$2:$G$49,3,0)</f>
        <v>Medium</v>
      </c>
      <c r="O871" s="25">
        <v>3</v>
      </c>
      <c r="P871" s="5">
        <f>INDEX([1]products!$A$1:$G$49,MATCH([1]orders!$D871,[1]products!$A$1:$A$49,0),MATCH([1]orders!K$1,[1]products!$A$1:$G$1,0))</f>
        <v>0.5</v>
      </c>
      <c r="Q871" s="6">
        <f>INDEX([1]products!$A$1:$G$49,MATCH([1]orders!$D871,[1]products!$A$1:$A$49,0),MATCH([1]orders!L$1,[1]products!$A$1:$G$1,0))</f>
        <v>5.97</v>
      </c>
      <c r="R871" s="6">
        <f t="shared" si="65"/>
        <v>17.91</v>
      </c>
      <c r="S871">
        <f>VLOOKUP(L871,Products!$A$2:$G$49,7,0)</f>
        <v>0.35819999999999996</v>
      </c>
      <c r="T871">
        <f t="shared" si="68"/>
        <v>1.0745999999999998</v>
      </c>
      <c r="U871" s="33">
        <f t="shared" si="69"/>
        <v>5.9999999999999982</v>
      </c>
    </row>
    <row r="872" spans="1:21" x14ac:dyDescent="0.25">
      <c r="A872" s="1" t="s">
        <v>1682</v>
      </c>
      <c r="B872" s="28">
        <v>44460</v>
      </c>
      <c r="C872" s="21" t="str">
        <f t="shared" si="66"/>
        <v>2021</v>
      </c>
      <c r="D872" s="19" t="str">
        <f t="shared" si="67"/>
        <v>September</v>
      </c>
      <c r="E872" s="3" t="s">
        <v>1683</v>
      </c>
      <c r="F872" s="3" t="str">
        <f>VLOOKUP(E872,Customers!$A$2:$I$1001,2,0)</f>
        <v>Filip Antcliffe</v>
      </c>
      <c r="G872" s="3" t="str">
        <f>VLOOKUP(E872,Customers!$A$2:$I$1001,3,0)</f>
        <v>fantcliffeo6@amazon.co.jp</v>
      </c>
      <c r="H872" s="3" t="str">
        <f>VLOOKUP(E872,Customers!$A$2:$I$1001,4,0)</f>
        <v>+353 (581) 217-6697</v>
      </c>
      <c r="I872" s="25" t="str">
        <f>VLOOKUP(E872,Customers!$A$2:$I$1001,6,0)</f>
        <v>Clonskeagh</v>
      </c>
      <c r="J872" s="25" t="str">
        <f>VLOOKUP(E872,Customers!$A$2:$I$1001,7,0)</f>
        <v>Ireland</v>
      </c>
      <c r="K872" s="23" t="str">
        <f>VLOOKUP(E872,Customers!$A$2:$I$1001,9,0)</f>
        <v>Yes</v>
      </c>
      <c r="L872" s="4" t="s">
        <v>16</v>
      </c>
      <c r="M872" s="4" t="str">
        <f>VLOOKUP(L872,Products!$A$2:$G$49,2,0)</f>
        <v>Excelsa</v>
      </c>
      <c r="N872" s="4" t="str">
        <f>VLOOKUP(L872,Products!$A$2:$G$49,3,0)</f>
        <v>Dark</v>
      </c>
      <c r="O872" s="25">
        <v>1</v>
      </c>
      <c r="P872" s="5">
        <f>INDEX([1]products!$A$1:$G$49,MATCH([1]orders!$D872,[1]products!$A$1:$A$49,0),MATCH([1]orders!K$1,[1]products!$A$1:$G$1,0))</f>
        <v>0.5</v>
      </c>
      <c r="Q872" s="6">
        <f>INDEX([1]products!$A$1:$G$49,MATCH([1]orders!$D872,[1]products!$A$1:$A$49,0),MATCH([1]orders!L$1,[1]products!$A$1:$G$1,0))</f>
        <v>7.29</v>
      </c>
      <c r="R872" s="6">
        <f t="shared" si="65"/>
        <v>7.29</v>
      </c>
      <c r="S872">
        <f>VLOOKUP(L872,Products!$A$2:$G$49,7,0)</f>
        <v>0.80190000000000006</v>
      </c>
      <c r="T872">
        <f t="shared" si="68"/>
        <v>0.80190000000000006</v>
      </c>
      <c r="U872" s="33">
        <f t="shared" si="69"/>
        <v>11</v>
      </c>
    </row>
    <row r="873" spans="1:21" x14ac:dyDescent="0.25">
      <c r="A873" s="1" t="s">
        <v>1684</v>
      </c>
      <c r="B873" s="28">
        <v>43707</v>
      </c>
      <c r="C873" s="21" t="str">
        <f t="shared" si="66"/>
        <v>2019</v>
      </c>
      <c r="D873" s="19" t="str">
        <f t="shared" si="67"/>
        <v>August</v>
      </c>
      <c r="E873" s="3" t="s">
        <v>1685</v>
      </c>
      <c r="F873" s="3" t="str">
        <f>VLOOKUP(E873,Customers!$A$2:$I$1001,2,0)</f>
        <v>Peyter Matignon</v>
      </c>
      <c r="G873" s="3" t="str">
        <f>VLOOKUP(E873,Customers!$A$2:$I$1001,3,0)</f>
        <v>pmatignono7@harvard.edu</v>
      </c>
      <c r="H873" s="3" t="str">
        <f>VLOOKUP(E873,Customers!$A$2:$I$1001,4,0)</f>
        <v>+44 (792) 626-3977</v>
      </c>
      <c r="I873" s="25" t="str">
        <f>VLOOKUP(E873,Customers!$A$2:$I$1001,6,0)</f>
        <v>Kirkton</v>
      </c>
      <c r="J873" s="25" t="str">
        <f>VLOOKUP(E873,Customers!$A$2:$I$1001,7,0)</f>
        <v>United Kingdom</v>
      </c>
      <c r="K873" s="23" t="str">
        <f>VLOOKUP(E873,Customers!$A$2:$I$1001,9,0)</f>
        <v>Yes</v>
      </c>
      <c r="L873" s="4" t="s">
        <v>137</v>
      </c>
      <c r="M873" s="4" t="str">
        <f>VLOOKUP(L873,Products!$A$2:$G$49,2,0)</f>
        <v>Excelsa</v>
      </c>
      <c r="N873" s="4" t="str">
        <f>VLOOKUP(L873,Products!$A$2:$G$49,3,0)</f>
        <v>Light</v>
      </c>
      <c r="O873" s="25">
        <v>2</v>
      </c>
      <c r="P873" s="5">
        <f>INDEX([1]products!$A$1:$G$49,MATCH([1]orders!$D873,[1]products!$A$1:$A$49,0),MATCH([1]orders!K$1,[1]products!$A$1:$G$1,0))</f>
        <v>1</v>
      </c>
      <c r="Q873" s="6">
        <f>INDEX([1]products!$A$1:$G$49,MATCH([1]orders!$D873,[1]products!$A$1:$A$49,0),MATCH([1]orders!L$1,[1]products!$A$1:$G$1,0))</f>
        <v>14.85</v>
      </c>
      <c r="R873" s="6">
        <f t="shared" si="65"/>
        <v>29.7</v>
      </c>
      <c r="S873">
        <f>VLOOKUP(L873,Products!$A$2:$G$49,7,0)</f>
        <v>1.6335</v>
      </c>
      <c r="T873">
        <f t="shared" si="68"/>
        <v>3.2669999999999999</v>
      </c>
      <c r="U873" s="33">
        <f t="shared" si="69"/>
        <v>11</v>
      </c>
    </row>
    <row r="874" spans="1:21" x14ac:dyDescent="0.25">
      <c r="A874" s="1" t="s">
        <v>1686</v>
      </c>
      <c r="B874" s="28">
        <v>43521</v>
      </c>
      <c r="C874" s="21" t="str">
        <f t="shared" si="66"/>
        <v>2019</v>
      </c>
      <c r="D874" s="19" t="str">
        <f t="shared" si="67"/>
        <v>February</v>
      </c>
      <c r="E874" s="3" t="s">
        <v>1687</v>
      </c>
      <c r="F874" s="3" t="str">
        <f>VLOOKUP(E874,Customers!$A$2:$I$1001,2,0)</f>
        <v>Claudie Weond</v>
      </c>
      <c r="G874" s="3" t="str">
        <f>VLOOKUP(E874,Customers!$A$2:$I$1001,3,0)</f>
        <v>cweondo8@theglobeandmail.com</v>
      </c>
      <c r="H874" s="3" t="str">
        <f>VLOOKUP(E874,Customers!$A$2:$I$1001,4,0)</f>
        <v>+1 (828) 335-1268</v>
      </c>
      <c r="I874" s="25" t="str">
        <f>VLOOKUP(E874,Customers!$A$2:$I$1001,6,0)</f>
        <v>Asheville</v>
      </c>
      <c r="J874" s="25" t="str">
        <f>VLOOKUP(E874,Customers!$A$2:$I$1001,7,0)</f>
        <v>United States</v>
      </c>
      <c r="K874" s="23" t="str">
        <f>VLOOKUP(E874,Customers!$A$2:$I$1001,9,0)</f>
        <v>No</v>
      </c>
      <c r="L874" s="4" t="s">
        <v>61</v>
      </c>
      <c r="M874" s="4" t="str">
        <f>VLOOKUP(L874,Products!$A$2:$G$49,2,0)</f>
        <v>Arabica</v>
      </c>
      <c r="N874" s="4" t="str">
        <f>VLOOKUP(L874,Products!$A$2:$G$49,3,0)</f>
        <v>Medium</v>
      </c>
      <c r="O874" s="25">
        <v>2</v>
      </c>
      <c r="P874" s="5">
        <f>INDEX([1]products!$A$1:$G$49,MATCH([1]orders!$D874,[1]products!$A$1:$A$49,0),MATCH([1]orders!K$1,[1]products!$A$1:$G$1,0))</f>
        <v>1</v>
      </c>
      <c r="Q874" s="6">
        <f>INDEX([1]products!$A$1:$G$49,MATCH([1]orders!$D874,[1]products!$A$1:$A$49,0),MATCH([1]orders!L$1,[1]products!$A$1:$G$1,0))</f>
        <v>11.25</v>
      </c>
      <c r="R874" s="6">
        <f t="shared" si="65"/>
        <v>22.5</v>
      </c>
      <c r="S874">
        <f>VLOOKUP(L874,Products!$A$2:$G$49,7,0)</f>
        <v>1.0125</v>
      </c>
      <c r="T874">
        <f t="shared" si="68"/>
        <v>2.0249999999999999</v>
      </c>
      <c r="U874" s="33">
        <f t="shared" si="69"/>
        <v>9</v>
      </c>
    </row>
    <row r="875" spans="1:21" x14ac:dyDescent="0.25">
      <c r="A875" s="1" t="s">
        <v>1688</v>
      </c>
      <c r="B875" s="28">
        <v>43725</v>
      </c>
      <c r="C875" s="21" t="str">
        <f t="shared" si="66"/>
        <v>2019</v>
      </c>
      <c r="D875" s="19" t="str">
        <f t="shared" si="67"/>
        <v>September</v>
      </c>
      <c r="E875" s="3" t="s">
        <v>1673</v>
      </c>
      <c r="F875" s="3" t="str">
        <f>VLOOKUP(E875,Customers!$A$2:$I$1001,2,0)</f>
        <v>Modesty MacConnechie</v>
      </c>
      <c r="G875" s="3" t="str">
        <f>VLOOKUP(E875,Customers!$A$2:$I$1001,3,0)</f>
        <v>mmacconnechieo9@reuters.com</v>
      </c>
      <c r="H875" s="3" t="str">
        <f>VLOOKUP(E875,Customers!$A$2:$I$1001,4,0)</f>
        <v>+1 (304) 620-6008</v>
      </c>
      <c r="I875" s="25" t="str">
        <f>VLOOKUP(E875,Customers!$A$2:$I$1001,6,0)</f>
        <v>Charleston</v>
      </c>
      <c r="J875" s="25" t="str">
        <f>VLOOKUP(E875,Customers!$A$2:$I$1001,7,0)</f>
        <v>United States</v>
      </c>
      <c r="K875" s="23" t="str">
        <f>VLOOKUP(E875,Customers!$A$2:$I$1001,9,0)</f>
        <v>Yes</v>
      </c>
      <c r="L875" s="4" t="s">
        <v>162</v>
      </c>
      <c r="M875" s="4" t="str">
        <f>VLOOKUP(L875,Products!$A$2:$G$49,2,0)</f>
        <v>Robusta</v>
      </c>
      <c r="N875" s="4" t="str">
        <f>VLOOKUP(L875,Products!$A$2:$G$49,3,0)</f>
        <v>Medium</v>
      </c>
      <c r="O875" s="25">
        <v>4</v>
      </c>
      <c r="P875" s="5">
        <f>INDEX([1]products!$A$1:$G$49,MATCH([1]orders!$D875,[1]products!$A$1:$A$49,0),MATCH([1]orders!K$1,[1]products!$A$1:$G$1,0))</f>
        <v>0.2</v>
      </c>
      <c r="Q875" s="6">
        <f>INDEX([1]products!$A$1:$G$49,MATCH([1]orders!$D875,[1]products!$A$1:$A$49,0),MATCH([1]orders!L$1,[1]products!$A$1:$G$1,0))</f>
        <v>2.9849999999999999</v>
      </c>
      <c r="R875" s="6">
        <f t="shared" si="65"/>
        <v>11.94</v>
      </c>
      <c r="S875">
        <f>VLOOKUP(L875,Products!$A$2:$G$49,7,0)</f>
        <v>0.17909999999999998</v>
      </c>
      <c r="T875">
        <f t="shared" si="68"/>
        <v>0.71639999999999993</v>
      </c>
      <c r="U875" s="33">
        <f t="shared" si="69"/>
        <v>6</v>
      </c>
    </row>
    <row r="876" spans="1:21" x14ac:dyDescent="0.25">
      <c r="A876" s="1" t="s">
        <v>1689</v>
      </c>
      <c r="B876" s="28">
        <v>43680</v>
      </c>
      <c r="C876" s="21" t="str">
        <f t="shared" si="66"/>
        <v>2019</v>
      </c>
      <c r="D876" s="19" t="str">
        <f t="shared" si="67"/>
        <v>August</v>
      </c>
      <c r="E876" s="3" t="s">
        <v>1690</v>
      </c>
      <c r="F876" s="3" t="str">
        <f>VLOOKUP(E876,Customers!$A$2:$I$1001,2,0)</f>
        <v>Jaquenette Skentelbery</v>
      </c>
      <c r="G876" s="3" t="str">
        <f>VLOOKUP(E876,Customers!$A$2:$I$1001,3,0)</f>
        <v>jskentelberyoa@paypal.com</v>
      </c>
      <c r="H876" s="3" t="str">
        <f>VLOOKUP(E876,Customers!$A$2:$I$1001,4,0)</f>
        <v>+1 (713) 976-5419</v>
      </c>
      <c r="I876" s="25" t="str">
        <f>VLOOKUP(E876,Customers!$A$2:$I$1001,6,0)</f>
        <v>Houston</v>
      </c>
      <c r="J876" s="25" t="str">
        <f>VLOOKUP(E876,Customers!$A$2:$I$1001,7,0)</f>
        <v>United States</v>
      </c>
      <c r="K876" s="23" t="str">
        <f>VLOOKUP(E876,Customers!$A$2:$I$1001,9,0)</f>
        <v>No</v>
      </c>
      <c r="L876" s="4" t="s">
        <v>6</v>
      </c>
      <c r="M876" s="4" t="str">
        <f>VLOOKUP(L876,Products!$A$2:$G$49,2,0)</f>
        <v>Arabica</v>
      </c>
      <c r="N876" s="4" t="str">
        <f>VLOOKUP(L876,Products!$A$2:$G$49,3,0)</f>
        <v>Light</v>
      </c>
      <c r="O876" s="25">
        <v>2</v>
      </c>
      <c r="P876" s="5">
        <f>INDEX([1]products!$A$1:$G$49,MATCH([1]orders!$D876,[1]products!$A$1:$A$49,0),MATCH([1]orders!K$1,[1]products!$A$1:$G$1,0))</f>
        <v>1</v>
      </c>
      <c r="Q876" s="6">
        <f>INDEX([1]products!$A$1:$G$49,MATCH([1]orders!$D876,[1]products!$A$1:$A$49,0),MATCH([1]orders!L$1,[1]products!$A$1:$G$1,0))</f>
        <v>12.95</v>
      </c>
      <c r="R876" s="6">
        <f t="shared" si="65"/>
        <v>25.9</v>
      </c>
      <c r="S876">
        <f>VLOOKUP(L876,Products!$A$2:$G$49,7,0)</f>
        <v>1.1655</v>
      </c>
      <c r="T876">
        <f t="shared" si="68"/>
        <v>2.331</v>
      </c>
      <c r="U876" s="33">
        <f t="shared" si="69"/>
        <v>9</v>
      </c>
    </row>
    <row r="877" spans="1:21" x14ac:dyDescent="0.25">
      <c r="A877" s="1" t="s">
        <v>1691</v>
      </c>
      <c r="B877" s="28">
        <v>44253</v>
      </c>
      <c r="C877" s="21" t="str">
        <f t="shared" si="66"/>
        <v>2021</v>
      </c>
      <c r="D877" s="19" t="str">
        <f t="shared" si="67"/>
        <v>February</v>
      </c>
      <c r="E877" s="3" t="s">
        <v>1692</v>
      </c>
      <c r="F877" s="3" t="str">
        <f>VLOOKUP(E877,Customers!$A$2:$I$1001,2,0)</f>
        <v>Orazio Comber</v>
      </c>
      <c r="G877" s="3" t="str">
        <f>VLOOKUP(E877,Customers!$A$2:$I$1001,3,0)</f>
        <v>ocomberob@goo.gl</v>
      </c>
      <c r="H877" s="3" t="str">
        <f>VLOOKUP(E877,Customers!$A$2:$I$1001,4,0)</f>
        <v>+353 (947) 836-2302</v>
      </c>
      <c r="I877" s="25" t="str">
        <f>VLOOKUP(E877,Customers!$A$2:$I$1001,6,0)</f>
        <v>Confey</v>
      </c>
      <c r="J877" s="25" t="str">
        <f>VLOOKUP(E877,Customers!$A$2:$I$1001,7,0)</f>
        <v>Ireland</v>
      </c>
      <c r="K877" s="23" t="str">
        <f>VLOOKUP(E877,Customers!$A$2:$I$1001,9,0)</f>
        <v>No</v>
      </c>
      <c r="L877" s="4" t="s">
        <v>78</v>
      </c>
      <c r="M877" s="4" t="str">
        <f>VLOOKUP(L877,Products!$A$2:$G$49,2,0)</f>
        <v>Liberica</v>
      </c>
      <c r="N877" s="4" t="str">
        <f>VLOOKUP(L877,Products!$A$2:$G$49,3,0)</f>
        <v>Medium</v>
      </c>
      <c r="O877" s="25">
        <v>5</v>
      </c>
      <c r="P877" s="5">
        <f>INDEX([1]products!$A$1:$G$49,MATCH([1]orders!$D877,[1]products!$A$1:$A$49,0),MATCH([1]orders!K$1,[1]products!$A$1:$G$1,0))</f>
        <v>0.5</v>
      </c>
      <c r="Q877" s="6">
        <f>INDEX([1]products!$A$1:$G$49,MATCH([1]orders!$D877,[1]products!$A$1:$A$49,0),MATCH([1]orders!L$1,[1]products!$A$1:$G$1,0))</f>
        <v>8.73</v>
      </c>
      <c r="R877" s="6">
        <f t="shared" si="65"/>
        <v>43.650000000000006</v>
      </c>
      <c r="S877">
        <f>VLOOKUP(L877,Products!$A$2:$G$49,7,0)</f>
        <v>1.1349</v>
      </c>
      <c r="T877">
        <f t="shared" si="68"/>
        <v>5.6745000000000001</v>
      </c>
      <c r="U877" s="33">
        <f t="shared" si="69"/>
        <v>12.999999999999998</v>
      </c>
    </row>
    <row r="878" spans="1:21" x14ac:dyDescent="0.25">
      <c r="A878" s="1" t="s">
        <v>1691</v>
      </c>
      <c r="B878" s="28">
        <v>44253</v>
      </c>
      <c r="C878" s="21" t="str">
        <f t="shared" si="66"/>
        <v>2021</v>
      </c>
      <c r="D878" s="19" t="str">
        <f t="shared" si="67"/>
        <v>February</v>
      </c>
      <c r="E878" s="3" t="s">
        <v>1692</v>
      </c>
      <c r="F878" s="3" t="str">
        <f>VLOOKUP(E878,Customers!$A$2:$I$1001,2,0)</f>
        <v>Orazio Comber</v>
      </c>
      <c r="G878" s="3" t="str">
        <f>VLOOKUP(E878,Customers!$A$2:$I$1001,3,0)</f>
        <v>ocomberob@goo.gl</v>
      </c>
      <c r="H878" s="3" t="str">
        <f>VLOOKUP(E878,Customers!$A$2:$I$1001,4,0)</f>
        <v>+353 (947) 836-2302</v>
      </c>
      <c r="I878" s="25" t="str">
        <f>VLOOKUP(E878,Customers!$A$2:$I$1001,6,0)</f>
        <v>Confey</v>
      </c>
      <c r="J878" s="25" t="str">
        <f>VLOOKUP(E878,Customers!$A$2:$I$1001,7,0)</f>
        <v>Ireland</v>
      </c>
      <c r="K878" s="23" t="str">
        <f>VLOOKUP(E878,Customers!$A$2:$I$1001,9,0)</f>
        <v>No</v>
      </c>
      <c r="L878" s="4" t="s">
        <v>192</v>
      </c>
      <c r="M878" s="4" t="str">
        <f>VLOOKUP(L878,Products!$A$2:$G$49,2,0)</f>
        <v>Arabica</v>
      </c>
      <c r="N878" s="4" t="str">
        <f>VLOOKUP(L878,Products!$A$2:$G$49,3,0)</f>
        <v>Light</v>
      </c>
      <c r="O878" s="25">
        <v>6</v>
      </c>
      <c r="P878" s="5">
        <f>INDEX([1]products!$A$1:$G$49,MATCH([1]orders!$D878,[1]products!$A$1:$A$49,0),MATCH([1]orders!K$1,[1]products!$A$1:$G$1,0))</f>
        <v>0.5</v>
      </c>
      <c r="Q878" s="6">
        <f>INDEX([1]products!$A$1:$G$49,MATCH([1]orders!$D878,[1]products!$A$1:$A$49,0),MATCH([1]orders!L$1,[1]products!$A$1:$G$1,0))</f>
        <v>7.77</v>
      </c>
      <c r="R878" s="6">
        <f t="shared" si="65"/>
        <v>46.62</v>
      </c>
      <c r="S878">
        <f>VLOOKUP(L878,Products!$A$2:$G$49,7,0)</f>
        <v>0.69929999999999992</v>
      </c>
      <c r="T878">
        <f t="shared" si="68"/>
        <v>4.1957999999999993</v>
      </c>
      <c r="U878" s="33">
        <f t="shared" si="69"/>
        <v>9</v>
      </c>
    </row>
    <row r="879" spans="1:21" x14ac:dyDescent="0.25">
      <c r="A879" s="1" t="s">
        <v>1693</v>
      </c>
      <c r="B879" s="28">
        <v>44411</v>
      </c>
      <c r="C879" s="21" t="str">
        <f t="shared" si="66"/>
        <v>2021</v>
      </c>
      <c r="D879" s="19" t="str">
        <f t="shared" si="67"/>
        <v>August</v>
      </c>
      <c r="E879" s="3" t="s">
        <v>1694</v>
      </c>
      <c r="F879" s="3" t="str">
        <f>VLOOKUP(E879,Customers!$A$2:$I$1001,2,0)</f>
        <v>Zachary Tramel</v>
      </c>
      <c r="G879" s="3" t="str">
        <f>VLOOKUP(E879,Customers!$A$2:$I$1001,3,0)</f>
        <v>ztramelod@netlog.com</v>
      </c>
      <c r="H879" s="3" t="str">
        <f>VLOOKUP(E879,Customers!$A$2:$I$1001,4,0)</f>
        <v>+1 (862) 925-5943</v>
      </c>
      <c r="I879" s="25" t="str">
        <f>VLOOKUP(E879,Customers!$A$2:$I$1001,6,0)</f>
        <v>Newark</v>
      </c>
      <c r="J879" s="25" t="str">
        <f>VLOOKUP(E879,Customers!$A$2:$I$1001,7,0)</f>
        <v>United States</v>
      </c>
      <c r="K879" s="23" t="str">
        <f>VLOOKUP(E879,Customers!$A$2:$I$1001,9,0)</f>
        <v>No</v>
      </c>
      <c r="L879" s="4" t="s">
        <v>83</v>
      </c>
      <c r="M879" s="4" t="str">
        <f>VLOOKUP(L879,Products!$A$2:$G$49,2,0)</f>
        <v>Liberica</v>
      </c>
      <c r="N879" s="4" t="str">
        <f>VLOOKUP(L879,Products!$A$2:$G$49,3,0)</f>
        <v>Light</v>
      </c>
      <c r="O879" s="25">
        <v>3</v>
      </c>
      <c r="P879" s="5">
        <f>INDEX([1]products!$A$1:$G$49,MATCH([1]orders!$D879,[1]products!$A$1:$A$49,0),MATCH([1]orders!K$1,[1]products!$A$1:$G$1,0))</f>
        <v>0.5</v>
      </c>
      <c r="Q879" s="6">
        <f>INDEX([1]products!$A$1:$G$49,MATCH([1]orders!$D879,[1]products!$A$1:$A$49,0),MATCH([1]orders!L$1,[1]products!$A$1:$G$1,0))</f>
        <v>9.51</v>
      </c>
      <c r="R879" s="6">
        <f t="shared" si="65"/>
        <v>28.53</v>
      </c>
      <c r="S879">
        <f>VLOOKUP(L879,Products!$A$2:$G$49,7,0)</f>
        <v>1.2363</v>
      </c>
      <c r="T879">
        <f t="shared" si="68"/>
        <v>3.7088999999999999</v>
      </c>
      <c r="U879" s="33">
        <f t="shared" si="69"/>
        <v>12.999999999999998</v>
      </c>
    </row>
    <row r="880" spans="1:21" x14ac:dyDescent="0.25">
      <c r="A880" s="1" t="s">
        <v>1695</v>
      </c>
      <c r="B880" s="28">
        <v>44323</v>
      </c>
      <c r="C880" s="21" t="str">
        <f t="shared" si="66"/>
        <v>2021</v>
      </c>
      <c r="D880" s="19" t="str">
        <f t="shared" si="67"/>
        <v>May</v>
      </c>
      <c r="E880" s="3" t="s">
        <v>1696</v>
      </c>
      <c r="F880" s="3" t="str">
        <f>VLOOKUP(E880,Customers!$A$2:$I$1001,2,0)</f>
        <v>Izaak Primak</v>
      </c>
      <c r="G880" s="3" t="str">
        <f>VLOOKUP(E880,Customers!$A$2:$I$1001,3,0)</f>
        <v>UNKNOWN</v>
      </c>
      <c r="H880" s="3" t="str">
        <f>VLOOKUP(E880,Customers!$A$2:$I$1001,4,0)</f>
        <v>+1 (206) 705-3979</v>
      </c>
      <c r="I880" s="25" t="str">
        <f>VLOOKUP(E880,Customers!$A$2:$I$1001,6,0)</f>
        <v>Seattle</v>
      </c>
      <c r="J880" s="25" t="str">
        <f>VLOOKUP(E880,Customers!$A$2:$I$1001,7,0)</f>
        <v>United States</v>
      </c>
      <c r="K880" s="23" t="str">
        <f>VLOOKUP(E880,Customers!$A$2:$I$1001,9,0)</f>
        <v>Yes</v>
      </c>
      <c r="L880" s="4" t="s">
        <v>10</v>
      </c>
      <c r="M880" s="4" t="str">
        <f>VLOOKUP(L880,Products!$A$2:$G$49,2,0)</f>
        <v>Robusta</v>
      </c>
      <c r="N880" s="4" t="str">
        <f>VLOOKUP(L880,Products!$A$2:$G$49,3,0)</f>
        <v>Light</v>
      </c>
      <c r="O880" s="25">
        <v>1</v>
      </c>
      <c r="P880" s="5">
        <f>INDEX([1]products!$A$1:$G$49,MATCH([1]orders!$D880,[1]products!$A$1:$A$49,0),MATCH([1]orders!K$1,[1]products!$A$1:$G$1,0))</f>
        <v>2.5</v>
      </c>
      <c r="Q880" s="6">
        <f>INDEX([1]products!$A$1:$G$49,MATCH([1]orders!$D880,[1]products!$A$1:$A$49,0),MATCH([1]orders!L$1,[1]products!$A$1:$G$1,0))</f>
        <v>27.484999999999996</v>
      </c>
      <c r="R880" s="6">
        <f t="shared" si="65"/>
        <v>27.484999999999996</v>
      </c>
      <c r="S880">
        <f>VLOOKUP(L880,Products!$A$2:$G$49,7,0)</f>
        <v>1.6490999999999998</v>
      </c>
      <c r="T880">
        <f t="shared" si="68"/>
        <v>1.6490999999999998</v>
      </c>
      <c r="U880" s="33">
        <f t="shared" si="69"/>
        <v>6.0000000000000009</v>
      </c>
    </row>
    <row r="881" spans="1:21" x14ac:dyDescent="0.25">
      <c r="A881" s="1" t="s">
        <v>1697</v>
      </c>
      <c r="B881" s="28">
        <v>43630</v>
      </c>
      <c r="C881" s="21" t="str">
        <f t="shared" si="66"/>
        <v>2019</v>
      </c>
      <c r="D881" s="19" t="str">
        <f t="shared" si="67"/>
        <v>June</v>
      </c>
      <c r="E881" s="3" t="s">
        <v>1698</v>
      </c>
      <c r="F881" s="3" t="str">
        <f>VLOOKUP(E881,Customers!$A$2:$I$1001,2,0)</f>
        <v>Brittani Thoresbie</v>
      </c>
      <c r="G881" s="3" t="str">
        <f>VLOOKUP(E881,Customers!$A$2:$I$1001,3,0)</f>
        <v>UNKNOWN</v>
      </c>
      <c r="H881" s="3" t="str">
        <f>VLOOKUP(E881,Customers!$A$2:$I$1001,4,0)</f>
        <v>+1 (303) 606-9146</v>
      </c>
      <c r="I881" s="25" t="str">
        <f>VLOOKUP(E881,Customers!$A$2:$I$1001,6,0)</f>
        <v>Englewood</v>
      </c>
      <c r="J881" s="25" t="str">
        <f>VLOOKUP(E881,Customers!$A$2:$I$1001,7,0)</f>
        <v>United States</v>
      </c>
      <c r="K881" s="23" t="str">
        <f>VLOOKUP(E881,Customers!$A$2:$I$1001,9,0)</f>
        <v>No</v>
      </c>
      <c r="L881" s="4" t="s">
        <v>51</v>
      </c>
      <c r="M881" s="4" t="str">
        <f>VLOOKUP(L881,Products!$A$2:$G$49,2,0)</f>
        <v>Excelsa</v>
      </c>
      <c r="N881" s="4" t="str">
        <f>VLOOKUP(L881,Products!$A$2:$G$49,3,0)</f>
        <v>Dark</v>
      </c>
      <c r="O881" s="25">
        <v>3</v>
      </c>
      <c r="P881" s="5">
        <f>INDEX([1]products!$A$1:$G$49,MATCH([1]orders!$D881,[1]products!$A$1:$A$49,0),MATCH([1]orders!K$1,[1]products!$A$1:$G$1,0))</f>
        <v>0.2</v>
      </c>
      <c r="Q881" s="6">
        <f>INDEX([1]products!$A$1:$G$49,MATCH([1]orders!$D881,[1]products!$A$1:$A$49,0),MATCH([1]orders!L$1,[1]products!$A$1:$G$1,0))</f>
        <v>3.645</v>
      </c>
      <c r="R881" s="6">
        <f t="shared" si="65"/>
        <v>10.935</v>
      </c>
      <c r="S881">
        <f>VLOOKUP(L881,Products!$A$2:$G$49,7,0)</f>
        <v>0.40095000000000003</v>
      </c>
      <c r="T881">
        <f t="shared" si="68"/>
        <v>1.2028500000000002</v>
      </c>
      <c r="U881" s="33">
        <f t="shared" si="69"/>
        <v>11.000000000000002</v>
      </c>
    </row>
    <row r="882" spans="1:21" x14ac:dyDescent="0.25">
      <c r="A882" s="1" t="s">
        <v>1699</v>
      </c>
      <c r="B882" s="28">
        <v>43790</v>
      </c>
      <c r="C882" s="21" t="str">
        <f t="shared" si="66"/>
        <v>2019</v>
      </c>
      <c r="D882" s="19" t="str">
        <f t="shared" si="67"/>
        <v>November</v>
      </c>
      <c r="E882" s="3" t="s">
        <v>1700</v>
      </c>
      <c r="F882" s="3" t="str">
        <f>VLOOKUP(E882,Customers!$A$2:$I$1001,2,0)</f>
        <v>Constanta Hatfull</v>
      </c>
      <c r="G882" s="3" t="str">
        <f>VLOOKUP(E882,Customers!$A$2:$I$1001,3,0)</f>
        <v>chatfullog@ebay.com</v>
      </c>
      <c r="H882" s="3" t="str">
        <f>VLOOKUP(E882,Customers!$A$2:$I$1001,4,0)</f>
        <v>+1 (815) 382-1966</v>
      </c>
      <c r="I882" s="25" t="str">
        <f>VLOOKUP(E882,Customers!$A$2:$I$1001,6,0)</f>
        <v>Rockford</v>
      </c>
      <c r="J882" s="25" t="str">
        <f>VLOOKUP(E882,Customers!$A$2:$I$1001,7,0)</f>
        <v>United States</v>
      </c>
      <c r="K882" s="23" t="str">
        <f>VLOOKUP(E882,Customers!$A$2:$I$1001,9,0)</f>
        <v>No</v>
      </c>
      <c r="L882" s="4" t="s">
        <v>182</v>
      </c>
      <c r="M882" s="4" t="str">
        <f>VLOOKUP(L882,Products!$A$2:$G$49,2,0)</f>
        <v>Robusta</v>
      </c>
      <c r="N882" s="4" t="str">
        <f>VLOOKUP(L882,Products!$A$2:$G$49,3,0)</f>
        <v>Light</v>
      </c>
      <c r="O882" s="25">
        <v>2</v>
      </c>
      <c r="P882" s="5">
        <f>INDEX([1]products!$A$1:$G$49,MATCH([1]orders!$D882,[1]products!$A$1:$A$49,0),MATCH([1]orders!K$1,[1]products!$A$1:$G$1,0))</f>
        <v>0.2</v>
      </c>
      <c r="Q882" s="6">
        <f>INDEX([1]products!$A$1:$G$49,MATCH([1]orders!$D882,[1]products!$A$1:$A$49,0),MATCH([1]orders!L$1,[1]products!$A$1:$G$1,0))</f>
        <v>3.5849999999999995</v>
      </c>
      <c r="R882" s="6">
        <f t="shared" si="65"/>
        <v>7.169999999999999</v>
      </c>
      <c r="S882">
        <f>VLOOKUP(L882,Products!$A$2:$G$49,7,0)</f>
        <v>0.21509999999999996</v>
      </c>
      <c r="T882">
        <f t="shared" si="68"/>
        <v>0.43019999999999992</v>
      </c>
      <c r="U882" s="33">
        <f t="shared" si="69"/>
        <v>6</v>
      </c>
    </row>
    <row r="883" spans="1:21" x14ac:dyDescent="0.25">
      <c r="A883" s="1" t="s">
        <v>1701</v>
      </c>
      <c r="B883" s="28">
        <v>44286</v>
      </c>
      <c r="C883" s="21" t="str">
        <f t="shared" si="66"/>
        <v>2021</v>
      </c>
      <c r="D883" s="19" t="str">
        <f t="shared" si="67"/>
        <v>March</v>
      </c>
      <c r="E883" s="3" t="s">
        <v>1702</v>
      </c>
      <c r="F883" s="3" t="str">
        <f>VLOOKUP(E883,Customers!$A$2:$I$1001,2,0)</f>
        <v>Bobbe Castagneto</v>
      </c>
      <c r="G883" s="3" t="str">
        <f>VLOOKUP(E883,Customers!$A$2:$I$1001,3,0)</f>
        <v>UNKNOWN</v>
      </c>
      <c r="H883" s="3" t="str">
        <f>VLOOKUP(E883,Customers!$A$2:$I$1001,4,0)</f>
        <v>+1 (406) 972-9050</v>
      </c>
      <c r="I883" s="25" t="str">
        <f>VLOOKUP(E883,Customers!$A$2:$I$1001,6,0)</f>
        <v>Billings</v>
      </c>
      <c r="J883" s="25" t="str">
        <f>VLOOKUP(E883,Customers!$A$2:$I$1001,7,0)</f>
        <v>United States</v>
      </c>
      <c r="K883" s="23" t="str">
        <f>VLOOKUP(E883,Customers!$A$2:$I$1001,9,0)</f>
        <v>Yes</v>
      </c>
      <c r="L883" s="4" t="s">
        <v>115</v>
      </c>
      <c r="M883" s="4" t="str">
        <f>VLOOKUP(L883,Products!$A$2:$G$49,2,0)</f>
        <v>Arabica</v>
      </c>
      <c r="N883" s="4" t="str">
        <f>VLOOKUP(L883,Products!$A$2:$G$49,3,0)</f>
        <v>Light</v>
      </c>
      <c r="O883" s="25">
        <v>6</v>
      </c>
      <c r="P883" s="5">
        <f>INDEX([1]products!$A$1:$G$49,MATCH([1]orders!$D883,[1]products!$A$1:$A$49,0),MATCH([1]orders!K$1,[1]products!$A$1:$G$1,0))</f>
        <v>0.2</v>
      </c>
      <c r="Q883" s="6">
        <f>INDEX([1]products!$A$1:$G$49,MATCH([1]orders!$D883,[1]products!$A$1:$A$49,0),MATCH([1]orders!L$1,[1]products!$A$1:$G$1,0))</f>
        <v>3.8849999999999998</v>
      </c>
      <c r="R883" s="6">
        <f t="shared" si="65"/>
        <v>23.31</v>
      </c>
      <c r="S883">
        <f>VLOOKUP(L883,Products!$A$2:$G$49,7,0)</f>
        <v>0.34964999999999996</v>
      </c>
      <c r="T883">
        <f t="shared" si="68"/>
        <v>2.0978999999999997</v>
      </c>
      <c r="U883" s="33">
        <f t="shared" si="69"/>
        <v>9</v>
      </c>
    </row>
    <row r="884" spans="1:21" x14ac:dyDescent="0.25">
      <c r="A884" s="1" t="s">
        <v>1703</v>
      </c>
      <c r="B884" s="28">
        <v>43647</v>
      </c>
      <c r="C884" s="21" t="str">
        <f t="shared" si="66"/>
        <v>2019</v>
      </c>
      <c r="D884" s="19" t="str">
        <f t="shared" si="67"/>
        <v>July</v>
      </c>
      <c r="E884" s="3" t="s">
        <v>1704</v>
      </c>
      <c r="F884" s="3" t="str">
        <f>VLOOKUP(E884,Customers!$A$2:$I$1001,2,0)</f>
        <v>Kippie Marrison</v>
      </c>
      <c r="G884" s="3" t="str">
        <f>VLOOKUP(E884,Customers!$A$2:$I$1001,3,0)</f>
        <v>kmarrisonoq@dropbox.com</v>
      </c>
      <c r="H884" s="3" t="str">
        <f>VLOOKUP(E884,Customers!$A$2:$I$1001,4,0)</f>
        <v>+1 (303) 808-6803</v>
      </c>
      <c r="I884" s="25" t="str">
        <f>VLOOKUP(E884,Customers!$A$2:$I$1001,6,0)</f>
        <v>Denver</v>
      </c>
      <c r="J884" s="25" t="str">
        <f>VLOOKUP(E884,Customers!$A$2:$I$1001,7,0)</f>
        <v>United States</v>
      </c>
      <c r="K884" s="23" t="str">
        <f>VLOOKUP(E884,Customers!$A$2:$I$1001,9,0)</f>
        <v>Yes</v>
      </c>
      <c r="L884" s="4" t="s">
        <v>118</v>
      </c>
      <c r="M884" s="4" t="str">
        <f>VLOOKUP(L884,Products!$A$2:$G$49,2,0)</f>
        <v>Arabica</v>
      </c>
      <c r="N884" s="4" t="str">
        <f>VLOOKUP(L884,Products!$A$2:$G$49,3,0)</f>
        <v>Dark</v>
      </c>
      <c r="O884" s="25">
        <v>5</v>
      </c>
      <c r="P884" s="5">
        <f>INDEX([1]products!$A$1:$G$49,MATCH([1]orders!$D884,[1]products!$A$1:$A$49,0),MATCH([1]orders!K$1,[1]products!$A$1:$G$1,0))</f>
        <v>2.5</v>
      </c>
      <c r="Q884" s="6">
        <f>INDEX([1]products!$A$1:$G$49,MATCH([1]orders!$D884,[1]products!$A$1:$A$49,0),MATCH([1]orders!L$1,[1]products!$A$1:$G$1,0))</f>
        <v>22.884999999999998</v>
      </c>
      <c r="R884" s="6">
        <f t="shared" si="65"/>
        <v>114.42499999999998</v>
      </c>
      <c r="S884">
        <f>VLOOKUP(L884,Products!$A$2:$G$49,7,0)</f>
        <v>2.0596499999999995</v>
      </c>
      <c r="T884">
        <f t="shared" si="68"/>
        <v>10.298249999999998</v>
      </c>
      <c r="U884" s="33">
        <f t="shared" si="69"/>
        <v>9</v>
      </c>
    </row>
    <row r="885" spans="1:21" x14ac:dyDescent="0.25">
      <c r="A885" s="1" t="s">
        <v>1705</v>
      </c>
      <c r="B885" s="28">
        <v>43956</v>
      </c>
      <c r="C885" s="21" t="str">
        <f t="shared" si="66"/>
        <v>2020</v>
      </c>
      <c r="D885" s="19" t="str">
        <f t="shared" si="67"/>
        <v>May</v>
      </c>
      <c r="E885" s="3" t="s">
        <v>1706</v>
      </c>
      <c r="F885" s="3" t="str">
        <f>VLOOKUP(E885,Customers!$A$2:$I$1001,2,0)</f>
        <v>Lindon Agnolo</v>
      </c>
      <c r="G885" s="3" t="str">
        <f>VLOOKUP(E885,Customers!$A$2:$I$1001,3,0)</f>
        <v>lagnolooj@pinterest.com</v>
      </c>
      <c r="H885" s="3" t="str">
        <f>VLOOKUP(E885,Customers!$A$2:$I$1001,4,0)</f>
        <v>+1 (918) 228-6949</v>
      </c>
      <c r="I885" s="25" t="str">
        <f>VLOOKUP(E885,Customers!$A$2:$I$1001,6,0)</f>
        <v>Tulsa</v>
      </c>
      <c r="J885" s="25" t="str">
        <f>VLOOKUP(E885,Customers!$A$2:$I$1001,7,0)</f>
        <v>United States</v>
      </c>
      <c r="K885" s="23" t="str">
        <f>VLOOKUP(E885,Customers!$A$2:$I$1001,9,0)</f>
        <v>Yes</v>
      </c>
      <c r="L885" s="4" t="s">
        <v>171</v>
      </c>
      <c r="M885" s="4" t="str">
        <f>VLOOKUP(L885,Products!$A$2:$G$49,2,0)</f>
        <v>Arabica</v>
      </c>
      <c r="N885" s="4" t="str">
        <f>VLOOKUP(L885,Products!$A$2:$G$49,3,0)</f>
        <v>Medium</v>
      </c>
      <c r="O885" s="25">
        <v>3</v>
      </c>
      <c r="P885" s="5">
        <f>INDEX([1]products!$A$1:$G$49,MATCH([1]orders!$D885,[1]products!$A$1:$A$49,0),MATCH([1]orders!K$1,[1]products!$A$1:$G$1,0))</f>
        <v>2.5</v>
      </c>
      <c r="Q885" s="6">
        <f>INDEX([1]products!$A$1:$G$49,MATCH([1]orders!$D885,[1]products!$A$1:$A$49,0),MATCH([1]orders!L$1,[1]products!$A$1:$G$1,0))</f>
        <v>25.874999999999996</v>
      </c>
      <c r="R885" s="6">
        <f t="shared" si="65"/>
        <v>77.624999999999986</v>
      </c>
      <c r="S885">
        <f>VLOOKUP(L885,Products!$A$2:$G$49,7,0)</f>
        <v>2.3287499999999994</v>
      </c>
      <c r="T885">
        <f t="shared" si="68"/>
        <v>6.9862499999999983</v>
      </c>
      <c r="U885" s="33">
        <f t="shared" si="69"/>
        <v>9</v>
      </c>
    </row>
    <row r="886" spans="1:21" x14ac:dyDescent="0.25">
      <c r="A886" s="1" t="s">
        <v>1707</v>
      </c>
      <c r="B886" s="28">
        <v>43941</v>
      </c>
      <c r="C886" s="21" t="str">
        <f t="shared" si="66"/>
        <v>2020</v>
      </c>
      <c r="D886" s="19" t="str">
        <f t="shared" si="67"/>
        <v>April</v>
      </c>
      <c r="E886" s="3" t="s">
        <v>1708</v>
      </c>
      <c r="F886" s="3" t="str">
        <f>VLOOKUP(E886,Customers!$A$2:$I$1001,2,0)</f>
        <v>Delainey Kiddy</v>
      </c>
      <c r="G886" s="3" t="str">
        <f>VLOOKUP(E886,Customers!$A$2:$I$1001,3,0)</f>
        <v>dkiddyok@fda.gov</v>
      </c>
      <c r="H886" s="3" t="str">
        <f>VLOOKUP(E886,Customers!$A$2:$I$1001,4,0)</f>
        <v>+1 (209) 103-3933</v>
      </c>
      <c r="I886" s="25" t="str">
        <f>VLOOKUP(E886,Customers!$A$2:$I$1001,6,0)</f>
        <v>Fresno</v>
      </c>
      <c r="J886" s="25" t="str">
        <f>VLOOKUP(E886,Customers!$A$2:$I$1001,7,0)</f>
        <v>United States</v>
      </c>
      <c r="K886" s="23" t="str">
        <f>VLOOKUP(E886,Customers!$A$2:$I$1001,9,0)</f>
        <v>Yes</v>
      </c>
      <c r="L886" s="4" t="s">
        <v>146</v>
      </c>
      <c r="M886" s="4" t="str">
        <f>VLOOKUP(L886,Products!$A$2:$G$49,2,0)</f>
        <v>Robusta</v>
      </c>
      <c r="N886" s="4" t="str">
        <f>VLOOKUP(L886,Products!$A$2:$G$49,3,0)</f>
        <v>Dark</v>
      </c>
      <c r="O886" s="25">
        <v>1</v>
      </c>
      <c r="P886" s="5">
        <f>INDEX([1]products!$A$1:$G$49,MATCH([1]orders!$D886,[1]products!$A$1:$A$49,0),MATCH([1]orders!K$1,[1]products!$A$1:$G$1,0))</f>
        <v>0.5</v>
      </c>
      <c r="Q886" s="6">
        <f>INDEX([1]products!$A$1:$G$49,MATCH([1]orders!$D886,[1]products!$A$1:$A$49,0),MATCH([1]orders!L$1,[1]products!$A$1:$G$1,0))</f>
        <v>5.3699999999999992</v>
      </c>
      <c r="R886" s="6">
        <f t="shared" si="65"/>
        <v>5.3699999999999992</v>
      </c>
      <c r="S886">
        <f>VLOOKUP(L886,Products!$A$2:$G$49,7,0)</f>
        <v>0.32219999999999993</v>
      </c>
      <c r="T886">
        <f t="shared" si="68"/>
        <v>0.32219999999999993</v>
      </c>
      <c r="U886" s="33">
        <f t="shared" si="69"/>
        <v>6</v>
      </c>
    </row>
    <row r="887" spans="1:21" x14ac:dyDescent="0.25">
      <c r="A887" s="1" t="s">
        <v>1709</v>
      </c>
      <c r="B887" s="28">
        <v>43664</v>
      </c>
      <c r="C887" s="21" t="str">
        <f t="shared" si="66"/>
        <v>2019</v>
      </c>
      <c r="D887" s="19" t="str">
        <f t="shared" si="67"/>
        <v>July</v>
      </c>
      <c r="E887" s="3" t="s">
        <v>1710</v>
      </c>
      <c r="F887" s="3" t="str">
        <f>VLOOKUP(E887,Customers!$A$2:$I$1001,2,0)</f>
        <v>Helli Petroulis</v>
      </c>
      <c r="G887" s="3" t="str">
        <f>VLOOKUP(E887,Customers!$A$2:$I$1001,3,0)</f>
        <v>hpetroulisol@state.tx.us</v>
      </c>
      <c r="H887" s="3" t="str">
        <f>VLOOKUP(E887,Customers!$A$2:$I$1001,4,0)</f>
        <v>+353 (783) 893-0842</v>
      </c>
      <c r="I887" s="25" t="str">
        <f>VLOOKUP(E887,Customers!$A$2:$I$1001,6,0)</f>
        <v>Mullagh</v>
      </c>
      <c r="J887" s="25" t="str">
        <f>VLOOKUP(E887,Customers!$A$2:$I$1001,7,0)</f>
        <v>Ireland</v>
      </c>
      <c r="K887" s="23" t="str">
        <f>VLOOKUP(E887,Customers!$A$2:$I$1001,9,0)</f>
        <v>No</v>
      </c>
      <c r="L887" s="4" t="s">
        <v>35</v>
      </c>
      <c r="M887" s="4" t="str">
        <f>VLOOKUP(L887,Products!$A$2:$G$49,2,0)</f>
        <v>Robusta</v>
      </c>
      <c r="N887" s="4" t="str">
        <f>VLOOKUP(L887,Products!$A$2:$G$49,3,0)</f>
        <v>Dark</v>
      </c>
      <c r="O887" s="25">
        <v>6</v>
      </c>
      <c r="P887" s="5">
        <f>INDEX([1]products!$A$1:$G$49,MATCH([1]orders!$D887,[1]products!$A$1:$A$49,0),MATCH([1]orders!K$1,[1]products!$A$1:$G$1,0))</f>
        <v>2.5</v>
      </c>
      <c r="Q887" s="6">
        <f>INDEX([1]products!$A$1:$G$49,MATCH([1]orders!$D887,[1]products!$A$1:$A$49,0),MATCH([1]orders!L$1,[1]products!$A$1:$G$1,0))</f>
        <v>20.584999999999997</v>
      </c>
      <c r="R887" s="6">
        <f t="shared" si="65"/>
        <v>123.50999999999999</v>
      </c>
      <c r="S887">
        <f>VLOOKUP(L887,Products!$A$2:$G$49,7,0)</f>
        <v>1.2350999999999999</v>
      </c>
      <c r="T887">
        <f t="shared" si="68"/>
        <v>7.4105999999999987</v>
      </c>
      <c r="U887" s="33">
        <f t="shared" si="69"/>
        <v>5.9999999999999991</v>
      </c>
    </row>
    <row r="888" spans="1:21" x14ac:dyDescent="0.25">
      <c r="A888" s="1" t="s">
        <v>1711</v>
      </c>
      <c r="B888" s="28">
        <v>44518</v>
      </c>
      <c r="C888" s="21" t="str">
        <f t="shared" si="66"/>
        <v>2021</v>
      </c>
      <c r="D888" s="19" t="str">
        <f t="shared" si="67"/>
        <v>November</v>
      </c>
      <c r="E888" s="3" t="s">
        <v>1712</v>
      </c>
      <c r="F888" s="3" t="str">
        <f>VLOOKUP(E888,Customers!$A$2:$I$1001,2,0)</f>
        <v>Marty Scholl</v>
      </c>
      <c r="G888" s="3" t="str">
        <f>VLOOKUP(E888,Customers!$A$2:$I$1001,3,0)</f>
        <v>mschollom@taobao.com</v>
      </c>
      <c r="H888" s="3" t="str">
        <f>VLOOKUP(E888,Customers!$A$2:$I$1001,4,0)</f>
        <v>+1 (415) 613-5939</v>
      </c>
      <c r="I888" s="25" t="str">
        <f>VLOOKUP(E888,Customers!$A$2:$I$1001,6,0)</f>
        <v>San Francisco</v>
      </c>
      <c r="J888" s="25" t="str">
        <f>VLOOKUP(E888,Customers!$A$2:$I$1001,7,0)</f>
        <v>United States</v>
      </c>
      <c r="K888" s="23" t="str">
        <f>VLOOKUP(E888,Customers!$A$2:$I$1001,9,0)</f>
        <v>No</v>
      </c>
      <c r="L888" s="4" t="s">
        <v>78</v>
      </c>
      <c r="M888" s="4" t="str">
        <f>VLOOKUP(L888,Products!$A$2:$G$49,2,0)</f>
        <v>Liberica</v>
      </c>
      <c r="N888" s="4" t="str">
        <f>VLOOKUP(L888,Products!$A$2:$G$49,3,0)</f>
        <v>Medium</v>
      </c>
      <c r="O888" s="25">
        <v>2</v>
      </c>
      <c r="P888" s="5">
        <f>INDEX([1]products!$A$1:$G$49,MATCH([1]orders!$D888,[1]products!$A$1:$A$49,0),MATCH([1]orders!K$1,[1]products!$A$1:$G$1,0))</f>
        <v>0.5</v>
      </c>
      <c r="Q888" s="6">
        <f>INDEX([1]products!$A$1:$G$49,MATCH([1]orders!$D888,[1]products!$A$1:$A$49,0),MATCH([1]orders!L$1,[1]products!$A$1:$G$1,0))</f>
        <v>8.73</v>
      </c>
      <c r="R888" s="6">
        <f t="shared" si="65"/>
        <v>17.46</v>
      </c>
      <c r="S888">
        <f>VLOOKUP(L888,Products!$A$2:$G$49,7,0)</f>
        <v>1.1349</v>
      </c>
      <c r="T888">
        <f t="shared" si="68"/>
        <v>2.2698</v>
      </c>
      <c r="U888" s="33">
        <f t="shared" si="69"/>
        <v>13</v>
      </c>
    </row>
    <row r="889" spans="1:21" x14ac:dyDescent="0.25">
      <c r="A889" s="1" t="s">
        <v>1713</v>
      </c>
      <c r="B889" s="28">
        <v>44002</v>
      </c>
      <c r="C889" s="21" t="str">
        <f t="shared" si="66"/>
        <v>2020</v>
      </c>
      <c r="D889" s="19" t="str">
        <f t="shared" si="67"/>
        <v>June</v>
      </c>
      <c r="E889" s="3" t="s">
        <v>1714</v>
      </c>
      <c r="F889" s="3" t="str">
        <f>VLOOKUP(E889,Customers!$A$2:$I$1001,2,0)</f>
        <v>Kienan Ferson</v>
      </c>
      <c r="G889" s="3" t="str">
        <f>VLOOKUP(E889,Customers!$A$2:$I$1001,3,0)</f>
        <v>kfersonon@g.co</v>
      </c>
      <c r="H889" s="3" t="str">
        <f>VLOOKUP(E889,Customers!$A$2:$I$1001,4,0)</f>
        <v>+1 (251) 291-1195</v>
      </c>
      <c r="I889" s="25" t="str">
        <f>VLOOKUP(E889,Customers!$A$2:$I$1001,6,0)</f>
        <v>Mobile</v>
      </c>
      <c r="J889" s="25" t="str">
        <f>VLOOKUP(E889,Customers!$A$2:$I$1001,7,0)</f>
        <v>United States</v>
      </c>
      <c r="K889" s="23" t="str">
        <f>VLOOKUP(E889,Customers!$A$2:$I$1001,9,0)</f>
        <v>No</v>
      </c>
      <c r="L889" s="4" t="s">
        <v>254</v>
      </c>
      <c r="M889" s="4" t="str">
        <f>VLOOKUP(L889,Products!$A$2:$G$49,2,0)</f>
        <v>Excelsa</v>
      </c>
      <c r="N889" s="4" t="str">
        <f>VLOOKUP(L889,Products!$A$2:$G$49,3,0)</f>
        <v>Light</v>
      </c>
      <c r="O889" s="25">
        <v>3</v>
      </c>
      <c r="P889" s="5">
        <f>INDEX([1]products!$A$1:$G$49,MATCH([1]orders!$D889,[1]products!$A$1:$A$49,0),MATCH([1]orders!K$1,[1]products!$A$1:$G$1,0))</f>
        <v>0.2</v>
      </c>
      <c r="Q889" s="6">
        <f>INDEX([1]products!$A$1:$G$49,MATCH([1]orders!$D889,[1]products!$A$1:$A$49,0),MATCH([1]orders!L$1,[1]products!$A$1:$G$1,0))</f>
        <v>4.4550000000000001</v>
      </c>
      <c r="R889" s="6">
        <f t="shared" si="65"/>
        <v>13.365</v>
      </c>
      <c r="S889">
        <f>VLOOKUP(L889,Products!$A$2:$G$49,7,0)</f>
        <v>0.49004999999999999</v>
      </c>
      <c r="T889">
        <f t="shared" si="68"/>
        <v>1.4701499999999998</v>
      </c>
      <c r="U889" s="33">
        <f t="shared" si="69"/>
        <v>10.999999999999998</v>
      </c>
    </row>
    <row r="890" spans="1:21" x14ac:dyDescent="0.25">
      <c r="A890" s="1" t="s">
        <v>1715</v>
      </c>
      <c r="B890" s="28">
        <v>44292</v>
      </c>
      <c r="C890" s="21" t="str">
        <f t="shared" si="66"/>
        <v>2021</v>
      </c>
      <c r="D890" s="19" t="str">
        <f t="shared" si="67"/>
        <v>April</v>
      </c>
      <c r="E890" s="3" t="s">
        <v>1716</v>
      </c>
      <c r="F890" s="3" t="str">
        <f>VLOOKUP(E890,Customers!$A$2:$I$1001,2,0)</f>
        <v>Blake Kelloway</v>
      </c>
      <c r="G890" s="3" t="str">
        <f>VLOOKUP(E890,Customers!$A$2:$I$1001,3,0)</f>
        <v>bkellowayoo@omniture.com</v>
      </c>
      <c r="H890" s="3" t="str">
        <f>VLOOKUP(E890,Customers!$A$2:$I$1001,4,0)</f>
        <v>+1 (415) 757-3377</v>
      </c>
      <c r="I890" s="25" t="str">
        <f>VLOOKUP(E890,Customers!$A$2:$I$1001,6,0)</f>
        <v>San Francisco</v>
      </c>
      <c r="J890" s="25" t="str">
        <f>VLOOKUP(E890,Customers!$A$2:$I$1001,7,0)</f>
        <v>United States</v>
      </c>
      <c r="K890" s="23" t="str">
        <f>VLOOKUP(E890,Customers!$A$2:$I$1001,9,0)</f>
        <v>Yes</v>
      </c>
      <c r="L890" s="4" t="s">
        <v>115</v>
      </c>
      <c r="M890" s="4" t="str">
        <f>VLOOKUP(L890,Products!$A$2:$G$49,2,0)</f>
        <v>Arabica</v>
      </c>
      <c r="N890" s="4" t="str">
        <f>VLOOKUP(L890,Products!$A$2:$G$49,3,0)</f>
        <v>Light</v>
      </c>
      <c r="O890" s="25">
        <v>2</v>
      </c>
      <c r="P890" s="5">
        <f>INDEX([1]products!$A$1:$G$49,MATCH([1]orders!$D890,[1]products!$A$1:$A$49,0),MATCH([1]orders!K$1,[1]products!$A$1:$G$1,0))</f>
        <v>0.2</v>
      </c>
      <c r="Q890" s="6">
        <f>INDEX([1]products!$A$1:$G$49,MATCH([1]orders!$D890,[1]products!$A$1:$A$49,0),MATCH([1]orders!L$1,[1]products!$A$1:$G$1,0))</f>
        <v>3.8849999999999998</v>
      </c>
      <c r="R890" s="6">
        <f t="shared" si="65"/>
        <v>7.77</v>
      </c>
      <c r="S890">
        <f>VLOOKUP(L890,Products!$A$2:$G$49,7,0)</f>
        <v>0.34964999999999996</v>
      </c>
      <c r="T890">
        <f t="shared" si="68"/>
        <v>0.69929999999999992</v>
      </c>
      <c r="U890" s="33">
        <f t="shared" si="69"/>
        <v>9</v>
      </c>
    </row>
    <row r="891" spans="1:21" x14ac:dyDescent="0.25">
      <c r="A891" s="1" t="s">
        <v>1717</v>
      </c>
      <c r="B891" s="28">
        <v>43633</v>
      </c>
      <c r="C891" s="21" t="str">
        <f t="shared" si="66"/>
        <v>2019</v>
      </c>
      <c r="D891" s="19" t="str">
        <f t="shared" si="67"/>
        <v>June</v>
      </c>
      <c r="E891" s="3" t="s">
        <v>1718</v>
      </c>
      <c r="F891" s="3" t="str">
        <f>VLOOKUP(E891,Customers!$A$2:$I$1001,2,0)</f>
        <v>Scarlett Oliffe</v>
      </c>
      <c r="G891" s="3" t="str">
        <f>VLOOKUP(E891,Customers!$A$2:$I$1001,3,0)</f>
        <v>soliffeop@yellowbook.com</v>
      </c>
      <c r="H891" s="3" t="str">
        <f>VLOOKUP(E891,Customers!$A$2:$I$1001,4,0)</f>
        <v>+1 (212) 198-9134</v>
      </c>
      <c r="I891" s="25" t="str">
        <f>VLOOKUP(E891,Customers!$A$2:$I$1001,6,0)</f>
        <v>Jamaica</v>
      </c>
      <c r="J891" s="25" t="str">
        <f>VLOOKUP(E891,Customers!$A$2:$I$1001,7,0)</f>
        <v>United States</v>
      </c>
      <c r="K891" s="23" t="str">
        <f>VLOOKUP(E891,Customers!$A$2:$I$1001,9,0)</f>
        <v>Yes</v>
      </c>
      <c r="L891" s="4" t="s">
        <v>101</v>
      </c>
      <c r="M891" s="4" t="str">
        <f>VLOOKUP(L891,Products!$A$2:$G$49,2,0)</f>
        <v>Robusta</v>
      </c>
      <c r="N891" s="4" t="str">
        <f>VLOOKUP(L891,Products!$A$2:$G$49,3,0)</f>
        <v>Dark</v>
      </c>
      <c r="O891" s="25">
        <v>1</v>
      </c>
      <c r="P891" s="5">
        <f>INDEX([1]products!$A$1:$G$49,MATCH([1]orders!$D891,[1]products!$A$1:$A$49,0),MATCH([1]orders!K$1,[1]products!$A$1:$G$1,0))</f>
        <v>0.2</v>
      </c>
      <c r="Q891" s="6">
        <f>INDEX([1]products!$A$1:$G$49,MATCH([1]orders!$D891,[1]products!$A$1:$A$49,0),MATCH([1]orders!L$1,[1]products!$A$1:$G$1,0))</f>
        <v>2.6849999999999996</v>
      </c>
      <c r="R891" s="6">
        <f t="shared" si="65"/>
        <v>2.6849999999999996</v>
      </c>
      <c r="S891">
        <f>VLOOKUP(L891,Products!$A$2:$G$49,7,0)</f>
        <v>0.16109999999999997</v>
      </c>
      <c r="T891">
        <f t="shared" si="68"/>
        <v>0.16109999999999997</v>
      </c>
      <c r="U891" s="33">
        <f t="shared" si="69"/>
        <v>6</v>
      </c>
    </row>
    <row r="892" spans="1:21" x14ac:dyDescent="0.25">
      <c r="A892" s="1" t="s">
        <v>1719</v>
      </c>
      <c r="B892" s="28">
        <v>44646</v>
      </c>
      <c r="C892" s="21" t="str">
        <f t="shared" si="66"/>
        <v>2022</v>
      </c>
      <c r="D892" s="19" t="str">
        <f t="shared" si="67"/>
        <v>March</v>
      </c>
      <c r="E892" s="3" t="s">
        <v>1704</v>
      </c>
      <c r="F892" s="3" t="str">
        <f>VLOOKUP(E892,Customers!$A$2:$I$1001,2,0)</f>
        <v>Kippie Marrison</v>
      </c>
      <c r="G892" s="3" t="str">
        <f>VLOOKUP(E892,Customers!$A$2:$I$1001,3,0)</f>
        <v>kmarrisonoq@dropbox.com</v>
      </c>
      <c r="H892" s="3" t="str">
        <f>VLOOKUP(E892,Customers!$A$2:$I$1001,4,0)</f>
        <v>+1 (303) 808-6803</v>
      </c>
      <c r="I892" s="25" t="str">
        <f>VLOOKUP(E892,Customers!$A$2:$I$1001,6,0)</f>
        <v>Denver</v>
      </c>
      <c r="J892" s="25" t="str">
        <f>VLOOKUP(E892,Customers!$A$2:$I$1001,7,0)</f>
        <v>United States</v>
      </c>
      <c r="K892" s="23" t="str">
        <f>VLOOKUP(E892,Customers!$A$2:$I$1001,9,0)</f>
        <v>Yes</v>
      </c>
      <c r="L892" s="4" t="s">
        <v>35</v>
      </c>
      <c r="M892" s="4" t="str">
        <f>VLOOKUP(L892,Products!$A$2:$G$49,2,0)</f>
        <v>Robusta</v>
      </c>
      <c r="N892" s="4" t="str">
        <f>VLOOKUP(L892,Products!$A$2:$G$49,3,0)</f>
        <v>Dark</v>
      </c>
      <c r="O892" s="25">
        <v>1</v>
      </c>
      <c r="P892" s="5">
        <f>INDEX([1]products!$A$1:$G$49,MATCH([1]orders!$D892,[1]products!$A$1:$A$49,0),MATCH([1]orders!K$1,[1]products!$A$1:$G$1,0))</f>
        <v>2.5</v>
      </c>
      <c r="Q892" s="6">
        <f>INDEX([1]products!$A$1:$G$49,MATCH([1]orders!$D892,[1]products!$A$1:$A$49,0),MATCH([1]orders!L$1,[1]products!$A$1:$G$1,0))</f>
        <v>20.584999999999997</v>
      </c>
      <c r="R892" s="6">
        <f t="shared" si="65"/>
        <v>20.584999999999997</v>
      </c>
      <c r="S892">
        <f>VLOOKUP(L892,Products!$A$2:$G$49,7,0)</f>
        <v>1.2350999999999999</v>
      </c>
      <c r="T892">
        <f t="shared" si="68"/>
        <v>1.2350999999999999</v>
      </c>
      <c r="U892" s="33">
        <f t="shared" si="69"/>
        <v>6.0000000000000009</v>
      </c>
    </row>
    <row r="893" spans="1:21" x14ac:dyDescent="0.25">
      <c r="A893" s="1" t="s">
        <v>1720</v>
      </c>
      <c r="B893" s="28">
        <v>44469</v>
      </c>
      <c r="C893" s="21" t="str">
        <f t="shared" si="66"/>
        <v>2021</v>
      </c>
      <c r="D893" s="19" t="str">
        <f t="shared" si="67"/>
        <v>September</v>
      </c>
      <c r="E893" s="3" t="s">
        <v>1721</v>
      </c>
      <c r="F893" s="3" t="str">
        <f>VLOOKUP(E893,Customers!$A$2:$I$1001,2,0)</f>
        <v>Celestia Dolohunty</v>
      </c>
      <c r="G893" s="3" t="str">
        <f>VLOOKUP(E893,Customers!$A$2:$I$1001,3,0)</f>
        <v>cdolohuntyor@dailymail.co.uk</v>
      </c>
      <c r="H893" s="3" t="str">
        <f>VLOOKUP(E893,Customers!$A$2:$I$1001,4,0)</f>
        <v>+1 (619) 353-0412</v>
      </c>
      <c r="I893" s="25" t="str">
        <f>VLOOKUP(E893,Customers!$A$2:$I$1001,6,0)</f>
        <v>San Diego</v>
      </c>
      <c r="J893" s="25" t="str">
        <f>VLOOKUP(E893,Customers!$A$2:$I$1001,7,0)</f>
        <v>United States</v>
      </c>
      <c r="K893" s="23" t="str">
        <f>VLOOKUP(E893,Customers!$A$2:$I$1001,9,0)</f>
        <v>Yes</v>
      </c>
      <c r="L893" s="4" t="s">
        <v>118</v>
      </c>
      <c r="M893" s="4" t="str">
        <f>VLOOKUP(L893,Products!$A$2:$G$49,2,0)</f>
        <v>Arabica</v>
      </c>
      <c r="N893" s="4" t="str">
        <f>VLOOKUP(L893,Products!$A$2:$G$49,3,0)</f>
        <v>Dark</v>
      </c>
      <c r="O893" s="25">
        <v>5</v>
      </c>
      <c r="P893" s="5">
        <f>INDEX([1]products!$A$1:$G$49,MATCH([1]orders!$D893,[1]products!$A$1:$A$49,0),MATCH([1]orders!K$1,[1]products!$A$1:$G$1,0))</f>
        <v>2.5</v>
      </c>
      <c r="Q893" s="6">
        <f>INDEX([1]products!$A$1:$G$49,MATCH([1]orders!$D893,[1]products!$A$1:$A$49,0),MATCH([1]orders!L$1,[1]products!$A$1:$G$1,0))</f>
        <v>22.884999999999998</v>
      </c>
      <c r="R893" s="6">
        <f t="shared" si="65"/>
        <v>114.42499999999998</v>
      </c>
      <c r="S893">
        <f>VLOOKUP(L893,Products!$A$2:$G$49,7,0)</f>
        <v>2.0596499999999995</v>
      </c>
      <c r="T893">
        <f t="shared" si="68"/>
        <v>10.298249999999998</v>
      </c>
      <c r="U893" s="33">
        <f t="shared" si="69"/>
        <v>9</v>
      </c>
    </row>
    <row r="894" spans="1:21" x14ac:dyDescent="0.25">
      <c r="A894" s="1" t="s">
        <v>1722</v>
      </c>
      <c r="B894" s="28">
        <v>43635</v>
      </c>
      <c r="C894" s="21" t="str">
        <f t="shared" si="66"/>
        <v>2019</v>
      </c>
      <c r="D894" s="19" t="str">
        <f t="shared" si="67"/>
        <v>June</v>
      </c>
      <c r="E894" s="3" t="s">
        <v>1723</v>
      </c>
      <c r="F894" s="3" t="str">
        <f>VLOOKUP(E894,Customers!$A$2:$I$1001,2,0)</f>
        <v>Patsy Vasilenko</v>
      </c>
      <c r="G894" s="3" t="str">
        <f>VLOOKUP(E894,Customers!$A$2:$I$1001,3,0)</f>
        <v>pvasilenkoos@addtoany.com</v>
      </c>
      <c r="H894" s="3" t="str">
        <f>VLOOKUP(E894,Customers!$A$2:$I$1001,4,0)</f>
        <v>+44 (116) 714-6469</v>
      </c>
      <c r="I894" s="25" t="str">
        <f>VLOOKUP(E894,Customers!$A$2:$I$1001,6,0)</f>
        <v>Preston</v>
      </c>
      <c r="J894" s="25" t="str">
        <f>VLOOKUP(E894,Customers!$A$2:$I$1001,7,0)</f>
        <v>United Kingdom</v>
      </c>
      <c r="K894" s="23" t="str">
        <f>VLOOKUP(E894,Customers!$A$2:$I$1001,9,0)</f>
        <v>No</v>
      </c>
      <c r="L894" s="4" t="s">
        <v>64</v>
      </c>
      <c r="M894" s="4" t="str">
        <f>VLOOKUP(L894,Products!$A$2:$G$49,2,0)</f>
        <v>Excelsa</v>
      </c>
      <c r="N894" s="4" t="str">
        <f>VLOOKUP(L894,Products!$A$2:$G$49,3,0)</f>
        <v>Medium</v>
      </c>
      <c r="O894" s="25">
        <v>5</v>
      </c>
      <c r="P894" s="5">
        <f>INDEX([1]products!$A$1:$G$49,MATCH([1]orders!$D894,[1]products!$A$1:$A$49,0),MATCH([1]orders!K$1,[1]products!$A$1:$G$1,0))</f>
        <v>0.2</v>
      </c>
      <c r="Q894" s="6">
        <f>INDEX([1]products!$A$1:$G$49,MATCH([1]orders!$D894,[1]products!$A$1:$A$49,0),MATCH([1]orders!L$1,[1]products!$A$1:$G$1,0))</f>
        <v>4.125</v>
      </c>
      <c r="R894" s="6">
        <f t="shared" si="65"/>
        <v>20.625</v>
      </c>
      <c r="S894">
        <f>VLOOKUP(L894,Products!$A$2:$G$49,7,0)</f>
        <v>0.45374999999999999</v>
      </c>
      <c r="T894">
        <f t="shared" si="68"/>
        <v>2.2687499999999998</v>
      </c>
      <c r="U894" s="33">
        <f t="shared" si="69"/>
        <v>10.999999999999998</v>
      </c>
    </row>
    <row r="895" spans="1:21" x14ac:dyDescent="0.25">
      <c r="A895" s="1" t="s">
        <v>1724</v>
      </c>
      <c r="B895" s="28">
        <v>44651</v>
      </c>
      <c r="C895" s="21" t="str">
        <f t="shared" si="66"/>
        <v>2022</v>
      </c>
      <c r="D895" s="19" t="str">
        <f t="shared" si="67"/>
        <v>March</v>
      </c>
      <c r="E895" s="3" t="s">
        <v>1725</v>
      </c>
      <c r="F895" s="3" t="str">
        <f>VLOOKUP(E895,Customers!$A$2:$I$1001,2,0)</f>
        <v>Raphaela Schankelborg</v>
      </c>
      <c r="G895" s="3" t="str">
        <f>VLOOKUP(E895,Customers!$A$2:$I$1001,3,0)</f>
        <v>rschankelborgot@ameblo.jp</v>
      </c>
      <c r="H895" s="3" t="str">
        <f>VLOOKUP(E895,Customers!$A$2:$I$1001,4,0)</f>
        <v>UNKNOWN</v>
      </c>
      <c r="I895" s="25" t="str">
        <f>VLOOKUP(E895,Customers!$A$2:$I$1001,6,0)</f>
        <v>Pittsburgh</v>
      </c>
      <c r="J895" s="25" t="str">
        <f>VLOOKUP(E895,Customers!$A$2:$I$1001,7,0)</f>
        <v>United States</v>
      </c>
      <c r="K895" s="23" t="str">
        <f>VLOOKUP(E895,Customers!$A$2:$I$1001,9,0)</f>
        <v>Yes</v>
      </c>
      <c r="L895" s="4" t="s">
        <v>83</v>
      </c>
      <c r="M895" s="4" t="str">
        <f>VLOOKUP(L895,Products!$A$2:$G$49,2,0)</f>
        <v>Liberica</v>
      </c>
      <c r="N895" s="4" t="str">
        <f>VLOOKUP(L895,Products!$A$2:$G$49,3,0)</f>
        <v>Light</v>
      </c>
      <c r="O895" s="25">
        <v>6</v>
      </c>
      <c r="P895" s="5">
        <f>INDEX([1]products!$A$1:$G$49,MATCH([1]orders!$D895,[1]products!$A$1:$A$49,0),MATCH([1]orders!K$1,[1]products!$A$1:$G$1,0))</f>
        <v>0.5</v>
      </c>
      <c r="Q895" s="6">
        <f>INDEX([1]products!$A$1:$G$49,MATCH([1]orders!$D895,[1]products!$A$1:$A$49,0),MATCH([1]orders!L$1,[1]products!$A$1:$G$1,0))</f>
        <v>9.51</v>
      </c>
      <c r="R895" s="6">
        <f t="shared" si="65"/>
        <v>57.06</v>
      </c>
      <c r="S895">
        <f>VLOOKUP(L895,Products!$A$2:$G$49,7,0)</f>
        <v>1.2363</v>
      </c>
      <c r="T895">
        <f t="shared" si="68"/>
        <v>7.4177999999999997</v>
      </c>
      <c r="U895" s="33">
        <f t="shared" si="69"/>
        <v>12.999999999999998</v>
      </c>
    </row>
    <row r="896" spans="1:21" x14ac:dyDescent="0.25">
      <c r="A896" s="1" t="s">
        <v>1726</v>
      </c>
      <c r="B896" s="28">
        <v>44016</v>
      </c>
      <c r="C896" s="21" t="str">
        <f t="shared" si="66"/>
        <v>2020</v>
      </c>
      <c r="D896" s="19" t="str">
        <f t="shared" si="67"/>
        <v>July</v>
      </c>
      <c r="E896" s="3" t="s">
        <v>1727</v>
      </c>
      <c r="F896" s="3" t="str">
        <f>VLOOKUP(E896,Customers!$A$2:$I$1001,2,0)</f>
        <v>Sharity Wickens</v>
      </c>
      <c r="G896" s="3" t="str">
        <f>VLOOKUP(E896,Customers!$A$2:$I$1001,3,0)</f>
        <v>UNKNOWN</v>
      </c>
      <c r="H896" s="3" t="str">
        <f>VLOOKUP(E896,Customers!$A$2:$I$1001,4,0)</f>
        <v>+353 (724) 224-5556</v>
      </c>
      <c r="I896" s="25" t="str">
        <f>VLOOKUP(E896,Customers!$A$2:$I$1001,6,0)</f>
        <v>Cavan</v>
      </c>
      <c r="J896" s="25" t="str">
        <f>VLOOKUP(E896,Customers!$A$2:$I$1001,7,0)</f>
        <v>Ireland</v>
      </c>
      <c r="K896" s="23" t="str">
        <f>VLOOKUP(E896,Customers!$A$2:$I$1001,9,0)</f>
        <v>Yes</v>
      </c>
      <c r="L896" s="4" t="s">
        <v>35</v>
      </c>
      <c r="M896" s="4" t="str">
        <f>VLOOKUP(L896,Products!$A$2:$G$49,2,0)</f>
        <v>Robusta</v>
      </c>
      <c r="N896" s="4" t="str">
        <f>VLOOKUP(L896,Products!$A$2:$G$49,3,0)</f>
        <v>Dark</v>
      </c>
      <c r="O896" s="25">
        <v>4</v>
      </c>
      <c r="P896" s="5">
        <f>INDEX([1]products!$A$1:$G$49,MATCH([1]orders!$D896,[1]products!$A$1:$A$49,0),MATCH([1]orders!K$1,[1]products!$A$1:$G$1,0))</f>
        <v>2.5</v>
      </c>
      <c r="Q896" s="6">
        <f>INDEX([1]products!$A$1:$G$49,MATCH([1]orders!$D896,[1]products!$A$1:$A$49,0),MATCH([1]orders!L$1,[1]products!$A$1:$G$1,0))</f>
        <v>20.584999999999997</v>
      </c>
      <c r="R896" s="6">
        <f t="shared" si="65"/>
        <v>82.339999999999989</v>
      </c>
      <c r="S896">
        <f>VLOOKUP(L896,Products!$A$2:$G$49,7,0)</f>
        <v>1.2350999999999999</v>
      </c>
      <c r="T896">
        <f t="shared" si="68"/>
        <v>4.9403999999999995</v>
      </c>
      <c r="U896" s="33">
        <f t="shared" si="69"/>
        <v>6.0000000000000009</v>
      </c>
    </row>
    <row r="897" spans="1:21" x14ac:dyDescent="0.25">
      <c r="A897" s="1" t="s">
        <v>1728</v>
      </c>
      <c r="B897" s="28">
        <v>44521</v>
      </c>
      <c r="C897" s="21" t="str">
        <f t="shared" si="66"/>
        <v>2021</v>
      </c>
      <c r="D897" s="19" t="str">
        <f t="shared" si="67"/>
        <v>November</v>
      </c>
      <c r="E897" s="3" t="s">
        <v>1729</v>
      </c>
      <c r="F897" s="3" t="str">
        <f>VLOOKUP(E897,Customers!$A$2:$I$1001,2,0)</f>
        <v>Derick Snow</v>
      </c>
      <c r="G897" s="3" t="str">
        <f>VLOOKUP(E897,Customers!$A$2:$I$1001,3,0)</f>
        <v>UNKNOWN</v>
      </c>
      <c r="H897" s="3" t="str">
        <f>VLOOKUP(E897,Customers!$A$2:$I$1001,4,0)</f>
        <v>+1 (718) 461-3002</v>
      </c>
      <c r="I897" s="25" t="str">
        <f>VLOOKUP(E897,Customers!$A$2:$I$1001,6,0)</f>
        <v>New York City</v>
      </c>
      <c r="J897" s="25" t="str">
        <f>VLOOKUP(E897,Customers!$A$2:$I$1001,7,0)</f>
        <v>United States</v>
      </c>
      <c r="K897" s="23" t="str">
        <f>VLOOKUP(E897,Customers!$A$2:$I$1001,9,0)</f>
        <v>No</v>
      </c>
      <c r="L897" s="4" t="s">
        <v>112</v>
      </c>
      <c r="M897" s="4" t="str">
        <f>VLOOKUP(L897,Products!$A$2:$G$49,2,0)</f>
        <v>Excelsa</v>
      </c>
      <c r="N897" s="4" t="str">
        <f>VLOOKUP(L897,Products!$A$2:$G$49,3,0)</f>
        <v>Medium</v>
      </c>
      <c r="O897" s="25">
        <v>5</v>
      </c>
      <c r="P897" s="5">
        <f>INDEX([1]products!$A$1:$G$49,MATCH([1]orders!$D897,[1]products!$A$1:$A$49,0),MATCH([1]orders!K$1,[1]products!$A$1:$G$1,0))</f>
        <v>2.5</v>
      </c>
      <c r="Q897" s="6">
        <f>INDEX([1]products!$A$1:$G$49,MATCH([1]orders!$D897,[1]products!$A$1:$A$49,0),MATCH([1]orders!L$1,[1]products!$A$1:$G$1,0))</f>
        <v>31.624999999999996</v>
      </c>
      <c r="R897" s="6">
        <f t="shared" si="65"/>
        <v>158.12499999999997</v>
      </c>
      <c r="S897">
        <f>VLOOKUP(L897,Products!$A$2:$G$49,7,0)</f>
        <v>3.4787499999999998</v>
      </c>
      <c r="T897">
        <f t="shared" si="68"/>
        <v>17.393749999999997</v>
      </c>
      <c r="U897" s="33">
        <f t="shared" si="69"/>
        <v>11</v>
      </c>
    </row>
    <row r="898" spans="1:21" x14ac:dyDescent="0.25">
      <c r="A898" s="1" t="s">
        <v>1730</v>
      </c>
      <c r="B898" s="28">
        <v>44347</v>
      </c>
      <c r="C898" s="21" t="str">
        <f t="shared" si="66"/>
        <v>2021</v>
      </c>
      <c r="D898" s="19" t="str">
        <f t="shared" si="67"/>
        <v>May</v>
      </c>
      <c r="E898" s="3" t="s">
        <v>1731</v>
      </c>
      <c r="F898" s="3" t="str">
        <f>VLOOKUP(E898,Customers!$A$2:$I$1001,2,0)</f>
        <v>Baxy Cargen</v>
      </c>
      <c r="G898" s="3" t="str">
        <f>VLOOKUP(E898,Customers!$A$2:$I$1001,3,0)</f>
        <v>bcargenow@geocities.jp</v>
      </c>
      <c r="H898" s="3" t="str">
        <f>VLOOKUP(E898,Customers!$A$2:$I$1001,4,0)</f>
        <v>+1 (253) 509-6510</v>
      </c>
      <c r="I898" s="25" t="str">
        <f>VLOOKUP(E898,Customers!$A$2:$I$1001,6,0)</f>
        <v>Seattle</v>
      </c>
      <c r="J898" s="25" t="str">
        <f>VLOOKUP(E898,Customers!$A$2:$I$1001,7,0)</f>
        <v>United States</v>
      </c>
      <c r="K898" s="23" t="str">
        <f>VLOOKUP(E898,Customers!$A$2:$I$1001,9,0)</f>
        <v>Yes</v>
      </c>
      <c r="L898" s="4" t="s">
        <v>146</v>
      </c>
      <c r="M898" s="4" t="str">
        <f>VLOOKUP(L898,Products!$A$2:$G$49,2,0)</f>
        <v>Robusta</v>
      </c>
      <c r="N898" s="4" t="str">
        <f>VLOOKUP(L898,Products!$A$2:$G$49,3,0)</f>
        <v>Dark</v>
      </c>
      <c r="O898" s="25">
        <v>6</v>
      </c>
      <c r="P898" s="5">
        <f>INDEX([1]products!$A$1:$G$49,MATCH([1]orders!$D898,[1]products!$A$1:$A$49,0),MATCH([1]orders!K$1,[1]products!$A$1:$G$1,0))</f>
        <v>0.5</v>
      </c>
      <c r="Q898" s="6">
        <f>INDEX([1]products!$A$1:$G$49,MATCH([1]orders!$D898,[1]products!$A$1:$A$49,0),MATCH([1]orders!L$1,[1]products!$A$1:$G$1,0))</f>
        <v>5.3699999999999992</v>
      </c>
      <c r="R898" s="6">
        <f t="shared" ref="R898:R961" si="70">O898*Q898</f>
        <v>32.22</v>
      </c>
      <c r="S898">
        <f>VLOOKUP(L898,Products!$A$2:$G$49,7,0)</f>
        <v>0.32219999999999993</v>
      </c>
      <c r="T898">
        <f t="shared" si="68"/>
        <v>1.9331999999999996</v>
      </c>
      <c r="U898" s="33">
        <f t="shared" si="69"/>
        <v>5.9999999999999991</v>
      </c>
    </row>
    <row r="899" spans="1:21" x14ac:dyDescent="0.25">
      <c r="A899" s="1" t="s">
        <v>1732</v>
      </c>
      <c r="B899" s="28">
        <v>43932</v>
      </c>
      <c r="C899" s="21" t="str">
        <f t="shared" ref="C899:C962" si="71">TEXT(B899,"yyyy")</f>
        <v>2020</v>
      </c>
      <c r="D899" s="19" t="str">
        <f t="shared" ref="D899:D962" si="72">TEXT(B899,"mmmm")</f>
        <v>April</v>
      </c>
      <c r="E899" s="3" t="s">
        <v>1733</v>
      </c>
      <c r="F899" s="3" t="str">
        <f>VLOOKUP(E899,Customers!$A$2:$I$1001,2,0)</f>
        <v>Ryann Stickler</v>
      </c>
      <c r="G899" s="3" t="str">
        <f>VLOOKUP(E899,Customers!$A$2:$I$1001,3,0)</f>
        <v>rsticklerox@printfriendly.com</v>
      </c>
      <c r="H899" s="3" t="str">
        <f>VLOOKUP(E899,Customers!$A$2:$I$1001,4,0)</f>
        <v>+44 (830) 367-6129</v>
      </c>
      <c r="I899" s="25" t="str">
        <f>VLOOKUP(E899,Customers!$A$2:$I$1001,6,0)</f>
        <v>Birmingham</v>
      </c>
      <c r="J899" s="25" t="str">
        <f>VLOOKUP(E899,Customers!$A$2:$I$1001,7,0)</f>
        <v>United Kingdom</v>
      </c>
      <c r="K899" s="23" t="str">
        <f>VLOOKUP(E899,Customers!$A$2:$I$1001,9,0)</f>
        <v>No</v>
      </c>
      <c r="L899" s="4" t="s">
        <v>245</v>
      </c>
      <c r="M899" s="4" t="str">
        <f>VLOOKUP(L899,Products!$A$2:$G$49,2,0)</f>
        <v>Excelsa</v>
      </c>
      <c r="N899" s="4" t="str">
        <f>VLOOKUP(L899,Products!$A$2:$G$49,3,0)</f>
        <v>Dark</v>
      </c>
      <c r="O899" s="25">
        <v>2</v>
      </c>
      <c r="P899" s="5">
        <f>INDEX([1]products!$A$1:$G$49,MATCH([1]orders!$D899,[1]products!$A$1:$A$49,0),MATCH([1]orders!K$1,[1]products!$A$1:$G$1,0))</f>
        <v>1</v>
      </c>
      <c r="Q899" s="6">
        <f>INDEX([1]products!$A$1:$G$49,MATCH([1]orders!$D899,[1]products!$A$1:$A$49,0),MATCH([1]orders!L$1,[1]products!$A$1:$G$1,0))</f>
        <v>12.15</v>
      </c>
      <c r="R899" s="6">
        <f t="shared" si="70"/>
        <v>24.3</v>
      </c>
      <c r="S899">
        <f>VLOOKUP(L899,Products!$A$2:$G$49,7,0)</f>
        <v>1.3365</v>
      </c>
      <c r="T899">
        <f t="shared" ref="T899:T962" si="73">O899*S899</f>
        <v>2.673</v>
      </c>
      <c r="U899" s="33">
        <f t="shared" ref="U899:U962" si="74">T899/R899*100</f>
        <v>11</v>
      </c>
    </row>
    <row r="900" spans="1:21" x14ac:dyDescent="0.25">
      <c r="A900" s="1" t="s">
        <v>1734</v>
      </c>
      <c r="B900" s="28">
        <v>44089</v>
      </c>
      <c r="C900" s="21" t="str">
        <f t="shared" si="71"/>
        <v>2020</v>
      </c>
      <c r="D900" s="19" t="str">
        <f t="shared" si="72"/>
        <v>September</v>
      </c>
      <c r="E900" s="3" t="s">
        <v>1735</v>
      </c>
      <c r="F900" s="3" t="str">
        <f>VLOOKUP(E900,Customers!$A$2:$I$1001,2,0)</f>
        <v>Daryn Cassius</v>
      </c>
      <c r="G900" s="3" t="str">
        <f>VLOOKUP(E900,Customers!$A$2:$I$1001,3,0)</f>
        <v>UNKNOWN</v>
      </c>
      <c r="H900" s="3" t="str">
        <f>VLOOKUP(E900,Customers!$A$2:$I$1001,4,0)</f>
        <v>+1 (269) 398-0766</v>
      </c>
      <c r="I900" s="25" t="str">
        <f>VLOOKUP(E900,Customers!$A$2:$I$1001,6,0)</f>
        <v>Battle Creek</v>
      </c>
      <c r="J900" s="25" t="str">
        <f>VLOOKUP(E900,Customers!$A$2:$I$1001,7,0)</f>
        <v>United States</v>
      </c>
      <c r="K900" s="23" t="str">
        <f>VLOOKUP(E900,Customers!$A$2:$I$1001,9,0)</f>
        <v>No</v>
      </c>
      <c r="L900" s="4" t="s">
        <v>157</v>
      </c>
      <c r="M900" s="4" t="str">
        <f>VLOOKUP(L900,Products!$A$2:$G$49,2,0)</f>
        <v>Robusta</v>
      </c>
      <c r="N900" s="4" t="str">
        <f>VLOOKUP(L900,Products!$A$2:$G$49,3,0)</f>
        <v>Light</v>
      </c>
      <c r="O900" s="25">
        <v>5</v>
      </c>
      <c r="P900" s="5">
        <f>INDEX([1]products!$A$1:$G$49,MATCH([1]orders!$D900,[1]products!$A$1:$A$49,0),MATCH([1]orders!K$1,[1]products!$A$1:$G$1,0))</f>
        <v>0.5</v>
      </c>
      <c r="Q900" s="6">
        <f>INDEX([1]products!$A$1:$G$49,MATCH([1]orders!$D900,[1]products!$A$1:$A$49,0),MATCH([1]orders!L$1,[1]products!$A$1:$G$1,0))</f>
        <v>7.169999999999999</v>
      </c>
      <c r="R900" s="6">
        <f t="shared" si="70"/>
        <v>35.849999999999994</v>
      </c>
      <c r="S900">
        <f>VLOOKUP(L900,Products!$A$2:$G$49,7,0)</f>
        <v>0.43019999999999992</v>
      </c>
      <c r="T900">
        <f t="shared" si="73"/>
        <v>2.1509999999999998</v>
      </c>
      <c r="U900" s="33">
        <f t="shared" si="74"/>
        <v>6.0000000000000009</v>
      </c>
    </row>
    <row r="901" spans="1:21" x14ac:dyDescent="0.25">
      <c r="A901" s="1" t="s">
        <v>1736</v>
      </c>
      <c r="B901" s="28">
        <v>44523</v>
      </c>
      <c r="C901" s="21" t="str">
        <f t="shared" si="71"/>
        <v>2021</v>
      </c>
      <c r="D901" s="19" t="str">
        <f t="shared" si="72"/>
        <v>November</v>
      </c>
      <c r="E901" s="3" t="s">
        <v>1729</v>
      </c>
      <c r="F901" s="3" t="str">
        <f>VLOOKUP(E901,Customers!$A$2:$I$1001,2,0)</f>
        <v>Derick Snow</v>
      </c>
      <c r="G901" s="3" t="str">
        <f>VLOOKUP(E901,Customers!$A$2:$I$1001,3,0)</f>
        <v>UNKNOWN</v>
      </c>
      <c r="H901" s="3" t="str">
        <f>VLOOKUP(E901,Customers!$A$2:$I$1001,4,0)</f>
        <v>+1 (718) 461-3002</v>
      </c>
      <c r="I901" s="25" t="str">
        <f>VLOOKUP(E901,Customers!$A$2:$I$1001,6,0)</f>
        <v>New York City</v>
      </c>
      <c r="J901" s="25" t="str">
        <f>VLOOKUP(E901,Customers!$A$2:$I$1001,7,0)</f>
        <v>United States</v>
      </c>
      <c r="K901" s="23" t="str">
        <f>VLOOKUP(E901,Customers!$A$2:$I$1001,9,0)</f>
        <v>No</v>
      </c>
      <c r="L901" s="4" t="s">
        <v>96</v>
      </c>
      <c r="M901" s="4" t="str">
        <f>VLOOKUP(L901,Products!$A$2:$G$49,2,0)</f>
        <v>Liberica</v>
      </c>
      <c r="N901" s="4" t="str">
        <f>VLOOKUP(L901,Products!$A$2:$G$49,3,0)</f>
        <v>Medium</v>
      </c>
      <c r="O901" s="25">
        <v>5</v>
      </c>
      <c r="P901" s="5">
        <f>INDEX([1]products!$A$1:$G$49,MATCH([1]orders!$D901,[1]products!$A$1:$A$49,0),MATCH([1]orders!K$1,[1]products!$A$1:$G$1,0))</f>
        <v>1</v>
      </c>
      <c r="Q901" s="6">
        <f>INDEX([1]products!$A$1:$G$49,MATCH([1]orders!$D901,[1]products!$A$1:$A$49,0),MATCH([1]orders!L$1,[1]products!$A$1:$G$1,0))</f>
        <v>14.55</v>
      </c>
      <c r="R901" s="6">
        <f t="shared" si="70"/>
        <v>72.75</v>
      </c>
      <c r="S901">
        <f>VLOOKUP(L901,Products!$A$2:$G$49,7,0)</f>
        <v>1.8915000000000002</v>
      </c>
      <c r="T901">
        <f t="shared" si="73"/>
        <v>9.4575000000000014</v>
      </c>
      <c r="U901" s="33">
        <f t="shared" si="74"/>
        <v>13.000000000000004</v>
      </c>
    </row>
    <row r="902" spans="1:21" x14ac:dyDescent="0.25">
      <c r="A902" s="1" t="s">
        <v>1737</v>
      </c>
      <c r="B902" s="28">
        <v>44584</v>
      </c>
      <c r="C902" s="21" t="str">
        <f t="shared" si="71"/>
        <v>2022</v>
      </c>
      <c r="D902" s="19" t="str">
        <f t="shared" si="72"/>
        <v>January</v>
      </c>
      <c r="E902" s="3" t="s">
        <v>1738</v>
      </c>
      <c r="F902" s="3" t="str">
        <f>VLOOKUP(E902,Customers!$A$2:$I$1001,2,0)</f>
        <v>Skelly Dolohunty</v>
      </c>
      <c r="G902" s="3" t="str">
        <f>VLOOKUP(E902,Customers!$A$2:$I$1001,3,0)</f>
        <v>UNKNOWN</v>
      </c>
      <c r="H902" s="3" t="str">
        <f>VLOOKUP(E902,Customers!$A$2:$I$1001,4,0)</f>
        <v>+353 (239) 716-2717</v>
      </c>
      <c r="I902" s="25" t="str">
        <f>VLOOKUP(E902,Customers!$A$2:$I$1001,6,0)</f>
        <v>Ballymun</v>
      </c>
      <c r="J902" s="25" t="str">
        <f>VLOOKUP(E902,Customers!$A$2:$I$1001,7,0)</f>
        <v>Ireland</v>
      </c>
      <c r="K902" s="23" t="str">
        <f>VLOOKUP(E902,Customers!$A$2:$I$1001,9,0)</f>
        <v>No</v>
      </c>
      <c r="L902" s="4" t="s">
        <v>132</v>
      </c>
      <c r="M902" s="4" t="str">
        <f>VLOOKUP(L902,Products!$A$2:$G$49,2,0)</f>
        <v>Liberica</v>
      </c>
      <c r="N902" s="4" t="str">
        <f>VLOOKUP(L902,Products!$A$2:$G$49,3,0)</f>
        <v>Light</v>
      </c>
      <c r="O902" s="25">
        <v>3</v>
      </c>
      <c r="P902" s="5">
        <f>INDEX([1]products!$A$1:$G$49,MATCH([1]orders!$D902,[1]products!$A$1:$A$49,0),MATCH([1]orders!K$1,[1]products!$A$1:$G$1,0))</f>
        <v>1</v>
      </c>
      <c r="Q902" s="6">
        <f>INDEX([1]products!$A$1:$G$49,MATCH([1]orders!$D902,[1]products!$A$1:$A$49,0),MATCH([1]orders!L$1,[1]products!$A$1:$G$1,0))</f>
        <v>15.85</v>
      </c>
      <c r="R902" s="6">
        <f t="shared" si="70"/>
        <v>47.55</v>
      </c>
      <c r="S902">
        <f>VLOOKUP(L902,Products!$A$2:$G$49,7,0)</f>
        <v>2.0605000000000002</v>
      </c>
      <c r="T902">
        <f t="shared" si="73"/>
        <v>6.1815000000000007</v>
      </c>
      <c r="U902" s="33">
        <f t="shared" si="74"/>
        <v>13.000000000000004</v>
      </c>
    </row>
    <row r="903" spans="1:21" x14ac:dyDescent="0.25">
      <c r="A903" s="1" t="s">
        <v>1739</v>
      </c>
      <c r="B903" s="28">
        <v>44223</v>
      </c>
      <c r="C903" s="21" t="str">
        <f t="shared" si="71"/>
        <v>2021</v>
      </c>
      <c r="D903" s="19" t="str">
        <f t="shared" si="72"/>
        <v>January</v>
      </c>
      <c r="E903" s="3" t="s">
        <v>1740</v>
      </c>
      <c r="F903" s="3" t="str">
        <f>VLOOKUP(E903,Customers!$A$2:$I$1001,2,0)</f>
        <v>Drake Jevon</v>
      </c>
      <c r="G903" s="3" t="str">
        <f>VLOOKUP(E903,Customers!$A$2:$I$1001,3,0)</f>
        <v>djevonp1@ibm.com</v>
      </c>
      <c r="H903" s="3" t="str">
        <f>VLOOKUP(E903,Customers!$A$2:$I$1001,4,0)</f>
        <v>+1 (832) 733-7027</v>
      </c>
      <c r="I903" s="25" t="str">
        <f>VLOOKUP(E903,Customers!$A$2:$I$1001,6,0)</f>
        <v>Houston</v>
      </c>
      <c r="J903" s="25" t="str">
        <f>VLOOKUP(E903,Customers!$A$2:$I$1001,7,0)</f>
        <v>United States</v>
      </c>
      <c r="K903" s="23" t="str">
        <f>VLOOKUP(E903,Customers!$A$2:$I$1001,9,0)</f>
        <v>Yes</v>
      </c>
      <c r="L903" s="4" t="s">
        <v>182</v>
      </c>
      <c r="M903" s="4" t="str">
        <f>VLOOKUP(L903,Products!$A$2:$G$49,2,0)</f>
        <v>Robusta</v>
      </c>
      <c r="N903" s="4" t="str">
        <f>VLOOKUP(L903,Products!$A$2:$G$49,3,0)</f>
        <v>Light</v>
      </c>
      <c r="O903" s="25">
        <v>1</v>
      </c>
      <c r="P903" s="5">
        <f>INDEX([1]products!$A$1:$G$49,MATCH([1]orders!$D903,[1]products!$A$1:$A$49,0),MATCH([1]orders!K$1,[1]products!$A$1:$G$1,0))</f>
        <v>0.2</v>
      </c>
      <c r="Q903" s="6">
        <f>INDEX([1]products!$A$1:$G$49,MATCH([1]orders!$D903,[1]products!$A$1:$A$49,0),MATCH([1]orders!L$1,[1]products!$A$1:$G$1,0))</f>
        <v>3.5849999999999995</v>
      </c>
      <c r="R903" s="6">
        <f t="shared" si="70"/>
        <v>3.5849999999999995</v>
      </c>
      <c r="S903">
        <f>VLOOKUP(L903,Products!$A$2:$G$49,7,0)</f>
        <v>0.21509999999999996</v>
      </c>
      <c r="T903">
        <f t="shared" si="73"/>
        <v>0.21509999999999996</v>
      </c>
      <c r="U903" s="33">
        <f t="shared" si="74"/>
        <v>6</v>
      </c>
    </row>
    <row r="904" spans="1:21" x14ac:dyDescent="0.25">
      <c r="A904" s="1" t="s">
        <v>1741</v>
      </c>
      <c r="B904" s="28">
        <v>43640</v>
      </c>
      <c r="C904" s="21" t="str">
        <f t="shared" si="71"/>
        <v>2019</v>
      </c>
      <c r="D904" s="19" t="str">
        <f t="shared" si="72"/>
        <v>June</v>
      </c>
      <c r="E904" s="3" t="s">
        <v>1742</v>
      </c>
      <c r="F904" s="3" t="str">
        <f>VLOOKUP(E904,Customers!$A$2:$I$1001,2,0)</f>
        <v>Hall Ranner</v>
      </c>
      <c r="G904" s="3" t="str">
        <f>VLOOKUP(E904,Customers!$A$2:$I$1001,3,0)</f>
        <v>hrannerp2@omniture.com</v>
      </c>
      <c r="H904" s="3" t="str">
        <f>VLOOKUP(E904,Customers!$A$2:$I$1001,4,0)</f>
        <v>+1 (513) 635-0251</v>
      </c>
      <c r="I904" s="25" t="str">
        <f>VLOOKUP(E904,Customers!$A$2:$I$1001,6,0)</f>
        <v>Cincinnati</v>
      </c>
      <c r="J904" s="25" t="str">
        <f>VLOOKUP(E904,Customers!$A$2:$I$1001,7,0)</f>
        <v>United States</v>
      </c>
      <c r="K904" s="23" t="str">
        <f>VLOOKUP(E904,Customers!$A$2:$I$1001,9,0)</f>
        <v>No</v>
      </c>
      <c r="L904" s="4" t="s">
        <v>112</v>
      </c>
      <c r="M904" s="4" t="str">
        <f>VLOOKUP(L904,Products!$A$2:$G$49,2,0)</f>
        <v>Excelsa</v>
      </c>
      <c r="N904" s="4" t="str">
        <f>VLOOKUP(L904,Products!$A$2:$G$49,3,0)</f>
        <v>Medium</v>
      </c>
      <c r="O904" s="25">
        <v>5</v>
      </c>
      <c r="P904" s="5">
        <f>INDEX([1]products!$A$1:$G$49,MATCH([1]orders!$D904,[1]products!$A$1:$A$49,0),MATCH([1]orders!K$1,[1]products!$A$1:$G$1,0))</f>
        <v>2.5</v>
      </c>
      <c r="Q904" s="6">
        <f>INDEX([1]products!$A$1:$G$49,MATCH([1]orders!$D904,[1]products!$A$1:$A$49,0),MATCH([1]orders!L$1,[1]products!$A$1:$G$1,0))</f>
        <v>31.624999999999996</v>
      </c>
      <c r="R904" s="6">
        <f t="shared" si="70"/>
        <v>158.12499999999997</v>
      </c>
      <c r="S904">
        <f>VLOOKUP(L904,Products!$A$2:$G$49,7,0)</f>
        <v>3.4787499999999998</v>
      </c>
      <c r="T904">
        <f t="shared" si="73"/>
        <v>17.393749999999997</v>
      </c>
      <c r="U904" s="33">
        <f t="shared" si="74"/>
        <v>11</v>
      </c>
    </row>
    <row r="905" spans="1:21" x14ac:dyDescent="0.25">
      <c r="A905" s="1" t="s">
        <v>1743</v>
      </c>
      <c r="B905" s="28">
        <v>43905</v>
      </c>
      <c r="C905" s="21" t="str">
        <f t="shared" si="71"/>
        <v>2020</v>
      </c>
      <c r="D905" s="19" t="str">
        <f t="shared" si="72"/>
        <v>March</v>
      </c>
      <c r="E905" s="3" t="s">
        <v>1744</v>
      </c>
      <c r="F905" s="3" t="str">
        <f>VLOOKUP(E905,Customers!$A$2:$I$1001,2,0)</f>
        <v>Berkly Imrie</v>
      </c>
      <c r="G905" s="3" t="str">
        <f>VLOOKUP(E905,Customers!$A$2:$I$1001,3,0)</f>
        <v>bimriep3@addtoany.com</v>
      </c>
      <c r="H905" s="3" t="str">
        <f>VLOOKUP(E905,Customers!$A$2:$I$1001,4,0)</f>
        <v>+1 (559) 761-5288</v>
      </c>
      <c r="I905" s="25" t="str">
        <f>VLOOKUP(E905,Customers!$A$2:$I$1001,6,0)</f>
        <v>Fresno</v>
      </c>
      <c r="J905" s="25" t="str">
        <f>VLOOKUP(E905,Customers!$A$2:$I$1001,7,0)</f>
        <v>United States</v>
      </c>
      <c r="K905" s="23" t="str">
        <f>VLOOKUP(E905,Customers!$A$2:$I$1001,9,0)</f>
        <v>No</v>
      </c>
      <c r="L905" s="4" t="s">
        <v>78</v>
      </c>
      <c r="M905" s="4" t="str">
        <f>VLOOKUP(L905,Products!$A$2:$G$49,2,0)</f>
        <v>Liberica</v>
      </c>
      <c r="N905" s="4" t="str">
        <f>VLOOKUP(L905,Products!$A$2:$G$49,3,0)</f>
        <v>Medium</v>
      </c>
      <c r="O905" s="25">
        <v>2</v>
      </c>
      <c r="P905" s="5">
        <f>INDEX([1]products!$A$1:$G$49,MATCH([1]orders!$D905,[1]products!$A$1:$A$49,0),MATCH([1]orders!K$1,[1]products!$A$1:$G$1,0))</f>
        <v>0.5</v>
      </c>
      <c r="Q905" s="6">
        <f>INDEX([1]products!$A$1:$G$49,MATCH([1]orders!$D905,[1]products!$A$1:$A$49,0),MATCH([1]orders!L$1,[1]products!$A$1:$G$1,0))</f>
        <v>8.73</v>
      </c>
      <c r="R905" s="6">
        <f t="shared" si="70"/>
        <v>17.46</v>
      </c>
      <c r="S905">
        <f>VLOOKUP(L905,Products!$A$2:$G$49,7,0)</f>
        <v>1.1349</v>
      </c>
      <c r="T905">
        <f t="shared" si="73"/>
        <v>2.2698</v>
      </c>
      <c r="U905" s="33">
        <f t="shared" si="74"/>
        <v>13</v>
      </c>
    </row>
    <row r="906" spans="1:21" x14ac:dyDescent="0.25">
      <c r="A906" s="1" t="s">
        <v>1745</v>
      </c>
      <c r="B906" s="28">
        <v>44463</v>
      </c>
      <c r="C906" s="21" t="str">
        <f t="shared" si="71"/>
        <v>2021</v>
      </c>
      <c r="D906" s="19" t="str">
        <f t="shared" si="72"/>
        <v>September</v>
      </c>
      <c r="E906" s="3" t="s">
        <v>1746</v>
      </c>
      <c r="F906" s="3" t="str">
        <f>VLOOKUP(E906,Customers!$A$2:$I$1001,2,0)</f>
        <v>Dorey Sopper</v>
      </c>
      <c r="G906" s="3" t="str">
        <f>VLOOKUP(E906,Customers!$A$2:$I$1001,3,0)</f>
        <v>dsopperp4@eventbrite.com</v>
      </c>
      <c r="H906" s="3" t="str">
        <f>VLOOKUP(E906,Customers!$A$2:$I$1001,4,0)</f>
        <v>+1 (612) 870-1604</v>
      </c>
      <c r="I906" s="25" t="str">
        <f>VLOOKUP(E906,Customers!$A$2:$I$1001,6,0)</f>
        <v>Saint Paul</v>
      </c>
      <c r="J906" s="25" t="str">
        <f>VLOOKUP(E906,Customers!$A$2:$I$1001,7,0)</f>
        <v>United States</v>
      </c>
      <c r="K906" s="23" t="str">
        <f>VLOOKUP(E906,Customers!$A$2:$I$1001,9,0)</f>
        <v>No</v>
      </c>
      <c r="L906" s="4" t="s">
        <v>204</v>
      </c>
      <c r="M906" s="4" t="str">
        <f>VLOOKUP(L906,Products!$A$2:$G$49,2,0)</f>
        <v>Arabica</v>
      </c>
      <c r="N906" s="4" t="str">
        <f>VLOOKUP(L906,Products!$A$2:$G$49,3,0)</f>
        <v>Light</v>
      </c>
      <c r="O906" s="25">
        <v>5</v>
      </c>
      <c r="P906" s="5">
        <f>INDEX([1]products!$A$1:$G$49,MATCH([1]orders!$D906,[1]products!$A$1:$A$49,0),MATCH([1]orders!K$1,[1]products!$A$1:$G$1,0))</f>
        <v>2.5</v>
      </c>
      <c r="Q906" s="6">
        <f>INDEX([1]products!$A$1:$G$49,MATCH([1]orders!$D906,[1]products!$A$1:$A$49,0),MATCH([1]orders!L$1,[1]products!$A$1:$G$1,0))</f>
        <v>29.784999999999997</v>
      </c>
      <c r="R906" s="6">
        <f t="shared" si="70"/>
        <v>148.92499999999998</v>
      </c>
      <c r="S906">
        <f>VLOOKUP(L906,Products!$A$2:$G$49,7,0)</f>
        <v>2.6806499999999995</v>
      </c>
      <c r="T906">
        <f t="shared" si="73"/>
        <v>13.403249999999998</v>
      </c>
      <c r="U906" s="33">
        <f t="shared" si="74"/>
        <v>9</v>
      </c>
    </row>
    <row r="907" spans="1:21" x14ac:dyDescent="0.25">
      <c r="A907" s="1" t="s">
        <v>1747</v>
      </c>
      <c r="B907" s="28">
        <v>43560</v>
      </c>
      <c r="C907" s="21" t="str">
        <f t="shared" si="71"/>
        <v>2019</v>
      </c>
      <c r="D907" s="19" t="str">
        <f t="shared" si="72"/>
        <v>April</v>
      </c>
      <c r="E907" s="3" t="s">
        <v>1748</v>
      </c>
      <c r="F907" s="3" t="str">
        <f>VLOOKUP(E907,Customers!$A$2:$I$1001,2,0)</f>
        <v>Darcy Lochran</v>
      </c>
      <c r="G907" s="3" t="str">
        <f>VLOOKUP(E907,Customers!$A$2:$I$1001,3,0)</f>
        <v>UNKNOWN</v>
      </c>
      <c r="H907" s="3" t="str">
        <f>VLOOKUP(E907,Customers!$A$2:$I$1001,4,0)</f>
        <v>+1 (915) 776-4578</v>
      </c>
      <c r="I907" s="25" t="str">
        <f>VLOOKUP(E907,Customers!$A$2:$I$1001,6,0)</f>
        <v>El Paso</v>
      </c>
      <c r="J907" s="25" t="str">
        <f>VLOOKUP(E907,Customers!$A$2:$I$1001,7,0)</f>
        <v>United States</v>
      </c>
      <c r="K907" s="23" t="str">
        <f>VLOOKUP(E907,Customers!$A$2:$I$1001,9,0)</f>
        <v>Yes</v>
      </c>
      <c r="L907" s="4" t="s">
        <v>67</v>
      </c>
      <c r="M907" s="4" t="str">
        <f>VLOOKUP(L907,Products!$A$2:$G$49,2,0)</f>
        <v>Arabica</v>
      </c>
      <c r="N907" s="4" t="str">
        <f>VLOOKUP(L907,Products!$A$2:$G$49,3,0)</f>
        <v>Medium</v>
      </c>
      <c r="O907" s="25">
        <v>6</v>
      </c>
      <c r="P907" s="5">
        <f>INDEX([1]products!$A$1:$G$49,MATCH([1]orders!$D907,[1]products!$A$1:$A$49,0),MATCH([1]orders!K$1,[1]products!$A$1:$G$1,0))</f>
        <v>0.5</v>
      </c>
      <c r="Q907" s="6">
        <f>INDEX([1]products!$A$1:$G$49,MATCH([1]orders!$D907,[1]products!$A$1:$A$49,0),MATCH([1]orders!L$1,[1]products!$A$1:$G$1,0))</f>
        <v>6.75</v>
      </c>
      <c r="R907" s="6">
        <f t="shared" si="70"/>
        <v>40.5</v>
      </c>
      <c r="S907">
        <f>VLOOKUP(L907,Products!$A$2:$G$49,7,0)</f>
        <v>0.60749999999999993</v>
      </c>
      <c r="T907">
        <f t="shared" si="73"/>
        <v>3.6449999999999996</v>
      </c>
      <c r="U907" s="33">
        <f t="shared" si="74"/>
        <v>8.9999999999999982</v>
      </c>
    </row>
    <row r="908" spans="1:21" x14ac:dyDescent="0.25">
      <c r="A908" s="1" t="s">
        <v>1749</v>
      </c>
      <c r="B908" s="28">
        <v>44588</v>
      </c>
      <c r="C908" s="21" t="str">
        <f t="shared" si="71"/>
        <v>2022</v>
      </c>
      <c r="D908" s="19" t="str">
        <f t="shared" si="72"/>
        <v>January</v>
      </c>
      <c r="E908" s="3" t="s">
        <v>1750</v>
      </c>
      <c r="F908" s="3" t="str">
        <f>VLOOKUP(E908,Customers!$A$2:$I$1001,2,0)</f>
        <v>Lauritz Ledgley</v>
      </c>
      <c r="G908" s="3" t="str">
        <f>VLOOKUP(E908,Customers!$A$2:$I$1001,3,0)</f>
        <v>lledgleyp6@de.vu</v>
      </c>
      <c r="H908" s="3" t="str">
        <f>VLOOKUP(E908,Customers!$A$2:$I$1001,4,0)</f>
        <v>+1 (515) 261-2295</v>
      </c>
      <c r="I908" s="25" t="str">
        <f>VLOOKUP(E908,Customers!$A$2:$I$1001,6,0)</f>
        <v>Des Moines</v>
      </c>
      <c r="J908" s="25" t="str">
        <f>VLOOKUP(E908,Customers!$A$2:$I$1001,7,0)</f>
        <v>United States</v>
      </c>
      <c r="K908" s="23" t="str">
        <f>VLOOKUP(E908,Customers!$A$2:$I$1001,9,0)</f>
        <v>Yes</v>
      </c>
      <c r="L908" s="4" t="s">
        <v>67</v>
      </c>
      <c r="M908" s="4" t="str">
        <f>VLOOKUP(L908,Products!$A$2:$G$49,2,0)</f>
        <v>Arabica</v>
      </c>
      <c r="N908" s="4" t="str">
        <f>VLOOKUP(L908,Products!$A$2:$G$49,3,0)</f>
        <v>Medium</v>
      </c>
      <c r="O908" s="25">
        <v>4</v>
      </c>
      <c r="P908" s="5">
        <f>INDEX([1]products!$A$1:$G$49,MATCH([1]orders!$D908,[1]products!$A$1:$A$49,0),MATCH([1]orders!K$1,[1]products!$A$1:$G$1,0))</f>
        <v>0.5</v>
      </c>
      <c r="Q908" s="6">
        <f>INDEX([1]products!$A$1:$G$49,MATCH([1]orders!$D908,[1]products!$A$1:$A$49,0),MATCH([1]orders!L$1,[1]products!$A$1:$G$1,0))</f>
        <v>6.75</v>
      </c>
      <c r="R908" s="6">
        <f t="shared" si="70"/>
        <v>27</v>
      </c>
      <c r="S908">
        <f>VLOOKUP(L908,Products!$A$2:$G$49,7,0)</f>
        <v>0.60749999999999993</v>
      </c>
      <c r="T908">
        <f t="shared" si="73"/>
        <v>2.4299999999999997</v>
      </c>
      <c r="U908" s="33">
        <f t="shared" si="74"/>
        <v>8.9999999999999982</v>
      </c>
    </row>
    <row r="909" spans="1:21" x14ac:dyDescent="0.25">
      <c r="A909" s="1" t="s">
        <v>1751</v>
      </c>
      <c r="B909" s="28">
        <v>44449</v>
      </c>
      <c r="C909" s="21" t="str">
        <f t="shared" si="71"/>
        <v>2021</v>
      </c>
      <c r="D909" s="19" t="str">
        <f t="shared" si="72"/>
        <v>September</v>
      </c>
      <c r="E909" s="3" t="s">
        <v>1752</v>
      </c>
      <c r="F909" s="3" t="str">
        <f>VLOOKUP(E909,Customers!$A$2:$I$1001,2,0)</f>
        <v>Tawnya Menary</v>
      </c>
      <c r="G909" s="3" t="str">
        <f>VLOOKUP(E909,Customers!$A$2:$I$1001,3,0)</f>
        <v>tmenaryp7@phoca.cz</v>
      </c>
      <c r="H909" s="3" t="str">
        <f>VLOOKUP(E909,Customers!$A$2:$I$1001,4,0)</f>
        <v>+1 (971) 467-6353</v>
      </c>
      <c r="I909" s="25" t="str">
        <f>VLOOKUP(E909,Customers!$A$2:$I$1001,6,0)</f>
        <v>Portland</v>
      </c>
      <c r="J909" s="25" t="str">
        <f>VLOOKUP(E909,Customers!$A$2:$I$1001,7,0)</f>
        <v>United States</v>
      </c>
      <c r="K909" s="23" t="str">
        <f>VLOOKUP(E909,Customers!$A$2:$I$1001,9,0)</f>
        <v>No</v>
      </c>
      <c r="L909" s="4" t="s">
        <v>13</v>
      </c>
      <c r="M909" s="4" t="str">
        <f>VLOOKUP(L909,Products!$A$2:$G$49,2,0)</f>
        <v>Liberica</v>
      </c>
      <c r="N909" s="4" t="str">
        <f>VLOOKUP(L909,Products!$A$2:$G$49,3,0)</f>
        <v>Dark</v>
      </c>
      <c r="O909" s="25">
        <v>3</v>
      </c>
      <c r="P909" s="5">
        <f>INDEX([1]products!$A$1:$G$49,MATCH([1]orders!$D909,[1]products!$A$1:$A$49,0),MATCH([1]orders!K$1,[1]products!$A$1:$G$1,0))</f>
        <v>1</v>
      </c>
      <c r="Q909" s="6">
        <f>INDEX([1]products!$A$1:$G$49,MATCH([1]orders!$D909,[1]products!$A$1:$A$49,0),MATCH([1]orders!L$1,[1]products!$A$1:$G$1,0))</f>
        <v>12.95</v>
      </c>
      <c r="R909" s="6">
        <f t="shared" si="70"/>
        <v>38.849999999999994</v>
      </c>
      <c r="S909">
        <f>VLOOKUP(L909,Products!$A$2:$G$49,7,0)</f>
        <v>1.6835</v>
      </c>
      <c r="T909">
        <f t="shared" si="73"/>
        <v>5.0504999999999995</v>
      </c>
      <c r="U909" s="33">
        <f t="shared" si="74"/>
        <v>13</v>
      </c>
    </row>
    <row r="910" spans="1:21" x14ac:dyDescent="0.25">
      <c r="A910" s="1" t="s">
        <v>1753</v>
      </c>
      <c r="B910" s="28">
        <v>43836</v>
      </c>
      <c r="C910" s="21" t="str">
        <f t="shared" si="71"/>
        <v>2020</v>
      </c>
      <c r="D910" s="19" t="str">
        <f t="shared" si="72"/>
        <v>January</v>
      </c>
      <c r="E910" s="3" t="s">
        <v>1754</v>
      </c>
      <c r="F910" s="3" t="str">
        <f>VLOOKUP(E910,Customers!$A$2:$I$1001,2,0)</f>
        <v>Gustaf Ciccotti</v>
      </c>
      <c r="G910" s="3" t="str">
        <f>VLOOKUP(E910,Customers!$A$2:$I$1001,3,0)</f>
        <v>gciccottip8@so-net.ne.jp</v>
      </c>
      <c r="H910" s="3" t="str">
        <f>VLOOKUP(E910,Customers!$A$2:$I$1001,4,0)</f>
        <v>+1 (832) 392-5010</v>
      </c>
      <c r="I910" s="25" t="str">
        <f>VLOOKUP(E910,Customers!$A$2:$I$1001,6,0)</f>
        <v>Houston</v>
      </c>
      <c r="J910" s="25" t="str">
        <f>VLOOKUP(E910,Customers!$A$2:$I$1001,7,0)</f>
        <v>United States</v>
      </c>
      <c r="K910" s="23" t="str">
        <f>VLOOKUP(E910,Customers!$A$2:$I$1001,9,0)</f>
        <v>No</v>
      </c>
      <c r="L910" s="4" t="s">
        <v>189</v>
      </c>
      <c r="M910" s="4" t="str">
        <f>VLOOKUP(L910,Products!$A$2:$G$49,2,0)</f>
        <v>Robusta</v>
      </c>
      <c r="N910" s="4" t="str">
        <f>VLOOKUP(L910,Products!$A$2:$G$49,3,0)</f>
        <v>Light</v>
      </c>
      <c r="O910" s="25">
        <v>5</v>
      </c>
      <c r="P910" s="5">
        <f>INDEX([1]products!$A$1:$G$49,MATCH([1]orders!$D910,[1]products!$A$1:$A$49,0),MATCH([1]orders!K$1,[1]products!$A$1:$G$1,0))</f>
        <v>1</v>
      </c>
      <c r="Q910" s="6">
        <f>INDEX([1]products!$A$1:$G$49,MATCH([1]orders!$D910,[1]products!$A$1:$A$49,0),MATCH([1]orders!L$1,[1]products!$A$1:$G$1,0))</f>
        <v>11.95</v>
      </c>
      <c r="R910" s="6">
        <f t="shared" si="70"/>
        <v>59.75</v>
      </c>
      <c r="S910">
        <f>VLOOKUP(L910,Products!$A$2:$G$49,7,0)</f>
        <v>0.71699999999999997</v>
      </c>
      <c r="T910">
        <f t="shared" si="73"/>
        <v>3.585</v>
      </c>
      <c r="U910" s="33">
        <f t="shared" si="74"/>
        <v>6</v>
      </c>
    </row>
    <row r="911" spans="1:21" x14ac:dyDescent="0.25">
      <c r="A911" s="1" t="s">
        <v>1755</v>
      </c>
      <c r="B911" s="28">
        <v>44635</v>
      </c>
      <c r="C911" s="21" t="str">
        <f t="shared" si="71"/>
        <v>2022</v>
      </c>
      <c r="D911" s="19" t="str">
        <f t="shared" si="72"/>
        <v>March</v>
      </c>
      <c r="E911" s="3" t="s">
        <v>1756</v>
      </c>
      <c r="F911" s="3" t="str">
        <f>VLOOKUP(E911,Customers!$A$2:$I$1001,2,0)</f>
        <v>Bobbe Renner</v>
      </c>
      <c r="G911" s="3" t="str">
        <f>VLOOKUP(E911,Customers!$A$2:$I$1001,3,0)</f>
        <v>UNKNOWN</v>
      </c>
      <c r="H911" s="3" t="str">
        <f>VLOOKUP(E911,Customers!$A$2:$I$1001,4,0)</f>
        <v>+1 (919) 456-9860</v>
      </c>
      <c r="I911" s="25" t="str">
        <f>VLOOKUP(E911,Customers!$A$2:$I$1001,6,0)</f>
        <v>Durham</v>
      </c>
      <c r="J911" s="25" t="str">
        <f>VLOOKUP(E911,Customers!$A$2:$I$1001,7,0)</f>
        <v>United States</v>
      </c>
      <c r="K911" s="23" t="str">
        <f>VLOOKUP(E911,Customers!$A$2:$I$1001,9,0)</f>
        <v>No</v>
      </c>
      <c r="L911" s="4" t="s">
        <v>182</v>
      </c>
      <c r="M911" s="4" t="str">
        <f>VLOOKUP(L911,Products!$A$2:$G$49,2,0)</f>
        <v>Robusta</v>
      </c>
      <c r="N911" s="4" t="str">
        <f>VLOOKUP(L911,Products!$A$2:$G$49,3,0)</f>
        <v>Light</v>
      </c>
      <c r="O911" s="25">
        <v>3</v>
      </c>
      <c r="P911" s="5">
        <f>INDEX([1]products!$A$1:$G$49,MATCH([1]orders!$D911,[1]products!$A$1:$A$49,0),MATCH([1]orders!K$1,[1]products!$A$1:$G$1,0))</f>
        <v>0.2</v>
      </c>
      <c r="Q911" s="6">
        <f>INDEX([1]products!$A$1:$G$49,MATCH([1]orders!$D911,[1]products!$A$1:$A$49,0),MATCH([1]orders!L$1,[1]products!$A$1:$G$1,0))</f>
        <v>3.5849999999999995</v>
      </c>
      <c r="R911" s="6">
        <f t="shared" si="70"/>
        <v>10.754999999999999</v>
      </c>
      <c r="S911">
        <f>VLOOKUP(L911,Products!$A$2:$G$49,7,0)</f>
        <v>0.21509999999999996</v>
      </c>
      <c r="T911">
        <f t="shared" si="73"/>
        <v>0.64529999999999987</v>
      </c>
      <c r="U911" s="33">
        <f t="shared" si="74"/>
        <v>5.9999999999999991</v>
      </c>
    </row>
    <row r="912" spans="1:21" x14ac:dyDescent="0.25">
      <c r="A912" s="1" t="s">
        <v>1757</v>
      </c>
      <c r="B912" s="28">
        <v>44447</v>
      </c>
      <c r="C912" s="21" t="str">
        <f t="shared" si="71"/>
        <v>2021</v>
      </c>
      <c r="D912" s="19" t="str">
        <f t="shared" si="72"/>
        <v>September</v>
      </c>
      <c r="E912" s="3" t="s">
        <v>1758</v>
      </c>
      <c r="F912" s="3" t="str">
        <f>VLOOKUP(E912,Customers!$A$2:$I$1001,2,0)</f>
        <v>Wilton Jallin</v>
      </c>
      <c r="G912" s="3" t="str">
        <f>VLOOKUP(E912,Customers!$A$2:$I$1001,3,0)</f>
        <v>wjallinpa@pcworld.com</v>
      </c>
      <c r="H912" s="3" t="str">
        <f>VLOOKUP(E912,Customers!$A$2:$I$1001,4,0)</f>
        <v>+1 (617) 201-1702</v>
      </c>
      <c r="I912" s="25" t="str">
        <f>VLOOKUP(E912,Customers!$A$2:$I$1001,6,0)</f>
        <v>Boston</v>
      </c>
      <c r="J912" s="25" t="str">
        <f>VLOOKUP(E912,Customers!$A$2:$I$1001,7,0)</f>
        <v>United States</v>
      </c>
      <c r="K912" s="23" t="str">
        <f>VLOOKUP(E912,Customers!$A$2:$I$1001,9,0)</f>
        <v>No</v>
      </c>
      <c r="L912" s="4" t="s">
        <v>118</v>
      </c>
      <c r="M912" s="4" t="str">
        <f>VLOOKUP(L912,Products!$A$2:$G$49,2,0)</f>
        <v>Arabica</v>
      </c>
      <c r="N912" s="4" t="str">
        <f>VLOOKUP(L912,Products!$A$2:$G$49,3,0)</f>
        <v>Dark</v>
      </c>
      <c r="O912" s="25">
        <v>4</v>
      </c>
      <c r="P912" s="5">
        <f>INDEX([1]products!$A$1:$G$49,MATCH([1]orders!$D912,[1]products!$A$1:$A$49,0),MATCH([1]orders!K$1,[1]products!$A$1:$G$1,0))</f>
        <v>2.5</v>
      </c>
      <c r="Q912" s="6">
        <f>INDEX([1]products!$A$1:$G$49,MATCH([1]orders!$D912,[1]products!$A$1:$A$49,0),MATCH([1]orders!L$1,[1]products!$A$1:$G$1,0))</f>
        <v>22.884999999999998</v>
      </c>
      <c r="R912" s="6">
        <f t="shared" si="70"/>
        <v>91.539999999999992</v>
      </c>
      <c r="S912">
        <f>VLOOKUP(L912,Products!$A$2:$G$49,7,0)</f>
        <v>2.0596499999999995</v>
      </c>
      <c r="T912">
        <f t="shared" si="73"/>
        <v>8.2385999999999981</v>
      </c>
      <c r="U912" s="33">
        <f t="shared" si="74"/>
        <v>8.9999999999999982</v>
      </c>
    </row>
    <row r="913" spans="1:21" x14ac:dyDescent="0.25">
      <c r="A913" s="1" t="s">
        <v>1759</v>
      </c>
      <c r="B913" s="28">
        <v>44511</v>
      </c>
      <c r="C913" s="21" t="str">
        <f t="shared" si="71"/>
        <v>2021</v>
      </c>
      <c r="D913" s="19" t="str">
        <f t="shared" si="72"/>
        <v>November</v>
      </c>
      <c r="E913" s="3" t="s">
        <v>1760</v>
      </c>
      <c r="F913" s="3" t="str">
        <f>VLOOKUP(E913,Customers!$A$2:$I$1001,2,0)</f>
        <v>Mindy Bogey</v>
      </c>
      <c r="G913" s="3" t="str">
        <f>VLOOKUP(E913,Customers!$A$2:$I$1001,3,0)</f>
        <v>mbogeypb@thetimes.co.uk</v>
      </c>
      <c r="H913" s="3" t="str">
        <f>VLOOKUP(E913,Customers!$A$2:$I$1001,4,0)</f>
        <v>+1 (202) 479-4238</v>
      </c>
      <c r="I913" s="25" t="str">
        <f>VLOOKUP(E913,Customers!$A$2:$I$1001,6,0)</f>
        <v>Washington</v>
      </c>
      <c r="J913" s="25" t="str">
        <f>VLOOKUP(E913,Customers!$A$2:$I$1001,7,0)</f>
        <v>United States</v>
      </c>
      <c r="K913" s="23" t="str">
        <f>VLOOKUP(E913,Customers!$A$2:$I$1001,9,0)</f>
        <v>Yes</v>
      </c>
      <c r="L913" s="4" t="s">
        <v>61</v>
      </c>
      <c r="M913" s="4" t="str">
        <f>VLOOKUP(L913,Products!$A$2:$G$49,2,0)</f>
        <v>Arabica</v>
      </c>
      <c r="N913" s="4" t="str">
        <f>VLOOKUP(L913,Products!$A$2:$G$49,3,0)</f>
        <v>Medium</v>
      </c>
      <c r="O913" s="25">
        <v>4</v>
      </c>
      <c r="P913" s="5">
        <f>INDEX([1]products!$A$1:$G$49,MATCH([1]orders!$D913,[1]products!$A$1:$A$49,0),MATCH([1]orders!K$1,[1]products!$A$1:$G$1,0))</f>
        <v>1</v>
      </c>
      <c r="Q913" s="6">
        <f>INDEX([1]products!$A$1:$G$49,MATCH([1]orders!$D913,[1]products!$A$1:$A$49,0),MATCH([1]orders!L$1,[1]products!$A$1:$G$1,0))</f>
        <v>11.25</v>
      </c>
      <c r="R913" s="6">
        <f t="shared" si="70"/>
        <v>45</v>
      </c>
      <c r="S913">
        <f>VLOOKUP(L913,Products!$A$2:$G$49,7,0)</f>
        <v>1.0125</v>
      </c>
      <c r="T913">
        <f t="shared" si="73"/>
        <v>4.05</v>
      </c>
      <c r="U913" s="33">
        <f t="shared" si="74"/>
        <v>9</v>
      </c>
    </row>
    <row r="914" spans="1:21" x14ac:dyDescent="0.25">
      <c r="A914" s="1" t="s">
        <v>1761</v>
      </c>
      <c r="B914" s="28">
        <v>43726</v>
      </c>
      <c r="C914" s="21" t="str">
        <f t="shared" si="71"/>
        <v>2019</v>
      </c>
      <c r="D914" s="19" t="str">
        <f t="shared" si="72"/>
        <v>September</v>
      </c>
      <c r="E914" s="3" t="s">
        <v>1762</v>
      </c>
      <c r="F914" s="3" t="str">
        <f>VLOOKUP(E914,Customers!$A$2:$I$1001,2,0)</f>
        <v>Paulie Fonzone</v>
      </c>
      <c r="G914" s="3" t="str">
        <f>VLOOKUP(E914,Customers!$A$2:$I$1001,3,0)</f>
        <v>UNKNOWN</v>
      </c>
      <c r="H914" s="3" t="str">
        <f>VLOOKUP(E914,Customers!$A$2:$I$1001,4,0)</f>
        <v>+1 (518) 905-1184</v>
      </c>
      <c r="I914" s="25" t="str">
        <f>VLOOKUP(E914,Customers!$A$2:$I$1001,6,0)</f>
        <v>Albany</v>
      </c>
      <c r="J914" s="25" t="str">
        <f>VLOOKUP(E914,Customers!$A$2:$I$1001,7,0)</f>
        <v>United States</v>
      </c>
      <c r="K914" s="23" t="str">
        <f>VLOOKUP(E914,Customers!$A$2:$I$1001,9,0)</f>
        <v>Yes</v>
      </c>
      <c r="L914" s="4" t="s">
        <v>41</v>
      </c>
      <c r="M914" s="4" t="str">
        <f>VLOOKUP(L914,Products!$A$2:$G$49,2,0)</f>
        <v>Robusta</v>
      </c>
      <c r="N914" s="4" t="str">
        <f>VLOOKUP(L914,Products!$A$2:$G$49,3,0)</f>
        <v>Medium</v>
      </c>
      <c r="O914" s="25">
        <v>6</v>
      </c>
      <c r="P914" s="5">
        <f>INDEX([1]products!$A$1:$G$49,MATCH([1]orders!$D914,[1]products!$A$1:$A$49,0),MATCH([1]orders!K$1,[1]products!$A$1:$G$1,0))</f>
        <v>2.5</v>
      </c>
      <c r="Q914" s="6">
        <f>INDEX([1]products!$A$1:$G$49,MATCH([1]orders!$D914,[1]products!$A$1:$A$49,0),MATCH([1]orders!L$1,[1]products!$A$1:$G$1,0))</f>
        <v>22.884999999999998</v>
      </c>
      <c r="R914" s="6">
        <f t="shared" si="70"/>
        <v>137.31</v>
      </c>
      <c r="S914">
        <f>VLOOKUP(L914,Products!$A$2:$G$49,7,0)</f>
        <v>1.3730999999999998</v>
      </c>
      <c r="T914">
        <f t="shared" si="73"/>
        <v>8.2385999999999981</v>
      </c>
      <c r="U914" s="33">
        <f t="shared" si="74"/>
        <v>5.9999999999999982</v>
      </c>
    </row>
    <row r="915" spans="1:21" x14ac:dyDescent="0.25">
      <c r="A915" s="1" t="s">
        <v>1763</v>
      </c>
      <c r="B915" s="28">
        <v>44406</v>
      </c>
      <c r="C915" s="21" t="str">
        <f t="shared" si="71"/>
        <v>2021</v>
      </c>
      <c r="D915" s="19" t="str">
        <f t="shared" si="72"/>
        <v>July</v>
      </c>
      <c r="E915" s="3" t="s">
        <v>1764</v>
      </c>
      <c r="F915" s="3" t="str">
        <f>VLOOKUP(E915,Customers!$A$2:$I$1001,2,0)</f>
        <v>Merrile Cobbledick</v>
      </c>
      <c r="G915" s="3" t="str">
        <f>VLOOKUP(E915,Customers!$A$2:$I$1001,3,0)</f>
        <v>mcobbledickpd@ucsd.edu</v>
      </c>
      <c r="H915" s="3" t="str">
        <f>VLOOKUP(E915,Customers!$A$2:$I$1001,4,0)</f>
        <v>+1 (520) 567-8210</v>
      </c>
      <c r="I915" s="25" t="str">
        <f>VLOOKUP(E915,Customers!$A$2:$I$1001,6,0)</f>
        <v>Tucson</v>
      </c>
      <c r="J915" s="25" t="str">
        <f>VLOOKUP(E915,Customers!$A$2:$I$1001,7,0)</f>
        <v>United States</v>
      </c>
      <c r="K915" s="23" t="str">
        <f>VLOOKUP(E915,Customers!$A$2:$I$1001,9,0)</f>
        <v>No</v>
      </c>
      <c r="L915" s="4" t="s">
        <v>67</v>
      </c>
      <c r="M915" s="4" t="str">
        <f>VLOOKUP(L915,Products!$A$2:$G$49,2,0)</f>
        <v>Arabica</v>
      </c>
      <c r="N915" s="4" t="str">
        <f>VLOOKUP(L915,Products!$A$2:$G$49,3,0)</f>
        <v>Medium</v>
      </c>
      <c r="O915" s="25">
        <v>1</v>
      </c>
      <c r="P915" s="5">
        <f>INDEX([1]products!$A$1:$G$49,MATCH([1]orders!$D915,[1]products!$A$1:$A$49,0),MATCH([1]orders!K$1,[1]products!$A$1:$G$1,0))</f>
        <v>0.5</v>
      </c>
      <c r="Q915" s="6">
        <f>INDEX([1]products!$A$1:$G$49,MATCH([1]orders!$D915,[1]products!$A$1:$A$49,0),MATCH([1]orders!L$1,[1]products!$A$1:$G$1,0))</f>
        <v>6.75</v>
      </c>
      <c r="R915" s="6">
        <f t="shared" si="70"/>
        <v>6.75</v>
      </c>
      <c r="S915">
        <f>VLOOKUP(L915,Products!$A$2:$G$49,7,0)</f>
        <v>0.60749999999999993</v>
      </c>
      <c r="T915">
        <f t="shared" si="73"/>
        <v>0.60749999999999993</v>
      </c>
      <c r="U915" s="33">
        <f t="shared" si="74"/>
        <v>8.9999999999999982</v>
      </c>
    </row>
    <row r="916" spans="1:21" x14ac:dyDescent="0.25">
      <c r="A916" s="1" t="s">
        <v>1765</v>
      </c>
      <c r="B916" s="28">
        <v>44640</v>
      </c>
      <c r="C916" s="21" t="str">
        <f t="shared" si="71"/>
        <v>2022</v>
      </c>
      <c r="D916" s="19" t="str">
        <f t="shared" si="72"/>
        <v>March</v>
      </c>
      <c r="E916" s="3" t="s">
        <v>1766</v>
      </c>
      <c r="F916" s="3" t="str">
        <f>VLOOKUP(E916,Customers!$A$2:$I$1001,2,0)</f>
        <v>Antonius Lewry</v>
      </c>
      <c r="G916" s="3" t="str">
        <f>VLOOKUP(E916,Customers!$A$2:$I$1001,3,0)</f>
        <v>alewrype@whitehouse.gov</v>
      </c>
      <c r="H916" s="3" t="str">
        <f>VLOOKUP(E916,Customers!$A$2:$I$1001,4,0)</f>
        <v>+1 (334) 368-9435</v>
      </c>
      <c r="I916" s="25" t="str">
        <f>VLOOKUP(E916,Customers!$A$2:$I$1001,6,0)</f>
        <v>Montgomery</v>
      </c>
      <c r="J916" s="25" t="str">
        <f>VLOOKUP(E916,Customers!$A$2:$I$1001,7,0)</f>
        <v>United States</v>
      </c>
      <c r="K916" s="23" t="str">
        <f>VLOOKUP(E916,Customers!$A$2:$I$1001,9,0)</f>
        <v>No</v>
      </c>
      <c r="L916" s="4" t="s">
        <v>61</v>
      </c>
      <c r="M916" s="4" t="str">
        <f>VLOOKUP(L916,Products!$A$2:$G$49,2,0)</f>
        <v>Arabica</v>
      </c>
      <c r="N916" s="4" t="str">
        <f>VLOOKUP(L916,Products!$A$2:$G$49,3,0)</f>
        <v>Medium</v>
      </c>
      <c r="O916" s="25">
        <v>4</v>
      </c>
      <c r="P916" s="5">
        <f>INDEX([1]products!$A$1:$G$49,MATCH([1]orders!$D916,[1]products!$A$1:$A$49,0),MATCH([1]orders!K$1,[1]products!$A$1:$G$1,0))</f>
        <v>1</v>
      </c>
      <c r="Q916" s="6">
        <f>INDEX([1]products!$A$1:$G$49,MATCH([1]orders!$D916,[1]products!$A$1:$A$49,0),MATCH([1]orders!L$1,[1]products!$A$1:$G$1,0))</f>
        <v>11.25</v>
      </c>
      <c r="R916" s="6">
        <f t="shared" si="70"/>
        <v>45</v>
      </c>
      <c r="S916">
        <f>VLOOKUP(L916,Products!$A$2:$G$49,7,0)</f>
        <v>1.0125</v>
      </c>
      <c r="T916">
        <f t="shared" si="73"/>
        <v>4.05</v>
      </c>
      <c r="U916" s="33">
        <f t="shared" si="74"/>
        <v>9</v>
      </c>
    </row>
    <row r="917" spans="1:21" x14ac:dyDescent="0.25">
      <c r="A917" s="1" t="s">
        <v>1767</v>
      </c>
      <c r="B917" s="28">
        <v>43955</v>
      </c>
      <c r="C917" s="21" t="str">
        <f t="shared" si="71"/>
        <v>2020</v>
      </c>
      <c r="D917" s="19" t="str">
        <f t="shared" si="72"/>
        <v>May</v>
      </c>
      <c r="E917" s="3" t="s">
        <v>1768</v>
      </c>
      <c r="F917" s="3" t="str">
        <f>VLOOKUP(E917,Customers!$A$2:$I$1001,2,0)</f>
        <v>Isis Hessel</v>
      </c>
      <c r="G917" s="3" t="str">
        <f>VLOOKUP(E917,Customers!$A$2:$I$1001,3,0)</f>
        <v>ihesselpf@ox.ac.uk</v>
      </c>
      <c r="H917" s="3" t="str">
        <f>VLOOKUP(E917,Customers!$A$2:$I$1001,4,0)</f>
        <v>+1 (907) 873-3538</v>
      </c>
      <c r="I917" s="25" t="str">
        <f>VLOOKUP(E917,Customers!$A$2:$I$1001,6,0)</f>
        <v>Fairbanks</v>
      </c>
      <c r="J917" s="25" t="str">
        <f>VLOOKUP(E917,Customers!$A$2:$I$1001,7,0)</f>
        <v>United States</v>
      </c>
      <c r="K917" s="23" t="str">
        <f>VLOOKUP(E917,Customers!$A$2:$I$1001,9,0)</f>
        <v>Yes</v>
      </c>
      <c r="L917" s="4" t="s">
        <v>530</v>
      </c>
      <c r="M917" s="4" t="str">
        <f>VLOOKUP(L917,Products!$A$2:$G$49,2,0)</f>
        <v>Excelsa</v>
      </c>
      <c r="N917" s="4" t="str">
        <f>VLOOKUP(L917,Products!$A$2:$G$49,3,0)</f>
        <v>Dark</v>
      </c>
      <c r="O917" s="25">
        <v>3</v>
      </c>
      <c r="P917" s="5">
        <f>INDEX([1]products!$A$1:$G$49,MATCH([1]orders!$D917,[1]products!$A$1:$A$49,0),MATCH([1]orders!K$1,[1]products!$A$1:$G$1,0))</f>
        <v>2.5</v>
      </c>
      <c r="Q917" s="6">
        <f>INDEX([1]products!$A$1:$G$49,MATCH([1]orders!$D917,[1]products!$A$1:$A$49,0),MATCH([1]orders!L$1,[1]products!$A$1:$G$1,0))</f>
        <v>27.945</v>
      </c>
      <c r="R917" s="6">
        <f t="shared" si="70"/>
        <v>83.835000000000008</v>
      </c>
      <c r="S917">
        <f>VLOOKUP(L917,Products!$A$2:$G$49,7,0)</f>
        <v>3.07395</v>
      </c>
      <c r="T917">
        <f t="shared" si="73"/>
        <v>9.2218499999999999</v>
      </c>
      <c r="U917" s="33">
        <f t="shared" si="74"/>
        <v>10.999999999999998</v>
      </c>
    </row>
    <row r="918" spans="1:21" x14ac:dyDescent="0.25">
      <c r="A918" s="1" t="s">
        <v>1769</v>
      </c>
      <c r="B918" s="28">
        <v>44291</v>
      </c>
      <c r="C918" s="21" t="str">
        <f t="shared" si="71"/>
        <v>2021</v>
      </c>
      <c r="D918" s="19" t="str">
        <f t="shared" si="72"/>
        <v>April</v>
      </c>
      <c r="E918" s="3" t="s">
        <v>1770</v>
      </c>
      <c r="F918" s="3" t="str">
        <f>VLOOKUP(E918,Customers!$A$2:$I$1001,2,0)</f>
        <v>Harland Trematick</v>
      </c>
      <c r="G918" s="3" t="str">
        <f>VLOOKUP(E918,Customers!$A$2:$I$1001,3,0)</f>
        <v>UNKNOWN</v>
      </c>
      <c r="H918" s="3" t="str">
        <f>VLOOKUP(E918,Customers!$A$2:$I$1001,4,0)</f>
        <v>UNKNOWN</v>
      </c>
      <c r="I918" s="25" t="str">
        <f>VLOOKUP(E918,Customers!$A$2:$I$1001,6,0)</f>
        <v>Monasterevin</v>
      </c>
      <c r="J918" s="25" t="str">
        <f>VLOOKUP(E918,Customers!$A$2:$I$1001,7,0)</f>
        <v>Ireland</v>
      </c>
      <c r="K918" s="23" t="str">
        <f>VLOOKUP(E918,Customers!$A$2:$I$1001,9,0)</f>
        <v>Yes</v>
      </c>
      <c r="L918" s="4" t="s">
        <v>51</v>
      </c>
      <c r="M918" s="4" t="str">
        <f>VLOOKUP(L918,Products!$A$2:$G$49,2,0)</f>
        <v>Excelsa</v>
      </c>
      <c r="N918" s="4" t="str">
        <f>VLOOKUP(L918,Products!$A$2:$G$49,3,0)</f>
        <v>Dark</v>
      </c>
      <c r="O918" s="25">
        <v>1</v>
      </c>
      <c r="P918" s="5">
        <f>INDEX([1]products!$A$1:$G$49,MATCH([1]orders!$D918,[1]products!$A$1:$A$49,0),MATCH([1]orders!K$1,[1]products!$A$1:$G$1,0))</f>
        <v>0.2</v>
      </c>
      <c r="Q918" s="6">
        <f>INDEX([1]products!$A$1:$G$49,MATCH([1]orders!$D918,[1]products!$A$1:$A$49,0),MATCH([1]orders!L$1,[1]products!$A$1:$G$1,0))</f>
        <v>3.645</v>
      </c>
      <c r="R918" s="6">
        <f t="shared" si="70"/>
        <v>3.645</v>
      </c>
      <c r="S918">
        <f>VLOOKUP(L918,Products!$A$2:$G$49,7,0)</f>
        <v>0.40095000000000003</v>
      </c>
      <c r="T918">
        <f t="shared" si="73"/>
        <v>0.40095000000000003</v>
      </c>
      <c r="U918" s="33">
        <f t="shared" si="74"/>
        <v>11</v>
      </c>
    </row>
    <row r="919" spans="1:21" x14ac:dyDescent="0.25">
      <c r="A919" s="1" t="s">
        <v>1771</v>
      </c>
      <c r="B919" s="28">
        <v>44573</v>
      </c>
      <c r="C919" s="21" t="str">
        <f t="shared" si="71"/>
        <v>2022</v>
      </c>
      <c r="D919" s="19" t="str">
        <f t="shared" si="72"/>
        <v>January</v>
      </c>
      <c r="E919" s="3" t="s">
        <v>1772</v>
      </c>
      <c r="F919" s="3" t="str">
        <f>VLOOKUP(E919,Customers!$A$2:$I$1001,2,0)</f>
        <v>Chloris Sorrell</v>
      </c>
      <c r="G919" s="3" t="str">
        <f>VLOOKUP(E919,Customers!$A$2:$I$1001,3,0)</f>
        <v>csorrellph@amazon.com</v>
      </c>
      <c r="H919" s="3" t="str">
        <f>VLOOKUP(E919,Customers!$A$2:$I$1001,4,0)</f>
        <v>+44 (160) 225-1993</v>
      </c>
      <c r="I919" s="25" t="str">
        <f>VLOOKUP(E919,Customers!$A$2:$I$1001,6,0)</f>
        <v>Norton</v>
      </c>
      <c r="J919" s="25" t="str">
        <f>VLOOKUP(E919,Customers!$A$2:$I$1001,7,0)</f>
        <v>United Kingdom</v>
      </c>
      <c r="K919" s="23" t="str">
        <f>VLOOKUP(E919,Customers!$A$2:$I$1001,9,0)</f>
        <v>No</v>
      </c>
      <c r="L919" s="4" t="s">
        <v>67</v>
      </c>
      <c r="M919" s="4" t="str">
        <f>VLOOKUP(L919,Products!$A$2:$G$49,2,0)</f>
        <v>Arabica</v>
      </c>
      <c r="N919" s="4" t="str">
        <f>VLOOKUP(L919,Products!$A$2:$G$49,3,0)</f>
        <v>Medium</v>
      </c>
      <c r="O919" s="25">
        <v>1</v>
      </c>
      <c r="P919" s="5">
        <f>INDEX([1]products!$A$1:$G$49,MATCH([1]orders!$D919,[1]products!$A$1:$A$49,0),MATCH([1]orders!K$1,[1]products!$A$1:$G$1,0))</f>
        <v>0.5</v>
      </c>
      <c r="Q919" s="6">
        <f>INDEX([1]products!$A$1:$G$49,MATCH([1]orders!$D919,[1]products!$A$1:$A$49,0),MATCH([1]orders!L$1,[1]products!$A$1:$G$1,0))</f>
        <v>6.75</v>
      </c>
      <c r="R919" s="6">
        <f t="shared" si="70"/>
        <v>6.75</v>
      </c>
      <c r="S919">
        <f>VLOOKUP(L919,Products!$A$2:$G$49,7,0)</f>
        <v>0.60749999999999993</v>
      </c>
      <c r="T919">
        <f t="shared" si="73"/>
        <v>0.60749999999999993</v>
      </c>
      <c r="U919" s="33">
        <f t="shared" si="74"/>
        <v>8.9999999999999982</v>
      </c>
    </row>
    <row r="920" spans="1:21" x14ac:dyDescent="0.25">
      <c r="A920" s="1" t="s">
        <v>1771</v>
      </c>
      <c r="B920" s="28">
        <v>44573</v>
      </c>
      <c r="C920" s="21" t="str">
        <f t="shared" si="71"/>
        <v>2022</v>
      </c>
      <c r="D920" s="19" t="str">
        <f t="shared" si="72"/>
        <v>January</v>
      </c>
      <c r="E920" s="3" t="s">
        <v>1772</v>
      </c>
      <c r="F920" s="3" t="str">
        <f>VLOOKUP(E920,Customers!$A$2:$I$1001,2,0)</f>
        <v>Chloris Sorrell</v>
      </c>
      <c r="G920" s="3" t="str">
        <f>VLOOKUP(E920,Customers!$A$2:$I$1001,3,0)</f>
        <v>csorrellph@amazon.com</v>
      </c>
      <c r="H920" s="3" t="str">
        <f>VLOOKUP(E920,Customers!$A$2:$I$1001,4,0)</f>
        <v>+44 (160) 225-1993</v>
      </c>
      <c r="I920" s="25" t="str">
        <f>VLOOKUP(E920,Customers!$A$2:$I$1001,6,0)</f>
        <v>Norton</v>
      </c>
      <c r="J920" s="25" t="str">
        <f>VLOOKUP(E920,Customers!$A$2:$I$1001,7,0)</f>
        <v>United Kingdom</v>
      </c>
      <c r="K920" s="23" t="str">
        <f>VLOOKUP(E920,Customers!$A$2:$I$1001,9,0)</f>
        <v>No</v>
      </c>
      <c r="L920" s="4" t="s">
        <v>16</v>
      </c>
      <c r="M920" s="4" t="str">
        <f>VLOOKUP(L920,Products!$A$2:$G$49,2,0)</f>
        <v>Excelsa</v>
      </c>
      <c r="N920" s="4" t="str">
        <f>VLOOKUP(L920,Products!$A$2:$G$49,3,0)</f>
        <v>Dark</v>
      </c>
      <c r="O920" s="25">
        <v>3</v>
      </c>
      <c r="P920" s="5">
        <f>INDEX([1]products!$A$1:$G$49,MATCH([1]orders!$D920,[1]products!$A$1:$A$49,0),MATCH([1]orders!K$1,[1]products!$A$1:$G$1,0))</f>
        <v>0.5</v>
      </c>
      <c r="Q920" s="6">
        <f>INDEX([1]products!$A$1:$G$49,MATCH([1]orders!$D920,[1]products!$A$1:$A$49,0),MATCH([1]orders!L$1,[1]products!$A$1:$G$1,0))</f>
        <v>7.29</v>
      </c>
      <c r="R920" s="6">
        <f t="shared" si="70"/>
        <v>21.87</v>
      </c>
      <c r="S920">
        <f>VLOOKUP(L920,Products!$A$2:$G$49,7,0)</f>
        <v>0.80190000000000006</v>
      </c>
      <c r="T920">
        <f t="shared" si="73"/>
        <v>2.4057000000000004</v>
      </c>
      <c r="U920" s="33">
        <f t="shared" si="74"/>
        <v>11.000000000000002</v>
      </c>
    </row>
    <row r="921" spans="1:21" x14ac:dyDescent="0.25">
      <c r="A921" s="1" t="s">
        <v>1773</v>
      </c>
      <c r="B921" s="28">
        <v>44181</v>
      </c>
      <c r="C921" s="21" t="str">
        <f t="shared" si="71"/>
        <v>2020</v>
      </c>
      <c r="D921" s="19" t="str">
        <f t="shared" si="72"/>
        <v>December</v>
      </c>
      <c r="E921" s="3" t="s">
        <v>1774</v>
      </c>
      <c r="F921" s="3" t="str">
        <f>VLOOKUP(E921,Customers!$A$2:$I$1001,2,0)</f>
        <v>Quintina Heavyside</v>
      </c>
      <c r="G921" s="3" t="str">
        <f>VLOOKUP(E921,Customers!$A$2:$I$1001,3,0)</f>
        <v>qheavysidepj@unc.edu</v>
      </c>
      <c r="H921" s="3" t="str">
        <f>VLOOKUP(E921,Customers!$A$2:$I$1001,4,0)</f>
        <v>+1 (859) 572-4305</v>
      </c>
      <c r="I921" s="25" t="str">
        <f>VLOOKUP(E921,Customers!$A$2:$I$1001,6,0)</f>
        <v>Lexington</v>
      </c>
      <c r="J921" s="25" t="str">
        <f>VLOOKUP(E921,Customers!$A$2:$I$1001,7,0)</f>
        <v>United States</v>
      </c>
      <c r="K921" s="23" t="str">
        <f>VLOOKUP(E921,Customers!$A$2:$I$1001,9,0)</f>
        <v>Yes</v>
      </c>
      <c r="L921" s="4" t="s">
        <v>101</v>
      </c>
      <c r="M921" s="4" t="str">
        <f>VLOOKUP(L921,Products!$A$2:$G$49,2,0)</f>
        <v>Robusta</v>
      </c>
      <c r="N921" s="4" t="str">
        <f>VLOOKUP(L921,Products!$A$2:$G$49,3,0)</f>
        <v>Dark</v>
      </c>
      <c r="O921" s="25">
        <v>5</v>
      </c>
      <c r="P921" s="5">
        <f>INDEX([1]products!$A$1:$G$49,MATCH([1]orders!$D921,[1]products!$A$1:$A$49,0),MATCH([1]orders!K$1,[1]products!$A$1:$G$1,0))</f>
        <v>0.2</v>
      </c>
      <c r="Q921" s="6">
        <f>INDEX([1]products!$A$1:$G$49,MATCH([1]orders!$D921,[1]products!$A$1:$A$49,0),MATCH([1]orders!L$1,[1]products!$A$1:$G$1,0))</f>
        <v>2.6849999999999996</v>
      </c>
      <c r="R921" s="6">
        <f t="shared" si="70"/>
        <v>13.424999999999997</v>
      </c>
      <c r="S921">
        <f>VLOOKUP(L921,Products!$A$2:$G$49,7,0)</f>
        <v>0.16109999999999997</v>
      </c>
      <c r="T921">
        <f t="shared" si="73"/>
        <v>0.80549999999999988</v>
      </c>
      <c r="U921" s="33">
        <f t="shared" si="74"/>
        <v>6.0000000000000009</v>
      </c>
    </row>
    <row r="922" spans="1:21" x14ac:dyDescent="0.25">
      <c r="A922" s="1" t="s">
        <v>1775</v>
      </c>
      <c r="B922" s="28">
        <v>44711</v>
      </c>
      <c r="C922" s="21" t="str">
        <f t="shared" si="71"/>
        <v>2022</v>
      </c>
      <c r="D922" s="19" t="str">
        <f t="shared" si="72"/>
        <v>May</v>
      </c>
      <c r="E922" s="3" t="s">
        <v>1776</v>
      </c>
      <c r="F922" s="3" t="str">
        <f>VLOOKUP(E922,Customers!$A$2:$I$1001,2,0)</f>
        <v>Hadley Reuven</v>
      </c>
      <c r="G922" s="3" t="str">
        <f>VLOOKUP(E922,Customers!$A$2:$I$1001,3,0)</f>
        <v>hreuvenpk@whitehouse.gov</v>
      </c>
      <c r="H922" s="3" t="str">
        <f>VLOOKUP(E922,Customers!$A$2:$I$1001,4,0)</f>
        <v>+1 (616) 851-0525</v>
      </c>
      <c r="I922" s="25" t="str">
        <f>VLOOKUP(E922,Customers!$A$2:$I$1001,6,0)</f>
        <v>Grand Rapids</v>
      </c>
      <c r="J922" s="25" t="str">
        <f>VLOOKUP(E922,Customers!$A$2:$I$1001,7,0)</f>
        <v>United States</v>
      </c>
      <c r="K922" s="23" t="str">
        <f>VLOOKUP(E922,Customers!$A$2:$I$1001,9,0)</f>
        <v>No</v>
      </c>
      <c r="L922" s="4" t="s">
        <v>35</v>
      </c>
      <c r="M922" s="4" t="str">
        <f>VLOOKUP(L922,Products!$A$2:$G$49,2,0)</f>
        <v>Robusta</v>
      </c>
      <c r="N922" s="4" t="str">
        <f>VLOOKUP(L922,Products!$A$2:$G$49,3,0)</f>
        <v>Dark</v>
      </c>
      <c r="O922" s="25">
        <v>6</v>
      </c>
      <c r="P922" s="5">
        <f>INDEX([1]products!$A$1:$G$49,MATCH([1]orders!$D922,[1]products!$A$1:$A$49,0),MATCH([1]orders!K$1,[1]products!$A$1:$G$1,0))</f>
        <v>2.5</v>
      </c>
      <c r="Q922" s="6">
        <f>INDEX([1]products!$A$1:$G$49,MATCH([1]orders!$D922,[1]products!$A$1:$A$49,0),MATCH([1]orders!L$1,[1]products!$A$1:$G$1,0))</f>
        <v>20.584999999999997</v>
      </c>
      <c r="R922" s="6">
        <f t="shared" si="70"/>
        <v>123.50999999999999</v>
      </c>
      <c r="S922">
        <f>VLOOKUP(L922,Products!$A$2:$G$49,7,0)</f>
        <v>1.2350999999999999</v>
      </c>
      <c r="T922">
        <f t="shared" si="73"/>
        <v>7.4105999999999987</v>
      </c>
      <c r="U922" s="33">
        <f t="shared" si="74"/>
        <v>5.9999999999999991</v>
      </c>
    </row>
    <row r="923" spans="1:21" x14ac:dyDescent="0.25">
      <c r="A923" s="1" t="s">
        <v>1777</v>
      </c>
      <c r="B923" s="28">
        <v>44509</v>
      </c>
      <c r="C923" s="21" t="str">
        <f t="shared" si="71"/>
        <v>2021</v>
      </c>
      <c r="D923" s="19" t="str">
        <f t="shared" si="72"/>
        <v>November</v>
      </c>
      <c r="E923" s="3" t="s">
        <v>1778</v>
      </c>
      <c r="F923" s="3" t="str">
        <f>VLOOKUP(E923,Customers!$A$2:$I$1001,2,0)</f>
        <v>Mitch Attwool</v>
      </c>
      <c r="G923" s="3" t="str">
        <f>VLOOKUP(E923,Customers!$A$2:$I$1001,3,0)</f>
        <v>mattwoolpl@nba.com</v>
      </c>
      <c r="H923" s="3" t="str">
        <f>VLOOKUP(E923,Customers!$A$2:$I$1001,4,0)</f>
        <v>+1 (515) 821-3701</v>
      </c>
      <c r="I923" s="25" t="str">
        <f>VLOOKUP(E923,Customers!$A$2:$I$1001,6,0)</f>
        <v>Des Moines</v>
      </c>
      <c r="J923" s="25" t="str">
        <f>VLOOKUP(E923,Customers!$A$2:$I$1001,7,0)</f>
        <v>United States</v>
      </c>
      <c r="K923" s="23" t="str">
        <f>VLOOKUP(E923,Customers!$A$2:$I$1001,9,0)</f>
        <v>No</v>
      </c>
      <c r="L923" s="4" t="s">
        <v>38</v>
      </c>
      <c r="M923" s="4" t="str">
        <f>VLOOKUP(L923,Products!$A$2:$G$49,2,0)</f>
        <v>Liberica</v>
      </c>
      <c r="N923" s="4" t="str">
        <f>VLOOKUP(L923,Products!$A$2:$G$49,3,0)</f>
        <v>Dark</v>
      </c>
      <c r="O923" s="25">
        <v>2</v>
      </c>
      <c r="P923" s="5">
        <f>INDEX([1]products!$A$1:$G$49,MATCH([1]orders!$D923,[1]products!$A$1:$A$49,0),MATCH([1]orders!K$1,[1]products!$A$1:$G$1,0))</f>
        <v>0.2</v>
      </c>
      <c r="Q923" s="6">
        <f>INDEX([1]products!$A$1:$G$49,MATCH([1]orders!$D923,[1]products!$A$1:$A$49,0),MATCH([1]orders!L$1,[1]products!$A$1:$G$1,0))</f>
        <v>3.8849999999999998</v>
      </c>
      <c r="R923" s="6">
        <f t="shared" si="70"/>
        <v>7.77</v>
      </c>
      <c r="S923">
        <f>VLOOKUP(L923,Products!$A$2:$G$49,7,0)</f>
        <v>0.50505</v>
      </c>
      <c r="T923">
        <f t="shared" si="73"/>
        <v>1.0101</v>
      </c>
      <c r="U923" s="33">
        <f t="shared" si="74"/>
        <v>13</v>
      </c>
    </row>
    <row r="924" spans="1:21" x14ac:dyDescent="0.25">
      <c r="A924" s="1" t="s">
        <v>1779</v>
      </c>
      <c r="B924" s="28">
        <v>44659</v>
      </c>
      <c r="C924" s="21" t="str">
        <f t="shared" si="71"/>
        <v>2022</v>
      </c>
      <c r="D924" s="19" t="str">
        <f t="shared" si="72"/>
        <v>April</v>
      </c>
      <c r="E924" s="3" t="s">
        <v>1780</v>
      </c>
      <c r="F924" s="3" t="str">
        <f>VLOOKUP(E924,Customers!$A$2:$I$1001,2,0)</f>
        <v>Charin Maplethorp</v>
      </c>
      <c r="G924" s="3" t="str">
        <f>VLOOKUP(E924,Customers!$A$2:$I$1001,3,0)</f>
        <v>UNKNOWN</v>
      </c>
      <c r="H924" s="3" t="str">
        <f>VLOOKUP(E924,Customers!$A$2:$I$1001,4,0)</f>
        <v>UNKNOWN</v>
      </c>
      <c r="I924" s="25" t="str">
        <f>VLOOKUP(E924,Customers!$A$2:$I$1001,6,0)</f>
        <v>Wilmington</v>
      </c>
      <c r="J924" s="25" t="str">
        <f>VLOOKUP(E924,Customers!$A$2:$I$1001,7,0)</f>
        <v>United States</v>
      </c>
      <c r="K924" s="23" t="str">
        <f>VLOOKUP(E924,Customers!$A$2:$I$1001,9,0)</f>
        <v>Yes</v>
      </c>
      <c r="L924" s="4" t="s">
        <v>61</v>
      </c>
      <c r="M924" s="4" t="str">
        <f>VLOOKUP(L924,Products!$A$2:$G$49,2,0)</f>
        <v>Arabica</v>
      </c>
      <c r="N924" s="4" t="str">
        <f>VLOOKUP(L924,Products!$A$2:$G$49,3,0)</f>
        <v>Medium</v>
      </c>
      <c r="O924" s="25">
        <v>6</v>
      </c>
      <c r="P924" s="5">
        <f>INDEX([1]products!$A$1:$G$49,MATCH([1]orders!$D924,[1]products!$A$1:$A$49,0),MATCH([1]orders!K$1,[1]products!$A$1:$G$1,0))</f>
        <v>1</v>
      </c>
      <c r="Q924" s="6">
        <f>INDEX([1]products!$A$1:$G$49,MATCH([1]orders!$D924,[1]products!$A$1:$A$49,0),MATCH([1]orders!L$1,[1]products!$A$1:$G$1,0))</f>
        <v>11.25</v>
      </c>
      <c r="R924" s="6">
        <f t="shared" si="70"/>
        <v>67.5</v>
      </c>
      <c r="S924">
        <f>VLOOKUP(L924,Products!$A$2:$G$49,7,0)</f>
        <v>1.0125</v>
      </c>
      <c r="T924">
        <f t="shared" si="73"/>
        <v>6.0749999999999993</v>
      </c>
      <c r="U924" s="33">
        <f t="shared" si="74"/>
        <v>8.9999999999999982</v>
      </c>
    </row>
    <row r="925" spans="1:21" x14ac:dyDescent="0.25">
      <c r="A925" s="1" t="s">
        <v>1781</v>
      </c>
      <c r="B925" s="28">
        <v>43746</v>
      </c>
      <c r="C925" s="21" t="str">
        <f t="shared" si="71"/>
        <v>2019</v>
      </c>
      <c r="D925" s="19" t="str">
        <f t="shared" si="72"/>
        <v>October</v>
      </c>
      <c r="E925" s="3" t="s">
        <v>1782</v>
      </c>
      <c r="F925" s="3" t="str">
        <f>VLOOKUP(E925,Customers!$A$2:$I$1001,2,0)</f>
        <v>Goldie Wynes</v>
      </c>
      <c r="G925" s="3" t="str">
        <f>VLOOKUP(E925,Customers!$A$2:$I$1001,3,0)</f>
        <v>gwynespn@dagondesign.com</v>
      </c>
      <c r="H925" s="3" t="str">
        <f>VLOOKUP(E925,Customers!$A$2:$I$1001,4,0)</f>
        <v>+1 (512) 118-8603</v>
      </c>
      <c r="I925" s="25" t="str">
        <f>VLOOKUP(E925,Customers!$A$2:$I$1001,6,0)</f>
        <v>Austin</v>
      </c>
      <c r="J925" s="25" t="str">
        <f>VLOOKUP(E925,Customers!$A$2:$I$1001,7,0)</f>
        <v>United States</v>
      </c>
      <c r="K925" s="23" t="str">
        <f>VLOOKUP(E925,Customers!$A$2:$I$1001,9,0)</f>
        <v>No</v>
      </c>
      <c r="L925" s="4" t="s">
        <v>530</v>
      </c>
      <c r="M925" s="4" t="str">
        <f>VLOOKUP(L925,Products!$A$2:$G$49,2,0)</f>
        <v>Excelsa</v>
      </c>
      <c r="N925" s="4" t="str">
        <f>VLOOKUP(L925,Products!$A$2:$G$49,3,0)</f>
        <v>Dark</v>
      </c>
      <c r="O925" s="25">
        <v>1</v>
      </c>
      <c r="P925" s="5">
        <f>INDEX([1]products!$A$1:$G$49,MATCH([1]orders!$D925,[1]products!$A$1:$A$49,0),MATCH([1]orders!K$1,[1]products!$A$1:$G$1,0))</f>
        <v>2.5</v>
      </c>
      <c r="Q925" s="6">
        <f>INDEX([1]products!$A$1:$G$49,MATCH([1]orders!$D925,[1]products!$A$1:$A$49,0),MATCH([1]orders!L$1,[1]products!$A$1:$G$1,0))</f>
        <v>27.945</v>
      </c>
      <c r="R925" s="6">
        <f t="shared" si="70"/>
        <v>27.945</v>
      </c>
      <c r="S925">
        <f>VLOOKUP(L925,Products!$A$2:$G$49,7,0)</f>
        <v>3.07395</v>
      </c>
      <c r="T925">
        <f t="shared" si="73"/>
        <v>3.07395</v>
      </c>
      <c r="U925" s="33">
        <f t="shared" si="74"/>
        <v>11</v>
      </c>
    </row>
    <row r="926" spans="1:21" x14ac:dyDescent="0.25">
      <c r="A926" s="1" t="s">
        <v>1783</v>
      </c>
      <c r="B926" s="28">
        <v>44451</v>
      </c>
      <c r="C926" s="21" t="str">
        <f t="shared" si="71"/>
        <v>2021</v>
      </c>
      <c r="D926" s="19" t="str">
        <f t="shared" si="72"/>
        <v>September</v>
      </c>
      <c r="E926" s="3" t="s">
        <v>1784</v>
      </c>
      <c r="F926" s="3" t="str">
        <f>VLOOKUP(E926,Customers!$A$2:$I$1001,2,0)</f>
        <v>Celie MacCourt</v>
      </c>
      <c r="G926" s="3" t="str">
        <f>VLOOKUP(E926,Customers!$A$2:$I$1001,3,0)</f>
        <v>cmaccourtpo@amazon.com</v>
      </c>
      <c r="H926" s="3" t="str">
        <f>VLOOKUP(E926,Customers!$A$2:$I$1001,4,0)</f>
        <v>UNKNOWN</v>
      </c>
      <c r="I926" s="25" t="str">
        <f>VLOOKUP(E926,Customers!$A$2:$I$1001,6,0)</f>
        <v>Orlando</v>
      </c>
      <c r="J926" s="25" t="str">
        <f>VLOOKUP(E926,Customers!$A$2:$I$1001,7,0)</f>
        <v>United States</v>
      </c>
      <c r="K926" s="23" t="str">
        <f>VLOOKUP(E926,Customers!$A$2:$I$1001,9,0)</f>
        <v>No</v>
      </c>
      <c r="L926" s="4" t="s">
        <v>204</v>
      </c>
      <c r="M926" s="4" t="str">
        <f>VLOOKUP(L926,Products!$A$2:$G$49,2,0)</f>
        <v>Arabica</v>
      </c>
      <c r="N926" s="4" t="str">
        <f>VLOOKUP(L926,Products!$A$2:$G$49,3,0)</f>
        <v>Light</v>
      </c>
      <c r="O926" s="25">
        <v>3</v>
      </c>
      <c r="P926" s="5">
        <f>INDEX([1]products!$A$1:$G$49,MATCH([1]orders!$D926,[1]products!$A$1:$A$49,0),MATCH([1]orders!K$1,[1]products!$A$1:$G$1,0))</f>
        <v>2.5</v>
      </c>
      <c r="Q926" s="6">
        <f>INDEX([1]products!$A$1:$G$49,MATCH([1]orders!$D926,[1]products!$A$1:$A$49,0),MATCH([1]orders!L$1,[1]products!$A$1:$G$1,0))</f>
        <v>29.784999999999997</v>
      </c>
      <c r="R926" s="6">
        <f t="shared" si="70"/>
        <v>89.35499999999999</v>
      </c>
      <c r="S926">
        <f>VLOOKUP(L926,Products!$A$2:$G$49,7,0)</f>
        <v>2.6806499999999995</v>
      </c>
      <c r="T926">
        <f t="shared" si="73"/>
        <v>8.0419499999999982</v>
      </c>
      <c r="U926" s="33">
        <f t="shared" si="74"/>
        <v>8.9999999999999982</v>
      </c>
    </row>
    <row r="927" spans="1:21" x14ac:dyDescent="0.25">
      <c r="A927" s="1" t="s">
        <v>1785</v>
      </c>
      <c r="B927" s="28">
        <v>44770</v>
      </c>
      <c r="C927" s="21" t="str">
        <f t="shared" si="71"/>
        <v>2022</v>
      </c>
      <c r="D927" s="19" t="str">
        <f t="shared" si="72"/>
        <v>July</v>
      </c>
      <c r="E927" s="3" t="s">
        <v>1729</v>
      </c>
      <c r="F927" s="3" t="str">
        <f>VLOOKUP(E927,Customers!$A$2:$I$1001,2,0)</f>
        <v>Derick Snow</v>
      </c>
      <c r="G927" s="3" t="str">
        <f>VLOOKUP(E927,Customers!$A$2:$I$1001,3,0)</f>
        <v>UNKNOWN</v>
      </c>
      <c r="H927" s="3" t="str">
        <f>VLOOKUP(E927,Customers!$A$2:$I$1001,4,0)</f>
        <v>+1 (718) 461-3002</v>
      </c>
      <c r="I927" s="25" t="str">
        <f>VLOOKUP(E927,Customers!$A$2:$I$1001,6,0)</f>
        <v>New York City</v>
      </c>
      <c r="J927" s="25" t="str">
        <f>VLOOKUP(E927,Customers!$A$2:$I$1001,7,0)</f>
        <v>United States</v>
      </c>
      <c r="K927" s="23" t="str">
        <f>VLOOKUP(E927,Customers!$A$2:$I$1001,9,0)</f>
        <v>No</v>
      </c>
      <c r="L927" s="4" t="s">
        <v>67</v>
      </c>
      <c r="M927" s="4" t="str">
        <f>VLOOKUP(L927,Products!$A$2:$G$49,2,0)</f>
        <v>Arabica</v>
      </c>
      <c r="N927" s="4" t="str">
        <f>VLOOKUP(L927,Products!$A$2:$G$49,3,0)</f>
        <v>Medium</v>
      </c>
      <c r="O927" s="25">
        <v>3</v>
      </c>
      <c r="P927" s="5">
        <f>INDEX([1]products!$A$1:$G$49,MATCH([1]orders!$D927,[1]products!$A$1:$A$49,0),MATCH([1]orders!K$1,[1]products!$A$1:$G$1,0))</f>
        <v>0.5</v>
      </c>
      <c r="Q927" s="6">
        <f>INDEX([1]products!$A$1:$G$49,MATCH([1]orders!$D927,[1]products!$A$1:$A$49,0),MATCH([1]orders!L$1,[1]products!$A$1:$G$1,0))</f>
        <v>6.75</v>
      </c>
      <c r="R927" s="6">
        <f t="shared" si="70"/>
        <v>20.25</v>
      </c>
      <c r="S927">
        <f>VLOOKUP(L927,Products!$A$2:$G$49,7,0)</f>
        <v>0.60749999999999993</v>
      </c>
      <c r="T927">
        <f t="shared" si="73"/>
        <v>1.8224999999999998</v>
      </c>
      <c r="U927" s="33">
        <f t="shared" si="74"/>
        <v>8.9999999999999982</v>
      </c>
    </row>
    <row r="928" spans="1:21" x14ac:dyDescent="0.25">
      <c r="A928" s="1" t="s">
        <v>1786</v>
      </c>
      <c r="B928" s="28">
        <v>44012</v>
      </c>
      <c r="C928" s="21" t="str">
        <f t="shared" si="71"/>
        <v>2020</v>
      </c>
      <c r="D928" s="19" t="str">
        <f t="shared" si="72"/>
        <v>June</v>
      </c>
      <c r="E928" s="3" t="s">
        <v>1787</v>
      </c>
      <c r="F928" s="3" t="str">
        <f>VLOOKUP(E928,Customers!$A$2:$I$1001,2,0)</f>
        <v>Evy Wilsone</v>
      </c>
      <c r="G928" s="3" t="str">
        <f>VLOOKUP(E928,Customers!$A$2:$I$1001,3,0)</f>
        <v>ewilsonepq@eepurl.com</v>
      </c>
      <c r="H928" s="3" t="str">
        <f>VLOOKUP(E928,Customers!$A$2:$I$1001,4,0)</f>
        <v>+1 (202) 969-6382</v>
      </c>
      <c r="I928" s="25" t="str">
        <f>VLOOKUP(E928,Customers!$A$2:$I$1001,6,0)</f>
        <v>Washington</v>
      </c>
      <c r="J928" s="25" t="str">
        <f>VLOOKUP(E928,Customers!$A$2:$I$1001,7,0)</f>
        <v>United States</v>
      </c>
      <c r="K928" s="23" t="str">
        <f>VLOOKUP(E928,Customers!$A$2:$I$1001,9,0)</f>
        <v>Yes</v>
      </c>
      <c r="L928" s="4" t="s">
        <v>67</v>
      </c>
      <c r="M928" s="4" t="str">
        <f>VLOOKUP(L928,Products!$A$2:$G$49,2,0)</f>
        <v>Arabica</v>
      </c>
      <c r="N928" s="4" t="str">
        <f>VLOOKUP(L928,Products!$A$2:$G$49,3,0)</f>
        <v>Medium</v>
      </c>
      <c r="O928" s="25">
        <v>5</v>
      </c>
      <c r="P928" s="5">
        <f>INDEX([1]products!$A$1:$G$49,MATCH([1]orders!$D928,[1]products!$A$1:$A$49,0),MATCH([1]orders!K$1,[1]products!$A$1:$G$1,0))</f>
        <v>0.5</v>
      </c>
      <c r="Q928" s="6">
        <f>INDEX([1]products!$A$1:$G$49,MATCH([1]orders!$D928,[1]products!$A$1:$A$49,0),MATCH([1]orders!L$1,[1]products!$A$1:$G$1,0))</f>
        <v>6.75</v>
      </c>
      <c r="R928" s="6">
        <f t="shared" si="70"/>
        <v>33.75</v>
      </c>
      <c r="S928">
        <f>VLOOKUP(L928,Products!$A$2:$G$49,7,0)</f>
        <v>0.60749999999999993</v>
      </c>
      <c r="T928">
        <f t="shared" si="73"/>
        <v>3.0374999999999996</v>
      </c>
      <c r="U928" s="33">
        <f t="shared" si="74"/>
        <v>8.9999999999999982</v>
      </c>
    </row>
    <row r="929" spans="1:21" x14ac:dyDescent="0.25">
      <c r="A929" s="1" t="s">
        <v>1788</v>
      </c>
      <c r="B929" s="28">
        <v>43474</v>
      </c>
      <c r="C929" s="21" t="str">
        <f t="shared" si="71"/>
        <v>2019</v>
      </c>
      <c r="D929" s="19" t="str">
        <f t="shared" si="72"/>
        <v>January</v>
      </c>
      <c r="E929" s="3" t="s">
        <v>1789</v>
      </c>
      <c r="F929" s="3" t="str">
        <f>VLOOKUP(E929,Customers!$A$2:$I$1001,2,0)</f>
        <v>Dolores Duffie</v>
      </c>
      <c r="G929" s="3" t="str">
        <f>VLOOKUP(E929,Customers!$A$2:$I$1001,3,0)</f>
        <v>dduffiepr@time.com</v>
      </c>
      <c r="H929" s="3" t="str">
        <f>VLOOKUP(E929,Customers!$A$2:$I$1001,4,0)</f>
        <v>+1 (971) 936-3214</v>
      </c>
      <c r="I929" s="25" t="str">
        <f>VLOOKUP(E929,Customers!$A$2:$I$1001,6,0)</f>
        <v>Portland</v>
      </c>
      <c r="J929" s="25" t="str">
        <f>VLOOKUP(E929,Customers!$A$2:$I$1001,7,0)</f>
        <v>United States</v>
      </c>
      <c r="K929" s="23" t="str">
        <f>VLOOKUP(E929,Customers!$A$2:$I$1001,9,0)</f>
        <v>No</v>
      </c>
      <c r="L929" s="4" t="s">
        <v>530</v>
      </c>
      <c r="M929" s="4" t="str">
        <f>VLOOKUP(L929,Products!$A$2:$G$49,2,0)</f>
        <v>Excelsa</v>
      </c>
      <c r="N929" s="4" t="str">
        <f>VLOOKUP(L929,Products!$A$2:$G$49,3,0)</f>
        <v>Dark</v>
      </c>
      <c r="O929" s="25">
        <v>4</v>
      </c>
      <c r="P929" s="5">
        <f>INDEX([1]products!$A$1:$G$49,MATCH([1]orders!$D929,[1]products!$A$1:$A$49,0),MATCH([1]orders!K$1,[1]products!$A$1:$G$1,0))</f>
        <v>2.5</v>
      </c>
      <c r="Q929" s="6">
        <f>INDEX([1]products!$A$1:$G$49,MATCH([1]orders!$D929,[1]products!$A$1:$A$49,0),MATCH([1]orders!L$1,[1]products!$A$1:$G$1,0))</f>
        <v>27.945</v>
      </c>
      <c r="R929" s="6">
        <f t="shared" si="70"/>
        <v>111.78</v>
      </c>
      <c r="S929">
        <f>VLOOKUP(L929,Products!$A$2:$G$49,7,0)</f>
        <v>3.07395</v>
      </c>
      <c r="T929">
        <f t="shared" si="73"/>
        <v>12.2958</v>
      </c>
      <c r="U929" s="33">
        <f t="shared" si="74"/>
        <v>11</v>
      </c>
    </row>
    <row r="930" spans="1:21" x14ac:dyDescent="0.25">
      <c r="A930" s="1" t="s">
        <v>1790</v>
      </c>
      <c r="B930" s="28">
        <v>44754</v>
      </c>
      <c r="C930" s="21" t="str">
        <f t="shared" si="71"/>
        <v>2022</v>
      </c>
      <c r="D930" s="19" t="str">
        <f t="shared" si="72"/>
        <v>July</v>
      </c>
      <c r="E930" s="3" t="s">
        <v>1791</v>
      </c>
      <c r="F930" s="3" t="str">
        <f>VLOOKUP(E930,Customers!$A$2:$I$1001,2,0)</f>
        <v>Mathilda Matiasek</v>
      </c>
      <c r="G930" s="3" t="str">
        <f>VLOOKUP(E930,Customers!$A$2:$I$1001,3,0)</f>
        <v>mmatiasekps@ucoz.ru</v>
      </c>
      <c r="H930" s="3" t="str">
        <f>VLOOKUP(E930,Customers!$A$2:$I$1001,4,0)</f>
        <v>UNKNOWN</v>
      </c>
      <c r="I930" s="25" t="str">
        <f>VLOOKUP(E930,Customers!$A$2:$I$1001,6,0)</f>
        <v>New York City</v>
      </c>
      <c r="J930" s="25" t="str">
        <f>VLOOKUP(E930,Customers!$A$2:$I$1001,7,0)</f>
        <v>United States</v>
      </c>
      <c r="K930" s="23" t="str">
        <f>VLOOKUP(E930,Customers!$A$2:$I$1001,9,0)</f>
        <v>Yes</v>
      </c>
      <c r="L930" s="4" t="s">
        <v>112</v>
      </c>
      <c r="M930" s="4" t="str">
        <f>VLOOKUP(L930,Products!$A$2:$G$49,2,0)</f>
        <v>Excelsa</v>
      </c>
      <c r="N930" s="4" t="str">
        <f>VLOOKUP(L930,Products!$A$2:$G$49,3,0)</f>
        <v>Medium</v>
      </c>
      <c r="O930" s="25">
        <v>2</v>
      </c>
      <c r="P930" s="5">
        <f>INDEX([1]products!$A$1:$G$49,MATCH([1]orders!$D930,[1]products!$A$1:$A$49,0),MATCH([1]orders!K$1,[1]products!$A$1:$G$1,0))</f>
        <v>2.5</v>
      </c>
      <c r="Q930" s="6">
        <f>INDEX([1]products!$A$1:$G$49,MATCH([1]orders!$D930,[1]products!$A$1:$A$49,0),MATCH([1]orders!L$1,[1]products!$A$1:$G$1,0))</f>
        <v>31.624999999999996</v>
      </c>
      <c r="R930" s="6">
        <f t="shared" si="70"/>
        <v>63.249999999999993</v>
      </c>
      <c r="S930">
        <f>VLOOKUP(L930,Products!$A$2:$G$49,7,0)</f>
        <v>3.4787499999999998</v>
      </c>
      <c r="T930">
        <f t="shared" si="73"/>
        <v>6.9574999999999996</v>
      </c>
      <c r="U930" s="33">
        <f t="shared" si="74"/>
        <v>11</v>
      </c>
    </row>
    <row r="931" spans="1:21" x14ac:dyDescent="0.25">
      <c r="A931" s="1" t="s">
        <v>1792</v>
      </c>
      <c r="B931" s="28">
        <v>44165</v>
      </c>
      <c r="C931" s="21" t="str">
        <f t="shared" si="71"/>
        <v>2020</v>
      </c>
      <c r="D931" s="19" t="str">
        <f t="shared" si="72"/>
        <v>November</v>
      </c>
      <c r="E931" s="3" t="s">
        <v>1793</v>
      </c>
      <c r="F931" s="3" t="str">
        <f>VLOOKUP(E931,Customers!$A$2:$I$1001,2,0)</f>
        <v>Jarred Camillo</v>
      </c>
      <c r="G931" s="3" t="str">
        <f>VLOOKUP(E931,Customers!$A$2:$I$1001,3,0)</f>
        <v>jcamillopt@shinystat.com</v>
      </c>
      <c r="H931" s="3" t="str">
        <f>VLOOKUP(E931,Customers!$A$2:$I$1001,4,0)</f>
        <v>+1 (202) 572-0994</v>
      </c>
      <c r="I931" s="25" t="str">
        <f>VLOOKUP(E931,Customers!$A$2:$I$1001,6,0)</f>
        <v>Washington</v>
      </c>
      <c r="J931" s="25" t="str">
        <f>VLOOKUP(E931,Customers!$A$2:$I$1001,7,0)</f>
        <v>United States</v>
      </c>
      <c r="K931" s="23" t="str">
        <f>VLOOKUP(E931,Customers!$A$2:$I$1001,9,0)</f>
        <v>Yes</v>
      </c>
      <c r="L931" s="4" t="s">
        <v>254</v>
      </c>
      <c r="M931" s="4" t="str">
        <f>VLOOKUP(L931,Products!$A$2:$G$49,2,0)</f>
        <v>Excelsa</v>
      </c>
      <c r="N931" s="4" t="str">
        <f>VLOOKUP(L931,Products!$A$2:$G$49,3,0)</f>
        <v>Light</v>
      </c>
      <c r="O931" s="25">
        <v>2</v>
      </c>
      <c r="P931" s="5">
        <f>INDEX([1]products!$A$1:$G$49,MATCH([1]orders!$D931,[1]products!$A$1:$A$49,0),MATCH([1]orders!K$1,[1]products!$A$1:$G$1,0))</f>
        <v>0.2</v>
      </c>
      <c r="Q931" s="6">
        <f>INDEX([1]products!$A$1:$G$49,MATCH([1]orders!$D931,[1]products!$A$1:$A$49,0),MATCH([1]orders!L$1,[1]products!$A$1:$G$1,0))</f>
        <v>4.4550000000000001</v>
      </c>
      <c r="R931" s="6">
        <f t="shared" si="70"/>
        <v>8.91</v>
      </c>
      <c r="S931">
        <f>VLOOKUP(L931,Products!$A$2:$G$49,7,0)</f>
        <v>0.49004999999999999</v>
      </c>
      <c r="T931">
        <f t="shared" si="73"/>
        <v>0.98009999999999997</v>
      </c>
      <c r="U931" s="33">
        <f t="shared" si="74"/>
        <v>11</v>
      </c>
    </row>
    <row r="932" spans="1:21" x14ac:dyDescent="0.25">
      <c r="A932" s="1" t="s">
        <v>1794</v>
      </c>
      <c r="B932" s="28">
        <v>43546</v>
      </c>
      <c r="C932" s="21" t="str">
        <f t="shared" si="71"/>
        <v>2019</v>
      </c>
      <c r="D932" s="19" t="str">
        <f t="shared" si="72"/>
        <v>March</v>
      </c>
      <c r="E932" s="3" t="s">
        <v>1795</v>
      </c>
      <c r="F932" s="3" t="str">
        <f>VLOOKUP(E932,Customers!$A$2:$I$1001,2,0)</f>
        <v>Kameko Philbrick</v>
      </c>
      <c r="G932" s="3" t="str">
        <f>VLOOKUP(E932,Customers!$A$2:$I$1001,3,0)</f>
        <v>kphilbrickpu@cdc.gov</v>
      </c>
      <c r="H932" s="3" t="str">
        <f>VLOOKUP(E932,Customers!$A$2:$I$1001,4,0)</f>
        <v>UNKNOWN</v>
      </c>
      <c r="I932" s="25" t="str">
        <f>VLOOKUP(E932,Customers!$A$2:$I$1001,6,0)</f>
        <v>Washington</v>
      </c>
      <c r="J932" s="25" t="str">
        <f>VLOOKUP(E932,Customers!$A$2:$I$1001,7,0)</f>
        <v>United States</v>
      </c>
      <c r="K932" s="23" t="str">
        <f>VLOOKUP(E932,Customers!$A$2:$I$1001,9,0)</f>
        <v>Yes</v>
      </c>
      <c r="L932" s="4" t="s">
        <v>245</v>
      </c>
      <c r="M932" s="4" t="str">
        <f>VLOOKUP(L932,Products!$A$2:$G$49,2,0)</f>
        <v>Excelsa</v>
      </c>
      <c r="N932" s="4" t="str">
        <f>VLOOKUP(L932,Products!$A$2:$G$49,3,0)</f>
        <v>Dark</v>
      </c>
      <c r="O932" s="25">
        <v>1</v>
      </c>
      <c r="P932" s="5">
        <f>INDEX([1]products!$A$1:$G$49,MATCH([1]orders!$D932,[1]products!$A$1:$A$49,0),MATCH([1]orders!K$1,[1]products!$A$1:$G$1,0))</f>
        <v>1</v>
      </c>
      <c r="Q932" s="6">
        <f>INDEX([1]products!$A$1:$G$49,MATCH([1]orders!$D932,[1]products!$A$1:$A$49,0),MATCH([1]orders!L$1,[1]products!$A$1:$G$1,0))</f>
        <v>12.15</v>
      </c>
      <c r="R932" s="6">
        <f t="shared" si="70"/>
        <v>12.15</v>
      </c>
      <c r="S932">
        <f>VLOOKUP(L932,Products!$A$2:$G$49,7,0)</f>
        <v>1.3365</v>
      </c>
      <c r="T932">
        <f t="shared" si="73"/>
        <v>1.3365</v>
      </c>
      <c r="U932" s="33">
        <f t="shared" si="74"/>
        <v>11</v>
      </c>
    </row>
    <row r="933" spans="1:21" x14ac:dyDescent="0.25">
      <c r="A933" s="1" t="s">
        <v>1796</v>
      </c>
      <c r="B933" s="28">
        <v>44607</v>
      </c>
      <c r="C933" s="21" t="str">
        <f t="shared" si="71"/>
        <v>2022</v>
      </c>
      <c r="D933" s="19" t="str">
        <f t="shared" si="72"/>
        <v>February</v>
      </c>
      <c r="E933" s="3" t="s">
        <v>1797</v>
      </c>
      <c r="F933" s="3" t="str">
        <f>VLOOKUP(E933,Customers!$A$2:$I$1001,2,0)</f>
        <v>Mallory Shrimpling</v>
      </c>
      <c r="G933" s="3" t="str">
        <f>VLOOKUP(E933,Customers!$A$2:$I$1001,3,0)</f>
        <v>UNKNOWN</v>
      </c>
      <c r="H933" s="3" t="str">
        <f>VLOOKUP(E933,Customers!$A$2:$I$1001,4,0)</f>
        <v>UNKNOWN</v>
      </c>
      <c r="I933" s="25" t="str">
        <f>VLOOKUP(E933,Customers!$A$2:$I$1001,6,0)</f>
        <v>Allentown</v>
      </c>
      <c r="J933" s="25" t="str">
        <f>VLOOKUP(E933,Customers!$A$2:$I$1001,7,0)</f>
        <v>United States</v>
      </c>
      <c r="K933" s="23" t="str">
        <f>VLOOKUP(E933,Customers!$A$2:$I$1001,9,0)</f>
        <v>Yes</v>
      </c>
      <c r="L933" s="4" t="s">
        <v>72</v>
      </c>
      <c r="M933" s="4" t="str">
        <f>VLOOKUP(L933,Products!$A$2:$G$49,2,0)</f>
        <v>Arabica</v>
      </c>
      <c r="N933" s="4" t="str">
        <f>VLOOKUP(L933,Products!$A$2:$G$49,3,0)</f>
        <v>Dark</v>
      </c>
      <c r="O933" s="25">
        <v>4</v>
      </c>
      <c r="P933" s="5">
        <f>INDEX([1]products!$A$1:$G$49,MATCH([1]orders!$D933,[1]products!$A$1:$A$49,0),MATCH([1]orders!K$1,[1]products!$A$1:$G$1,0))</f>
        <v>0.5</v>
      </c>
      <c r="Q933" s="6">
        <f>INDEX([1]products!$A$1:$G$49,MATCH([1]orders!$D933,[1]products!$A$1:$A$49,0),MATCH([1]orders!L$1,[1]products!$A$1:$G$1,0))</f>
        <v>5.97</v>
      </c>
      <c r="R933" s="6">
        <f t="shared" si="70"/>
        <v>23.88</v>
      </c>
      <c r="S933">
        <f>VLOOKUP(L933,Products!$A$2:$G$49,7,0)</f>
        <v>0.5373</v>
      </c>
      <c r="T933">
        <f t="shared" si="73"/>
        <v>2.1492</v>
      </c>
      <c r="U933" s="33">
        <f t="shared" si="74"/>
        <v>9.0000000000000018</v>
      </c>
    </row>
    <row r="934" spans="1:21" x14ac:dyDescent="0.25">
      <c r="A934" s="1" t="s">
        <v>1798</v>
      </c>
      <c r="B934" s="28">
        <v>44117</v>
      </c>
      <c r="C934" s="21" t="str">
        <f t="shared" si="71"/>
        <v>2020</v>
      </c>
      <c r="D934" s="19" t="str">
        <f t="shared" si="72"/>
        <v>October</v>
      </c>
      <c r="E934" s="3" t="s">
        <v>1799</v>
      </c>
      <c r="F934" s="3" t="str">
        <f>VLOOKUP(E934,Customers!$A$2:$I$1001,2,0)</f>
        <v>Barnett Sillis</v>
      </c>
      <c r="G934" s="3" t="str">
        <f>VLOOKUP(E934,Customers!$A$2:$I$1001,3,0)</f>
        <v>bsillispw@istockphoto.com</v>
      </c>
      <c r="H934" s="3" t="str">
        <f>VLOOKUP(E934,Customers!$A$2:$I$1001,4,0)</f>
        <v>+1 (305) 267-4961</v>
      </c>
      <c r="I934" s="25" t="str">
        <f>VLOOKUP(E934,Customers!$A$2:$I$1001,6,0)</f>
        <v>Miami</v>
      </c>
      <c r="J934" s="25" t="str">
        <f>VLOOKUP(E934,Customers!$A$2:$I$1001,7,0)</f>
        <v>United States</v>
      </c>
      <c r="K934" s="23" t="str">
        <f>VLOOKUP(E934,Customers!$A$2:$I$1001,9,0)</f>
        <v>No</v>
      </c>
      <c r="L934" s="4" t="s">
        <v>9</v>
      </c>
      <c r="M934" s="4" t="str">
        <f>VLOOKUP(L934,Products!$A$2:$G$49,2,0)</f>
        <v>Excelsa</v>
      </c>
      <c r="N934" s="4" t="str">
        <f>VLOOKUP(L934,Products!$A$2:$G$49,3,0)</f>
        <v>Medium</v>
      </c>
      <c r="O934" s="25">
        <v>4</v>
      </c>
      <c r="P934" s="5">
        <f>INDEX([1]products!$A$1:$G$49,MATCH([1]orders!$D934,[1]products!$A$1:$A$49,0),MATCH([1]orders!K$1,[1]products!$A$1:$G$1,0))</f>
        <v>1</v>
      </c>
      <c r="Q934" s="6">
        <f>INDEX([1]products!$A$1:$G$49,MATCH([1]orders!$D934,[1]products!$A$1:$A$49,0),MATCH([1]orders!L$1,[1]products!$A$1:$G$1,0))</f>
        <v>13.75</v>
      </c>
      <c r="R934" s="6">
        <f t="shared" si="70"/>
        <v>55</v>
      </c>
      <c r="S934">
        <f>VLOOKUP(L934,Products!$A$2:$G$49,7,0)</f>
        <v>1.5125</v>
      </c>
      <c r="T934">
        <f t="shared" si="73"/>
        <v>6.05</v>
      </c>
      <c r="U934" s="33">
        <f t="shared" si="74"/>
        <v>11</v>
      </c>
    </row>
    <row r="935" spans="1:21" x14ac:dyDescent="0.25">
      <c r="A935" s="1" t="s">
        <v>1800</v>
      </c>
      <c r="B935" s="28">
        <v>44557</v>
      </c>
      <c r="C935" s="21" t="str">
        <f t="shared" si="71"/>
        <v>2021</v>
      </c>
      <c r="D935" s="19" t="str">
        <f t="shared" si="72"/>
        <v>December</v>
      </c>
      <c r="E935" s="3" t="s">
        <v>1801</v>
      </c>
      <c r="F935" s="3" t="str">
        <f>VLOOKUP(E935,Customers!$A$2:$I$1001,2,0)</f>
        <v>Brenn Dundredge</v>
      </c>
      <c r="G935" s="3" t="str">
        <f>VLOOKUP(E935,Customers!$A$2:$I$1001,3,0)</f>
        <v>UNKNOWN</v>
      </c>
      <c r="H935" s="3" t="str">
        <f>VLOOKUP(E935,Customers!$A$2:$I$1001,4,0)</f>
        <v>+1 (405) 369-5173</v>
      </c>
      <c r="I935" s="25" t="str">
        <f>VLOOKUP(E935,Customers!$A$2:$I$1001,6,0)</f>
        <v>Oklahoma City</v>
      </c>
      <c r="J935" s="25" t="str">
        <f>VLOOKUP(E935,Customers!$A$2:$I$1001,7,0)</f>
        <v>United States</v>
      </c>
      <c r="K935" s="23" t="str">
        <f>VLOOKUP(E935,Customers!$A$2:$I$1001,9,0)</f>
        <v>Yes</v>
      </c>
      <c r="L935" s="4" t="s">
        <v>179</v>
      </c>
      <c r="M935" s="4" t="str">
        <f>VLOOKUP(L935,Products!$A$2:$G$49,2,0)</f>
        <v>Robusta</v>
      </c>
      <c r="N935" s="4" t="str">
        <f>VLOOKUP(L935,Products!$A$2:$G$49,3,0)</f>
        <v>Dark</v>
      </c>
      <c r="O935" s="25">
        <v>3</v>
      </c>
      <c r="P935" s="5">
        <f>INDEX([1]products!$A$1:$G$49,MATCH([1]orders!$D935,[1]products!$A$1:$A$49,0),MATCH([1]orders!K$1,[1]products!$A$1:$G$1,0))</f>
        <v>1</v>
      </c>
      <c r="Q935" s="6">
        <f>INDEX([1]products!$A$1:$G$49,MATCH([1]orders!$D935,[1]products!$A$1:$A$49,0),MATCH([1]orders!L$1,[1]products!$A$1:$G$1,0))</f>
        <v>8.9499999999999993</v>
      </c>
      <c r="R935" s="6">
        <f t="shared" si="70"/>
        <v>26.849999999999998</v>
      </c>
      <c r="S935">
        <f>VLOOKUP(L935,Products!$A$2:$G$49,7,0)</f>
        <v>0.53699999999999992</v>
      </c>
      <c r="T935">
        <f t="shared" si="73"/>
        <v>1.6109999999999998</v>
      </c>
      <c r="U935" s="33">
        <f t="shared" si="74"/>
        <v>6</v>
      </c>
    </row>
    <row r="936" spans="1:21" x14ac:dyDescent="0.25">
      <c r="A936" s="1" t="s">
        <v>1802</v>
      </c>
      <c r="B936" s="28">
        <v>44409</v>
      </c>
      <c r="C936" s="21" t="str">
        <f t="shared" si="71"/>
        <v>2021</v>
      </c>
      <c r="D936" s="19" t="str">
        <f t="shared" si="72"/>
        <v>August</v>
      </c>
      <c r="E936" s="3" t="s">
        <v>1803</v>
      </c>
      <c r="F936" s="3" t="str">
        <f>VLOOKUP(E936,Customers!$A$2:$I$1001,2,0)</f>
        <v>Read Cutts</v>
      </c>
      <c r="G936" s="3" t="str">
        <f>VLOOKUP(E936,Customers!$A$2:$I$1001,3,0)</f>
        <v>rcuttspy@techcrunch.com</v>
      </c>
      <c r="H936" s="3" t="str">
        <f>VLOOKUP(E936,Customers!$A$2:$I$1001,4,0)</f>
        <v>+1 (815) 758-8653</v>
      </c>
      <c r="I936" s="25" t="str">
        <f>VLOOKUP(E936,Customers!$A$2:$I$1001,6,0)</f>
        <v>Rockford</v>
      </c>
      <c r="J936" s="25" t="str">
        <f>VLOOKUP(E936,Customers!$A$2:$I$1001,7,0)</f>
        <v>United States</v>
      </c>
      <c r="K936" s="23" t="str">
        <f>VLOOKUP(E936,Customers!$A$2:$I$1001,9,0)</f>
        <v>No</v>
      </c>
      <c r="L936" s="4" t="s">
        <v>41</v>
      </c>
      <c r="M936" s="4" t="str">
        <f>VLOOKUP(L936,Products!$A$2:$G$49,2,0)</f>
        <v>Robusta</v>
      </c>
      <c r="N936" s="4" t="str">
        <f>VLOOKUP(L936,Products!$A$2:$G$49,3,0)</f>
        <v>Medium</v>
      </c>
      <c r="O936" s="25">
        <v>5</v>
      </c>
      <c r="P936" s="5">
        <f>INDEX([1]products!$A$1:$G$49,MATCH([1]orders!$D936,[1]products!$A$1:$A$49,0),MATCH([1]orders!K$1,[1]products!$A$1:$G$1,0))</f>
        <v>2.5</v>
      </c>
      <c r="Q936" s="6">
        <f>INDEX([1]products!$A$1:$G$49,MATCH([1]orders!$D936,[1]products!$A$1:$A$49,0),MATCH([1]orders!L$1,[1]products!$A$1:$G$1,0))</f>
        <v>22.884999999999998</v>
      </c>
      <c r="R936" s="6">
        <f t="shared" si="70"/>
        <v>114.42499999999998</v>
      </c>
      <c r="S936">
        <f>VLOOKUP(L936,Products!$A$2:$G$49,7,0)</f>
        <v>1.3730999999999998</v>
      </c>
      <c r="T936">
        <f t="shared" si="73"/>
        <v>6.865499999999999</v>
      </c>
      <c r="U936" s="33">
        <f t="shared" si="74"/>
        <v>6</v>
      </c>
    </row>
    <row r="937" spans="1:21" x14ac:dyDescent="0.25">
      <c r="A937" s="1" t="s">
        <v>1804</v>
      </c>
      <c r="B937" s="28">
        <v>44153</v>
      </c>
      <c r="C937" s="21" t="str">
        <f t="shared" si="71"/>
        <v>2020</v>
      </c>
      <c r="D937" s="19" t="str">
        <f t="shared" si="72"/>
        <v>November</v>
      </c>
      <c r="E937" s="3" t="s">
        <v>1805</v>
      </c>
      <c r="F937" s="3" t="str">
        <f>VLOOKUP(E937,Customers!$A$2:$I$1001,2,0)</f>
        <v>Michale Delves</v>
      </c>
      <c r="G937" s="3" t="str">
        <f>VLOOKUP(E937,Customers!$A$2:$I$1001,3,0)</f>
        <v>mdelvespz@nature.com</v>
      </c>
      <c r="H937" s="3" t="str">
        <f>VLOOKUP(E937,Customers!$A$2:$I$1001,4,0)</f>
        <v>+1 (334) 881-9178</v>
      </c>
      <c r="I937" s="25" t="str">
        <f>VLOOKUP(E937,Customers!$A$2:$I$1001,6,0)</f>
        <v>Montgomery</v>
      </c>
      <c r="J937" s="25" t="str">
        <f>VLOOKUP(E937,Customers!$A$2:$I$1001,7,0)</f>
        <v>United States</v>
      </c>
      <c r="K937" s="23" t="str">
        <f>VLOOKUP(E937,Customers!$A$2:$I$1001,9,0)</f>
        <v>Yes</v>
      </c>
      <c r="L937" s="4" t="s">
        <v>171</v>
      </c>
      <c r="M937" s="4" t="str">
        <f>VLOOKUP(L937,Products!$A$2:$G$49,2,0)</f>
        <v>Arabica</v>
      </c>
      <c r="N937" s="4" t="str">
        <f>VLOOKUP(L937,Products!$A$2:$G$49,3,0)</f>
        <v>Medium</v>
      </c>
      <c r="O937" s="25">
        <v>6</v>
      </c>
      <c r="P937" s="5">
        <f>INDEX([1]products!$A$1:$G$49,MATCH([1]orders!$D937,[1]products!$A$1:$A$49,0),MATCH([1]orders!K$1,[1]products!$A$1:$G$1,0))</f>
        <v>2.5</v>
      </c>
      <c r="Q937" s="6">
        <f>INDEX([1]products!$A$1:$G$49,MATCH([1]orders!$D937,[1]products!$A$1:$A$49,0),MATCH([1]orders!L$1,[1]products!$A$1:$G$1,0))</f>
        <v>25.874999999999996</v>
      </c>
      <c r="R937" s="6">
        <f t="shared" si="70"/>
        <v>155.24999999999997</v>
      </c>
      <c r="S937">
        <f>VLOOKUP(L937,Products!$A$2:$G$49,7,0)</f>
        <v>2.3287499999999994</v>
      </c>
      <c r="T937">
        <f t="shared" si="73"/>
        <v>13.972499999999997</v>
      </c>
      <c r="U937" s="33">
        <f t="shared" si="74"/>
        <v>9</v>
      </c>
    </row>
    <row r="938" spans="1:21" x14ac:dyDescent="0.25">
      <c r="A938" s="1" t="s">
        <v>1806</v>
      </c>
      <c r="B938" s="28">
        <v>44493</v>
      </c>
      <c r="C938" s="21" t="str">
        <f t="shared" si="71"/>
        <v>2021</v>
      </c>
      <c r="D938" s="19" t="str">
        <f t="shared" si="72"/>
        <v>October</v>
      </c>
      <c r="E938" s="3" t="s">
        <v>1807</v>
      </c>
      <c r="F938" s="3" t="str">
        <f>VLOOKUP(E938,Customers!$A$2:$I$1001,2,0)</f>
        <v>Devland Gritton</v>
      </c>
      <c r="G938" s="3" t="str">
        <f>VLOOKUP(E938,Customers!$A$2:$I$1001,3,0)</f>
        <v>dgrittonq0@nydailynews.com</v>
      </c>
      <c r="H938" s="3" t="str">
        <f>VLOOKUP(E938,Customers!$A$2:$I$1001,4,0)</f>
        <v>+1 (626) 968-5148</v>
      </c>
      <c r="I938" s="25" t="str">
        <f>VLOOKUP(E938,Customers!$A$2:$I$1001,6,0)</f>
        <v>Pasadena</v>
      </c>
      <c r="J938" s="25" t="str">
        <f>VLOOKUP(E938,Customers!$A$2:$I$1001,7,0)</f>
        <v>United States</v>
      </c>
      <c r="K938" s="23" t="str">
        <f>VLOOKUP(E938,Customers!$A$2:$I$1001,9,0)</f>
        <v>Yes</v>
      </c>
      <c r="L938" s="4" t="s">
        <v>123</v>
      </c>
      <c r="M938" s="4" t="str">
        <f>VLOOKUP(L938,Products!$A$2:$G$49,2,0)</f>
        <v>Liberica</v>
      </c>
      <c r="N938" s="4" t="str">
        <f>VLOOKUP(L938,Products!$A$2:$G$49,3,0)</f>
        <v>Dark</v>
      </c>
      <c r="O938" s="25">
        <v>3</v>
      </c>
      <c r="P938" s="5">
        <f>INDEX([1]products!$A$1:$G$49,MATCH([1]orders!$D938,[1]products!$A$1:$A$49,0),MATCH([1]orders!K$1,[1]products!$A$1:$G$1,0))</f>
        <v>0.5</v>
      </c>
      <c r="Q938" s="6">
        <f>INDEX([1]products!$A$1:$G$49,MATCH([1]orders!$D938,[1]products!$A$1:$A$49,0),MATCH([1]orders!L$1,[1]products!$A$1:$G$1,0))</f>
        <v>7.77</v>
      </c>
      <c r="R938" s="6">
        <f t="shared" si="70"/>
        <v>23.31</v>
      </c>
      <c r="S938">
        <f>VLOOKUP(L938,Products!$A$2:$G$49,7,0)</f>
        <v>1.0101</v>
      </c>
      <c r="T938">
        <f t="shared" si="73"/>
        <v>3.0303</v>
      </c>
      <c r="U938" s="33">
        <f t="shared" si="74"/>
        <v>13</v>
      </c>
    </row>
    <row r="939" spans="1:21" x14ac:dyDescent="0.25">
      <c r="A939" s="1" t="s">
        <v>1806</v>
      </c>
      <c r="B939" s="28">
        <v>44493</v>
      </c>
      <c r="C939" s="21" t="str">
        <f t="shared" si="71"/>
        <v>2021</v>
      </c>
      <c r="D939" s="19" t="str">
        <f t="shared" si="72"/>
        <v>October</v>
      </c>
      <c r="E939" s="3" t="s">
        <v>1807</v>
      </c>
      <c r="F939" s="3" t="str">
        <f>VLOOKUP(E939,Customers!$A$2:$I$1001,2,0)</f>
        <v>Devland Gritton</v>
      </c>
      <c r="G939" s="3" t="str">
        <f>VLOOKUP(E939,Customers!$A$2:$I$1001,3,0)</f>
        <v>dgrittonq0@nydailynews.com</v>
      </c>
      <c r="H939" s="3" t="str">
        <f>VLOOKUP(E939,Customers!$A$2:$I$1001,4,0)</f>
        <v>+1 (626) 968-5148</v>
      </c>
      <c r="I939" s="25" t="str">
        <f>VLOOKUP(E939,Customers!$A$2:$I$1001,6,0)</f>
        <v>Pasadena</v>
      </c>
      <c r="J939" s="25" t="str">
        <f>VLOOKUP(E939,Customers!$A$2:$I$1001,7,0)</f>
        <v>United States</v>
      </c>
      <c r="K939" s="23" t="str">
        <f>VLOOKUP(E939,Customers!$A$2:$I$1001,9,0)</f>
        <v>Yes</v>
      </c>
      <c r="L939" s="4" t="s">
        <v>41</v>
      </c>
      <c r="M939" s="4" t="str">
        <f>VLOOKUP(L939,Products!$A$2:$G$49,2,0)</f>
        <v>Robusta</v>
      </c>
      <c r="N939" s="4" t="str">
        <f>VLOOKUP(L939,Products!$A$2:$G$49,3,0)</f>
        <v>Medium</v>
      </c>
      <c r="O939" s="25">
        <v>4</v>
      </c>
      <c r="P939" s="5">
        <f>INDEX([1]products!$A$1:$G$49,MATCH([1]orders!$D939,[1]products!$A$1:$A$49,0),MATCH([1]orders!K$1,[1]products!$A$1:$G$1,0))</f>
        <v>2.5</v>
      </c>
      <c r="Q939" s="6">
        <f>INDEX([1]products!$A$1:$G$49,MATCH([1]orders!$D939,[1]products!$A$1:$A$49,0),MATCH([1]orders!L$1,[1]products!$A$1:$G$1,0))</f>
        <v>22.884999999999998</v>
      </c>
      <c r="R939" s="6">
        <f t="shared" si="70"/>
        <v>91.539999999999992</v>
      </c>
      <c r="S939">
        <f>VLOOKUP(L939,Products!$A$2:$G$49,7,0)</f>
        <v>1.3730999999999998</v>
      </c>
      <c r="T939">
        <f t="shared" si="73"/>
        <v>5.4923999999999991</v>
      </c>
      <c r="U939" s="33">
        <f t="shared" si="74"/>
        <v>6</v>
      </c>
    </row>
    <row r="940" spans="1:21" x14ac:dyDescent="0.25">
      <c r="A940" s="1" t="s">
        <v>1808</v>
      </c>
      <c r="B940" s="28">
        <v>43829</v>
      </c>
      <c r="C940" s="21" t="str">
        <f t="shared" si="71"/>
        <v>2019</v>
      </c>
      <c r="D940" s="19" t="str">
        <f t="shared" si="72"/>
        <v>December</v>
      </c>
      <c r="E940" s="3" t="s">
        <v>1809</v>
      </c>
      <c r="F940" s="3" t="str">
        <f>VLOOKUP(E940,Customers!$A$2:$I$1001,2,0)</f>
        <v>Dell Gut</v>
      </c>
      <c r="G940" s="3" t="str">
        <f>VLOOKUP(E940,Customers!$A$2:$I$1001,3,0)</f>
        <v>dgutq2@umich.edu</v>
      </c>
      <c r="H940" s="3" t="str">
        <f>VLOOKUP(E940,Customers!$A$2:$I$1001,4,0)</f>
        <v>+1 (281) 648-9915</v>
      </c>
      <c r="I940" s="25" t="str">
        <f>VLOOKUP(E940,Customers!$A$2:$I$1001,6,0)</f>
        <v>Houston</v>
      </c>
      <c r="J940" s="25" t="str">
        <f>VLOOKUP(E940,Customers!$A$2:$I$1001,7,0)</f>
        <v>United States</v>
      </c>
      <c r="K940" s="23" t="str">
        <f>VLOOKUP(E940,Customers!$A$2:$I$1001,9,0)</f>
        <v>Yes</v>
      </c>
      <c r="L940" s="4" t="s">
        <v>137</v>
      </c>
      <c r="M940" s="4" t="str">
        <f>VLOOKUP(L940,Products!$A$2:$G$49,2,0)</f>
        <v>Excelsa</v>
      </c>
      <c r="N940" s="4" t="str">
        <f>VLOOKUP(L940,Products!$A$2:$G$49,3,0)</f>
        <v>Light</v>
      </c>
      <c r="O940" s="25">
        <v>5</v>
      </c>
      <c r="P940" s="5">
        <f>INDEX([1]products!$A$1:$G$49,MATCH([1]orders!$D940,[1]products!$A$1:$A$49,0),MATCH([1]orders!K$1,[1]products!$A$1:$G$1,0))</f>
        <v>1</v>
      </c>
      <c r="Q940" s="6">
        <f>INDEX([1]products!$A$1:$G$49,MATCH([1]orders!$D940,[1]products!$A$1:$A$49,0),MATCH([1]orders!L$1,[1]products!$A$1:$G$1,0))</f>
        <v>14.85</v>
      </c>
      <c r="R940" s="6">
        <f t="shared" si="70"/>
        <v>74.25</v>
      </c>
      <c r="S940">
        <f>VLOOKUP(L940,Products!$A$2:$G$49,7,0)</f>
        <v>1.6335</v>
      </c>
      <c r="T940">
        <f t="shared" si="73"/>
        <v>8.1675000000000004</v>
      </c>
      <c r="U940" s="33">
        <f t="shared" si="74"/>
        <v>11</v>
      </c>
    </row>
    <row r="941" spans="1:21" x14ac:dyDescent="0.25">
      <c r="A941" s="1" t="s">
        <v>1810</v>
      </c>
      <c r="B941" s="28">
        <v>44229</v>
      </c>
      <c r="C941" s="21" t="str">
        <f t="shared" si="71"/>
        <v>2021</v>
      </c>
      <c r="D941" s="19" t="str">
        <f t="shared" si="72"/>
        <v>February</v>
      </c>
      <c r="E941" s="3" t="s">
        <v>1811</v>
      </c>
      <c r="F941" s="3" t="str">
        <f>VLOOKUP(E941,Customers!$A$2:$I$1001,2,0)</f>
        <v>Willy Pummery</v>
      </c>
      <c r="G941" s="3" t="str">
        <f>VLOOKUP(E941,Customers!$A$2:$I$1001,3,0)</f>
        <v>wpummeryq3@topsy.com</v>
      </c>
      <c r="H941" s="3" t="str">
        <f>VLOOKUP(E941,Customers!$A$2:$I$1001,4,0)</f>
        <v>+1 (231) 416-9594</v>
      </c>
      <c r="I941" s="25" t="str">
        <f>VLOOKUP(E941,Customers!$A$2:$I$1001,6,0)</f>
        <v>Muskegon</v>
      </c>
      <c r="J941" s="25" t="str">
        <f>VLOOKUP(E941,Customers!$A$2:$I$1001,7,0)</f>
        <v>United States</v>
      </c>
      <c r="K941" s="23" t="str">
        <f>VLOOKUP(E941,Customers!$A$2:$I$1001,9,0)</f>
        <v>No</v>
      </c>
      <c r="L941" s="4" t="s">
        <v>19</v>
      </c>
      <c r="M941" s="4" t="str">
        <f>VLOOKUP(L941,Products!$A$2:$G$49,2,0)</f>
        <v>Liberica</v>
      </c>
      <c r="N941" s="4" t="str">
        <f>VLOOKUP(L941,Products!$A$2:$G$49,3,0)</f>
        <v>Light</v>
      </c>
      <c r="O941" s="25">
        <v>6</v>
      </c>
      <c r="P941" s="5">
        <f>INDEX([1]products!$A$1:$G$49,MATCH([1]orders!$D941,[1]products!$A$1:$A$49,0),MATCH([1]orders!K$1,[1]products!$A$1:$G$1,0))</f>
        <v>0.2</v>
      </c>
      <c r="Q941" s="6">
        <f>INDEX([1]products!$A$1:$G$49,MATCH([1]orders!$D941,[1]products!$A$1:$A$49,0),MATCH([1]orders!L$1,[1]products!$A$1:$G$1,0))</f>
        <v>4.7549999999999999</v>
      </c>
      <c r="R941" s="6">
        <f t="shared" si="70"/>
        <v>28.53</v>
      </c>
      <c r="S941">
        <f>VLOOKUP(L941,Products!$A$2:$G$49,7,0)</f>
        <v>0.61814999999999998</v>
      </c>
      <c r="T941">
        <f t="shared" si="73"/>
        <v>3.7088999999999999</v>
      </c>
      <c r="U941" s="33">
        <f t="shared" si="74"/>
        <v>12.999999999999998</v>
      </c>
    </row>
    <row r="942" spans="1:21" x14ac:dyDescent="0.25">
      <c r="A942" s="1" t="s">
        <v>1812</v>
      </c>
      <c r="B942" s="28">
        <v>44332</v>
      </c>
      <c r="C942" s="21" t="str">
        <f t="shared" si="71"/>
        <v>2021</v>
      </c>
      <c r="D942" s="19" t="str">
        <f t="shared" si="72"/>
        <v>May</v>
      </c>
      <c r="E942" s="3" t="s">
        <v>1813</v>
      </c>
      <c r="F942" s="3" t="str">
        <f>VLOOKUP(E942,Customers!$A$2:$I$1001,2,0)</f>
        <v>Geoffrey Siuda</v>
      </c>
      <c r="G942" s="3" t="str">
        <f>VLOOKUP(E942,Customers!$A$2:$I$1001,3,0)</f>
        <v>gsiudaq4@nytimes.com</v>
      </c>
      <c r="H942" s="3" t="str">
        <f>VLOOKUP(E942,Customers!$A$2:$I$1001,4,0)</f>
        <v>+1 (202) 315-8135</v>
      </c>
      <c r="I942" s="25" t="str">
        <f>VLOOKUP(E942,Customers!$A$2:$I$1001,6,0)</f>
        <v>Washington</v>
      </c>
      <c r="J942" s="25" t="str">
        <f>VLOOKUP(E942,Customers!$A$2:$I$1001,7,0)</f>
        <v>United States</v>
      </c>
      <c r="K942" s="23" t="str">
        <f>VLOOKUP(E942,Customers!$A$2:$I$1001,9,0)</f>
        <v>Yes</v>
      </c>
      <c r="L942" s="4" t="s">
        <v>157</v>
      </c>
      <c r="M942" s="4" t="str">
        <f>VLOOKUP(L942,Products!$A$2:$G$49,2,0)</f>
        <v>Robusta</v>
      </c>
      <c r="N942" s="4" t="str">
        <f>VLOOKUP(L942,Products!$A$2:$G$49,3,0)</f>
        <v>Light</v>
      </c>
      <c r="O942" s="25">
        <v>2</v>
      </c>
      <c r="P942" s="5">
        <f>INDEX([1]products!$A$1:$G$49,MATCH([1]orders!$D942,[1]products!$A$1:$A$49,0),MATCH([1]orders!K$1,[1]products!$A$1:$G$1,0))</f>
        <v>0.5</v>
      </c>
      <c r="Q942" s="6">
        <f>INDEX([1]products!$A$1:$G$49,MATCH([1]orders!$D942,[1]products!$A$1:$A$49,0),MATCH([1]orders!L$1,[1]products!$A$1:$G$1,0))</f>
        <v>7.169999999999999</v>
      </c>
      <c r="R942" s="6">
        <f t="shared" si="70"/>
        <v>14.339999999999998</v>
      </c>
      <c r="S942">
        <f>VLOOKUP(L942,Products!$A$2:$G$49,7,0)</f>
        <v>0.43019999999999992</v>
      </c>
      <c r="T942">
        <f t="shared" si="73"/>
        <v>0.86039999999999983</v>
      </c>
      <c r="U942" s="33">
        <f t="shared" si="74"/>
        <v>6</v>
      </c>
    </row>
    <row r="943" spans="1:21" x14ac:dyDescent="0.25">
      <c r="A943" s="1" t="s">
        <v>1814</v>
      </c>
      <c r="B943" s="28">
        <v>44674</v>
      </c>
      <c r="C943" s="21" t="str">
        <f t="shared" si="71"/>
        <v>2022</v>
      </c>
      <c r="D943" s="19" t="str">
        <f t="shared" si="72"/>
        <v>April</v>
      </c>
      <c r="E943" s="3" t="s">
        <v>1815</v>
      </c>
      <c r="F943" s="3" t="str">
        <f>VLOOKUP(E943,Customers!$A$2:$I$1001,2,0)</f>
        <v>Henderson Crowne</v>
      </c>
      <c r="G943" s="3" t="str">
        <f>VLOOKUP(E943,Customers!$A$2:$I$1001,3,0)</f>
        <v>hcrowneq5@wufoo.com</v>
      </c>
      <c r="H943" s="3" t="str">
        <f>VLOOKUP(E943,Customers!$A$2:$I$1001,4,0)</f>
        <v>+353 (476) 525-5512</v>
      </c>
      <c r="I943" s="25" t="str">
        <f>VLOOKUP(E943,Customers!$A$2:$I$1001,6,0)</f>
        <v>Sallins</v>
      </c>
      <c r="J943" s="25" t="str">
        <f>VLOOKUP(E943,Customers!$A$2:$I$1001,7,0)</f>
        <v>Ireland</v>
      </c>
      <c r="K943" s="23" t="str">
        <f>VLOOKUP(E943,Customers!$A$2:$I$1001,9,0)</f>
        <v>Yes</v>
      </c>
      <c r="L943" s="4" t="s">
        <v>192</v>
      </c>
      <c r="M943" s="4" t="str">
        <f>VLOOKUP(L943,Products!$A$2:$G$49,2,0)</f>
        <v>Arabica</v>
      </c>
      <c r="N943" s="4" t="str">
        <f>VLOOKUP(L943,Products!$A$2:$G$49,3,0)</f>
        <v>Light</v>
      </c>
      <c r="O943" s="25">
        <v>2</v>
      </c>
      <c r="P943" s="5">
        <f>INDEX([1]products!$A$1:$G$49,MATCH([1]orders!$D943,[1]products!$A$1:$A$49,0),MATCH([1]orders!K$1,[1]products!$A$1:$G$1,0))</f>
        <v>0.5</v>
      </c>
      <c r="Q943" s="6">
        <f>INDEX([1]products!$A$1:$G$49,MATCH([1]orders!$D943,[1]products!$A$1:$A$49,0),MATCH([1]orders!L$1,[1]products!$A$1:$G$1,0))</f>
        <v>7.77</v>
      </c>
      <c r="R943" s="6">
        <f t="shared" si="70"/>
        <v>15.54</v>
      </c>
      <c r="S943">
        <f>VLOOKUP(L943,Products!$A$2:$G$49,7,0)</f>
        <v>0.69929999999999992</v>
      </c>
      <c r="T943">
        <f t="shared" si="73"/>
        <v>1.3985999999999998</v>
      </c>
      <c r="U943" s="33">
        <f t="shared" si="74"/>
        <v>9</v>
      </c>
    </row>
    <row r="944" spans="1:21" x14ac:dyDescent="0.25">
      <c r="A944" s="1" t="s">
        <v>1816</v>
      </c>
      <c r="B944" s="28">
        <v>44464</v>
      </c>
      <c r="C944" s="21" t="str">
        <f t="shared" si="71"/>
        <v>2021</v>
      </c>
      <c r="D944" s="19" t="str">
        <f t="shared" si="72"/>
        <v>September</v>
      </c>
      <c r="E944" s="3" t="s">
        <v>1817</v>
      </c>
      <c r="F944" s="3" t="str">
        <f>VLOOKUP(E944,Customers!$A$2:$I$1001,2,0)</f>
        <v>Vernor Pawsey</v>
      </c>
      <c r="G944" s="3" t="str">
        <f>VLOOKUP(E944,Customers!$A$2:$I$1001,3,0)</f>
        <v>vpawseyq6@tiny.cc</v>
      </c>
      <c r="H944" s="3" t="str">
        <f>VLOOKUP(E944,Customers!$A$2:$I$1001,4,0)</f>
        <v>+1 (478) 568-4944</v>
      </c>
      <c r="I944" s="25" t="str">
        <f>VLOOKUP(E944,Customers!$A$2:$I$1001,6,0)</f>
        <v>Macon</v>
      </c>
      <c r="J944" s="25" t="str">
        <f>VLOOKUP(E944,Customers!$A$2:$I$1001,7,0)</f>
        <v>United States</v>
      </c>
      <c r="K944" s="23" t="str">
        <f>VLOOKUP(E944,Customers!$A$2:$I$1001,9,0)</f>
        <v>No</v>
      </c>
      <c r="L944" s="4" t="s">
        <v>189</v>
      </c>
      <c r="M944" s="4" t="str">
        <f>VLOOKUP(L944,Products!$A$2:$G$49,2,0)</f>
        <v>Robusta</v>
      </c>
      <c r="N944" s="4" t="str">
        <f>VLOOKUP(L944,Products!$A$2:$G$49,3,0)</f>
        <v>Light</v>
      </c>
      <c r="O944" s="25">
        <v>3</v>
      </c>
      <c r="P944" s="5">
        <f>INDEX([1]products!$A$1:$G$49,MATCH([1]orders!$D944,[1]products!$A$1:$A$49,0),MATCH([1]orders!K$1,[1]products!$A$1:$G$1,0))</f>
        <v>1</v>
      </c>
      <c r="Q944" s="6">
        <f>INDEX([1]products!$A$1:$G$49,MATCH([1]orders!$D944,[1]products!$A$1:$A$49,0),MATCH([1]orders!L$1,[1]products!$A$1:$G$1,0))</f>
        <v>11.95</v>
      </c>
      <c r="R944" s="6">
        <f t="shared" si="70"/>
        <v>35.849999999999994</v>
      </c>
      <c r="S944">
        <f>VLOOKUP(L944,Products!$A$2:$G$49,7,0)</f>
        <v>0.71699999999999997</v>
      </c>
      <c r="T944">
        <f t="shared" si="73"/>
        <v>2.1509999999999998</v>
      </c>
      <c r="U944" s="33">
        <f t="shared" si="74"/>
        <v>6.0000000000000009</v>
      </c>
    </row>
    <row r="945" spans="1:21" x14ac:dyDescent="0.25">
      <c r="A945" s="1" t="s">
        <v>1818</v>
      </c>
      <c r="B945" s="28">
        <v>44719</v>
      </c>
      <c r="C945" s="21" t="str">
        <f t="shared" si="71"/>
        <v>2022</v>
      </c>
      <c r="D945" s="19" t="str">
        <f t="shared" si="72"/>
        <v>June</v>
      </c>
      <c r="E945" s="3" t="s">
        <v>1819</v>
      </c>
      <c r="F945" s="3" t="str">
        <f>VLOOKUP(E945,Customers!$A$2:$I$1001,2,0)</f>
        <v>Augustin Waterhouse</v>
      </c>
      <c r="G945" s="3" t="str">
        <f>VLOOKUP(E945,Customers!$A$2:$I$1001,3,0)</f>
        <v>awaterhouseq7@istockphoto.com</v>
      </c>
      <c r="H945" s="3" t="str">
        <f>VLOOKUP(E945,Customers!$A$2:$I$1001,4,0)</f>
        <v>+1 (318) 129-0806</v>
      </c>
      <c r="I945" s="25" t="str">
        <f>VLOOKUP(E945,Customers!$A$2:$I$1001,6,0)</f>
        <v>Shreveport</v>
      </c>
      <c r="J945" s="25" t="str">
        <f>VLOOKUP(E945,Customers!$A$2:$I$1001,7,0)</f>
        <v>United States</v>
      </c>
      <c r="K945" s="23" t="str">
        <f>VLOOKUP(E945,Customers!$A$2:$I$1001,9,0)</f>
        <v>No</v>
      </c>
      <c r="L945" s="4" t="s">
        <v>192</v>
      </c>
      <c r="M945" s="4" t="str">
        <f>VLOOKUP(L945,Products!$A$2:$G$49,2,0)</f>
        <v>Arabica</v>
      </c>
      <c r="N945" s="4" t="str">
        <f>VLOOKUP(L945,Products!$A$2:$G$49,3,0)</f>
        <v>Light</v>
      </c>
      <c r="O945" s="25">
        <v>6</v>
      </c>
      <c r="P945" s="5">
        <f>INDEX([1]products!$A$1:$G$49,MATCH([1]orders!$D945,[1]products!$A$1:$A$49,0),MATCH([1]orders!K$1,[1]products!$A$1:$G$1,0))</f>
        <v>0.5</v>
      </c>
      <c r="Q945" s="6">
        <f>INDEX([1]products!$A$1:$G$49,MATCH([1]orders!$D945,[1]products!$A$1:$A$49,0),MATCH([1]orders!L$1,[1]products!$A$1:$G$1,0))</f>
        <v>7.77</v>
      </c>
      <c r="R945" s="6">
        <f t="shared" si="70"/>
        <v>46.62</v>
      </c>
      <c r="S945">
        <f>VLOOKUP(L945,Products!$A$2:$G$49,7,0)</f>
        <v>0.69929999999999992</v>
      </c>
      <c r="T945">
        <f t="shared" si="73"/>
        <v>4.1957999999999993</v>
      </c>
      <c r="U945" s="33">
        <f t="shared" si="74"/>
        <v>9</v>
      </c>
    </row>
    <row r="946" spans="1:21" x14ac:dyDescent="0.25">
      <c r="A946" s="1" t="s">
        <v>1820</v>
      </c>
      <c r="B946" s="28">
        <v>44054</v>
      </c>
      <c r="C946" s="21" t="str">
        <f t="shared" si="71"/>
        <v>2020</v>
      </c>
      <c r="D946" s="19" t="str">
        <f t="shared" si="72"/>
        <v>August</v>
      </c>
      <c r="E946" s="3" t="s">
        <v>1821</v>
      </c>
      <c r="F946" s="3" t="str">
        <f>VLOOKUP(E946,Customers!$A$2:$I$1001,2,0)</f>
        <v>Fanchon Haughian</v>
      </c>
      <c r="G946" s="3" t="str">
        <f>VLOOKUP(E946,Customers!$A$2:$I$1001,3,0)</f>
        <v>fhaughianq8@1688.com</v>
      </c>
      <c r="H946" s="3" t="str">
        <f>VLOOKUP(E946,Customers!$A$2:$I$1001,4,0)</f>
        <v>+1 (253) 974-5538</v>
      </c>
      <c r="I946" s="25" t="str">
        <f>VLOOKUP(E946,Customers!$A$2:$I$1001,6,0)</f>
        <v>Tacoma</v>
      </c>
      <c r="J946" s="25" t="str">
        <f>VLOOKUP(E946,Customers!$A$2:$I$1001,7,0)</f>
        <v>United States</v>
      </c>
      <c r="K946" s="23" t="str">
        <f>VLOOKUP(E946,Customers!$A$2:$I$1001,9,0)</f>
        <v>No</v>
      </c>
      <c r="L946" s="4" t="s">
        <v>157</v>
      </c>
      <c r="M946" s="4" t="str">
        <f>VLOOKUP(L946,Products!$A$2:$G$49,2,0)</f>
        <v>Robusta</v>
      </c>
      <c r="N946" s="4" t="str">
        <f>VLOOKUP(L946,Products!$A$2:$G$49,3,0)</f>
        <v>Light</v>
      </c>
      <c r="O946" s="25">
        <v>5</v>
      </c>
      <c r="P946" s="5">
        <f>INDEX([1]products!$A$1:$G$49,MATCH([1]orders!$D946,[1]products!$A$1:$A$49,0),MATCH([1]orders!K$1,[1]products!$A$1:$G$1,0))</f>
        <v>0.5</v>
      </c>
      <c r="Q946" s="6">
        <f>INDEX([1]products!$A$1:$G$49,MATCH([1]orders!$D946,[1]products!$A$1:$A$49,0),MATCH([1]orders!L$1,[1]products!$A$1:$G$1,0))</f>
        <v>7.169999999999999</v>
      </c>
      <c r="R946" s="6">
        <f t="shared" si="70"/>
        <v>35.849999999999994</v>
      </c>
      <c r="S946">
        <f>VLOOKUP(L946,Products!$A$2:$G$49,7,0)</f>
        <v>0.43019999999999992</v>
      </c>
      <c r="T946">
        <f t="shared" si="73"/>
        <v>2.1509999999999998</v>
      </c>
      <c r="U946" s="33">
        <f t="shared" si="74"/>
        <v>6.0000000000000009</v>
      </c>
    </row>
    <row r="947" spans="1:21" x14ac:dyDescent="0.25">
      <c r="A947" s="1" t="s">
        <v>1822</v>
      </c>
      <c r="B947" s="28">
        <v>43524</v>
      </c>
      <c r="C947" s="21" t="str">
        <f t="shared" si="71"/>
        <v>2019</v>
      </c>
      <c r="D947" s="19" t="str">
        <f t="shared" si="72"/>
        <v>February</v>
      </c>
      <c r="E947" s="3" t="s">
        <v>1823</v>
      </c>
      <c r="F947" s="3" t="str">
        <f>VLOOKUP(E947,Customers!$A$2:$I$1001,2,0)</f>
        <v>Jaimie Hatz</v>
      </c>
      <c r="G947" s="3" t="str">
        <f>VLOOKUP(E947,Customers!$A$2:$I$1001,3,0)</f>
        <v>UNKNOWN</v>
      </c>
      <c r="H947" s="3" t="str">
        <f>VLOOKUP(E947,Customers!$A$2:$I$1001,4,0)</f>
        <v>+1 (915) 920-9318</v>
      </c>
      <c r="I947" s="25" t="str">
        <f>VLOOKUP(E947,Customers!$A$2:$I$1001,6,0)</f>
        <v>El Paso</v>
      </c>
      <c r="J947" s="25" t="str">
        <f>VLOOKUP(E947,Customers!$A$2:$I$1001,7,0)</f>
        <v>United States</v>
      </c>
      <c r="K947" s="23" t="str">
        <f>VLOOKUP(E947,Customers!$A$2:$I$1001,9,0)</f>
        <v>No</v>
      </c>
      <c r="L947" s="4" t="s">
        <v>109</v>
      </c>
      <c r="M947" s="4" t="str">
        <f>VLOOKUP(L947,Products!$A$2:$G$49,2,0)</f>
        <v>Liberica</v>
      </c>
      <c r="N947" s="4" t="str">
        <f>VLOOKUP(L947,Products!$A$2:$G$49,3,0)</f>
        <v>Dark</v>
      </c>
      <c r="O947" s="25">
        <v>4</v>
      </c>
      <c r="P947" s="5">
        <f>INDEX([1]products!$A$1:$G$49,MATCH([1]orders!$D947,[1]products!$A$1:$A$49,0),MATCH([1]orders!K$1,[1]products!$A$1:$G$1,0))</f>
        <v>2.5</v>
      </c>
      <c r="Q947" s="6">
        <f>INDEX([1]products!$A$1:$G$49,MATCH([1]orders!$D947,[1]products!$A$1:$A$49,0),MATCH([1]orders!L$1,[1]products!$A$1:$G$1,0))</f>
        <v>29.784999999999997</v>
      </c>
      <c r="R947" s="6">
        <f t="shared" si="70"/>
        <v>119.13999999999999</v>
      </c>
      <c r="S947">
        <f>VLOOKUP(L947,Products!$A$2:$G$49,7,0)</f>
        <v>3.8720499999999998</v>
      </c>
      <c r="T947">
        <f t="shared" si="73"/>
        <v>15.488199999999999</v>
      </c>
      <c r="U947" s="33">
        <f t="shared" si="74"/>
        <v>13</v>
      </c>
    </row>
    <row r="948" spans="1:21" x14ac:dyDescent="0.25">
      <c r="A948" s="1" t="s">
        <v>1824</v>
      </c>
      <c r="B948" s="28">
        <v>43719</v>
      </c>
      <c r="C948" s="21" t="str">
        <f t="shared" si="71"/>
        <v>2019</v>
      </c>
      <c r="D948" s="19" t="str">
        <f t="shared" si="72"/>
        <v>September</v>
      </c>
      <c r="E948" s="3" t="s">
        <v>1825</v>
      </c>
      <c r="F948" s="3" t="str">
        <f>VLOOKUP(E948,Customers!$A$2:$I$1001,2,0)</f>
        <v>Edeline Edney</v>
      </c>
      <c r="G948" s="3" t="str">
        <f>VLOOKUP(E948,Customers!$A$2:$I$1001,3,0)</f>
        <v>UNKNOWN</v>
      </c>
      <c r="H948" s="3" t="str">
        <f>VLOOKUP(E948,Customers!$A$2:$I$1001,4,0)</f>
        <v>+1 (205) 866-7629</v>
      </c>
      <c r="I948" s="25" t="str">
        <f>VLOOKUP(E948,Customers!$A$2:$I$1001,6,0)</f>
        <v>Birmingham</v>
      </c>
      <c r="J948" s="25" t="str">
        <f>VLOOKUP(E948,Customers!$A$2:$I$1001,7,0)</f>
        <v>United States</v>
      </c>
      <c r="K948" s="23" t="str">
        <f>VLOOKUP(E948,Customers!$A$2:$I$1001,9,0)</f>
        <v>No</v>
      </c>
      <c r="L948" s="4" t="s">
        <v>123</v>
      </c>
      <c r="M948" s="4" t="str">
        <f>VLOOKUP(L948,Products!$A$2:$G$49,2,0)</f>
        <v>Liberica</v>
      </c>
      <c r="N948" s="4" t="str">
        <f>VLOOKUP(L948,Products!$A$2:$G$49,3,0)</f>
        <v>Dark</v>
      </c>
      <c r="O948" s="25">
        <v>3</v>
      </c>
      <c r="P948" s="5">
        <f>INDEX([1]products!$A$1:$G$49,MATCH([1]orders!$D948,[1]products!$A$1:$A$49,0),MATCH([1]orders!K$1,[1]products!$A$1:$G$1,0))</f>
        <v>0.5</v>
      </c>
      <c r="Q948" s="6">
        <f>INDEX([1]products!$A$1:$G$49,MATCH([1]orders!$D948,[1]products!$A$1:$A$49,0),MATCH([1]orders!L$1,[1]products!$A$1:$G$1,0))</f>
        <v>7.77</v>
      </c>
      <c r="R948" s="6">
        <f t="shared" si="70"/>
        <v>23.31</v>
      </c>
      <c r="S948">
        <f>VLOOKUP(L948,Products!$A$2:$G$49,7,0)</f>
        <v>1.0101</v>
      </c>
      <c r="T948">
        <f t="shared" si="73"/>
        <v>3.0303</v>
      </c>
      <c r="U948" s="33">
        <f t="shared" si="74"/>
        <v>13</v>
      </c>
    </row>
    <row r="949" spans="1:21" x14ac:dyDescent="0.25">
      <c r="A949" s="1" t="s">
        <v>1826</v>
      </c>
      <c r="B949" s="28">
        <v>44294</v>
      </c>
      <c r="C949" s="21" t="str">
        <f t="shared" si="71"/>
        <v>2021</v>
      </c>
      <c r="D949" s="19" t="str">
        <f t="shared" si="72"/>
        <v>April</v>
      </c>
      <c r="E949" s="3" t="s">
        <v>1827</v>
      </c>
      <c r="F949" s="3" t="str">
        <f>VLOOKUP(E949,Customers!$A$2:$I$1001,2,0)</f>
        <v>Rickie Faltin</v>
      </c>
      <c r="G949" s="3" t="str">
        <f>VLOOKUP(E949,Customers!$A$2:$I$1001,3,0)</f>
        <v>rfaltinqb@topsy.com</v>
      </c>
      <c r="H949" s="3" t="str">
        <f>VLOOKUP(E949,Customers!$A$2:$I$1001,4,0)</f>
        <v>UNKNOWN</v>
      </c>
      <c r="I949" s="25" t="str">
        <f>VLOOKUP(E949,Customers!$A$2:$I$1001,6,0)</f>
        <v>Portumna</v>
      </c>
      <c r="J949" s="25" t="str">
        <f>VLOOKUP(E949,Customers!$A$2:$I$1001,7,0)</f>
        <v>Ireland</v>
      </c>
      <c r="K949" s="23" t="str">
        <f>VLOOKUP(E949,Customers!$A$2:$I$1001,9,0)</f>
        <v>No</v>
      </c>
      <c r="L949" s="4" t="s">
        <v>61</v>
      </c>
      <c r="M949" s="4" t="str">
        <f>VLOOKUP(L949,Products!$A$2:$G$49,2,0)</f>
        <v>Arabica</v>
      </c>
      <c r="N949" s="4" t="str">
        <f>VLOOKUP(L949,Products!$A$2:$G$49,3,0)</f>
        <v>Medium</v>
      </c>
      <c r="O949" s="25">
        <v>1</v>
      </c>
      <c r="P949" s="5">
        <f>INDEX([1]products!$A$1:$G$49,MATCH([1]orders!$D949,[1]products!$A$1:$A$49,0),MATCH([1]orders!K$1,[1]products!$A$1:$G$1,0))</f>
        <v>1</v>
      </c>
      <c r="Q949" s="6">
        <f>INDEX([1]products!$A$1:$G$49,MATCH([1]orders!$D949,[1]products!$A$1:$A$49,0),MATCH([1]orders!L$1,[1]products!$A$1:$G$1,0))</f>
        <v>11.25</v>
      </c>
      <c r="R949" s="6">
        <f t="shared" si="70"/>
        <v>11.25</v>
      </c>
      <c r="S949">
        <f>VLOOKUP(L949,Products!$A$2:$G$49,7,0)</f>
        <v>1.0125</v>
      </c>
      <c r="T949">
        <f t="shared" si="73"/>
        <v>1.0125</v>
      </c>
      <c r="U949" s="33">
        <f t="shared" si="74"/>
        <v>9</v>
      </c>
    </row>
    <row r="950" spans="1:21" x14ac:dyDescent="0.25">
      <c r="A950" s="1" t="s">
        <v>1828</v>
      </c>
      <c r="B950" s="28">
        <v>44445</v>
      </c>
      <c r="C950" s="21" t="str">
        <f t="shared" si="71"/>
        <v>2021</v>
      </c>
      <c r="D950" s="19" t="str">
        <f t="shared" si="72"/>
        <v>September</v>
      </c>
      <c r="E950" s="3" t="s">
        <v>1829</v>
      </c>
      <c r="F950" s="3" t="str">
        <f>VLOOKUP(E950,Customers!$A$2:$I$1001,2,0)</f>
        <v>Gnni Cheeke</v>
      </c>
      <c r="G950" s="3" t="str">
        <f>VLOOKUP(E950,Customers!$A$2:$I$1001,3,0)</f>
        <v>gcheekeqc@sitemeter.com</v>
      </c>
      <c r="H950" s="3" t="str">
        <f>VLOOKUP(E950,Customers!$A$2:$I$1001,4,0)</f>
        <v>+44 (677) 694-1404</v>
      </c>
      <c r="I950" s="25" t="str">
        <f>VLOOKUP(E950,Customers!$A$2:$I$1001,6,0)</f>
        <v>London</v>
      </c>
      <c r="J950" s="25" t="str">
        <f>VLOOKUP(E950,Customers!$A$2:$I$1001,7,0)</f>
        <v>United Kingdom</v>
      </c>
      <c r="K950" s="23" t="str">
        <f>VLOOKUP(E950,Customers!$A$2:$I$1001,9,0)</f>
        <v>Yes</v>
      </c>
      <c r="L950" s="4" t="s">
        <v>530</v>
      </c>
      <c r="M950" s="4" t="str">
        <f>VLOOKUP(L950,Products!$A$2:$G$49,2,0)</f>
        <v>Excelsa</v>
      </c>
      <c r="N950" s="4" t="str">
        <f>VLOOKUP(L950,Products!$A$2:$G$49,3,0)</f>
        <v>Dark</v>
      </c>
      <c r="O950" s="25">
        <v>3</v>
      </c>
      <c r="P950" s="5">
        <f>INDEX([1]products!$A$1:$G$49,MATCH([1]orders!$D950,[1]products!$A$1:$A$49,0),MATCH([1]orders!K$1,[1]products!$A$1:$G$1,0))</f>
        <v>2.5</v>
      </c>
      <c r="Q950" s="6">
        <f>INDEX([1]products!$A$1:$G$49,MATCH([1]orders!$D950,[1]products!$A$1:$A$49,0),MATCH([1]orders!L$1,[1]products!$A$1:$G$1,0))</f>
        <v>27.945</v>
      </c>
      <c r="R950" s="6">
        <f t="shared" si="70"/>
        <v>83.835000000000008</v>
      </c>
      <c r="S950">
        <f>VLOOKUP(L950,Products!$A$2:$G$49,7,0)</f>
        <v>3.07395</v>
      </c>
      <c r="T950">
        <f t="shared" si="73"/>
        <v>9.2218499999999999</v>
      </c>
      <c r="U950" s="33">
        <f t="shared" si="74"/>
        <v>10.999999999999998</v>
      </c>
    </row>
    <row r="951" spans="1:21" x14ac:dyDescent="0.25">
      <c r="A951" s="1" t="s">
        <v>1830</v>
      </c>
      <c r="B951" s="28">
        <v>44449</v>
      </c>
      <c r="C951" s="21" t="str">
        <f t="shared" si="71"/>
        <v>2021</v>
      </c>
      <c r="D951" s="19" t="str">
        <f t="shared" si="72"/>
        <v>September</v>
      </c>
      <c r="E951" s="3" t="s">
        <v>1831</v>
      </c>
      <c r="F951" s="3" t="str">
        <f>VLOOKUP(E951,Customers!$A$2:$I$1001,2,0)</f>
        <v>Gwenni Ratt</v>
      </c>
      <c r="G951" s="3" t="str">
        <f>VLOOKUP(E951,Customers!$A$2:$I$1001,3,0)</f>
        <v>grattqd@phpbb.com</v>
      </c>
      <c r="H951" s="3" t="str">
        <f>VLOOKUP(E951,Customers!$A$2:$I$1001,4,0)</f>
        <v>+353 (878) 618-9723</v>
      </c>
      <c r="I951" s="25" t="str">
        <f>VLOOKUP(E951,Customers!$A$2:$I$1001,6,0)</f>
        <v>Castlemartyr</v>
      </c>
      <c r="J951" s="25" t="str">
        <f>VLOOKUP(E951,Customers!$A$2:$I$1001,7,0)</f>
        <v>Ireland</v>
      </c>
      <c r="K951" s="23" t="str">
        <f>VLOOKUP(E951,Customers!$A$2:$I$1001,9,0)</f>
        <v>No</v>
      </c>
      <c r="L951" s="4" t="s">
        <v>10</v>
      </c>
      <c r="M951" s="4" t="str">
        <f>VLOOKUP(L951,Products!$A$2:$G$49,2,0)</f>
        <v>Robusta</v>
      </c>
      <c r="N951" s="4" t="str">
        <f>VLOOKUP(L951,Products!$A$2:$G$49,3,0)</f>
        <v>Light</v>
      </c>
      <c r="O951" s="25">
        <v>4</v>
      </c>
      <c r="P951" s="5">
        <f>INDEX([1]products!$A$1:$G$49,MATCH([1]orders!$D951,[1]products!$A$1:$A$49,0),MATCH([1]orders!K$1,[1]products!$A$1:$G$1,0))</f>
        <v>2.5</v>
      </c>
      <c r="Q951" s="6">
        <f>INDEX([1]products!$A$1:$G$49,MATCH([1]orders!$D951,[1]products!$A$1:$A$49,0),MATCH([1]orders!L$1,[1]products!$A$1:$G$1,0))</f>
        <v>27.484999999999996</v>
      </c>
      <c r="R951" s="6">
        <f t="shared" si="70"/>
        <v>109.93999999999998</v>
      </c>
      <c r="S951">
        <f>VLOOKUP(L951,Products!$A$2:$G$49,7,0)</f>
        <v>1.6490999999999998</v>
      </c>
      <c r="T951">
        <f t="shared" si="73"/>
        <v>6.5963999999999992</v>
      </c>
      <c r="U951" s="33">
        <f t="shared" si="74"/>
        <v>6.0000000000000009</v>
      </c>
    </row>
    <row r="952" spans="1:21" x14ac:dyDescent="0.25">
      <c r="A952" s="1" t="s">
        <v>1832</v>
      </c>
      <c r="B952" s="28">
        <v>44703</v>
      </c>
      <c r="C952" s="21" t="str">
        <f t="shared" si="71"/>
        <v>2022</v>
      </c>
      <c r="D952" s="19" t="str">
        <f t="shared" si="72"/>
        <v>May</v>
      </c>
      <c r="E952" s="3" t="s">
        <v>1833</v>
      </c>
      <c r="F952" s="3" t="str">
        <f>VLOOKUP(E952,Customers!$A$2:$I$1001,2,0)</f>
        <v>Johnath Fairebrother</v>
      </c>
      <c r="G952" s="3" t="str">
        <f>VLOOKUP(E952,Customers!$A$2:$I$1001,3,0)</f>
        <v>UNKNOWN</v>
      </c>
      <c r="H952" s="3" t="str">
        <f>VLOOKUP(E952,Customers!$A$2:$I$1001,4,0)</f>
        <v>+1 (302) 159-1841</v>
      </c>
      <c r="I952" s="25" t="str">
        <f>VLOOKUP(E952,Customers!$A$2:$I$1001,6,0)</f>
        <v>Wilmington</v>
      </c>
      <c r="J952" s="25" t="str">
        <f>VLOOKUP(E952,Customers!$A$2:$I$1001,7,0)</f>
        <v>United States</v>
      </c>
      <c r="K952" s="23" t="str">
        <f>VLOOKUP(E952,Customers!$A$2:$I$1001,9,0)</f>
        <v>Yes</v>
      </c>
      <c r="L952" s="4" t="s">
        <v>182</v>
      </c>
      <c r="M952" s="4" t="str">
        <f>VLOOKUP(L952,Products!$A$2:$G$49,2,0)</f>
        <v>Robusta</v>
      </c>
      <c r="N952" s="4" t="str">
        <f>VLOOKUP(L952,Products!$A$2:$G$49,3,0)</f>
        <v>Light</v>
      </c>
      <c r="O952" s="25">
        <v>4</v>
      </c>
      <c r="P952" s="5">
        <f>INDEX([1]products!$A$1:$G$49,MATCH([1]orders!$D952,[1]products!$A$1:$A$49,0),MATCH([1]orders!K$1,[1]products!$A$1:$G$1,0))</f>
        <v>0.2</v>
      </c>
      <c r="Q952" s="6">
        <f>INDEX([1]products!$A$1:$G$49,MATCH([1]orders!$D952,[1]products!$A$1:$A$49,0),MATCH([1]orders!L$1,[1]products!$A$1:$G$1,0))</f>
        <v>3.5849999999999995</v>
      </c>
      <c r="R952" s="6">
        <f t="shared" si="70"/>
        <v>14.339999999999998</v>
      </c>
      <c r="S952">
        <f>VLOOKUP(L952,Products!$A$2:$G$49,7,0)</f>
        <v>0.21509999999999996</v>
      </c>
      <c r="T952">
        <f t="shared" si="73"/>
        <v>0.86039999999999983</v>
      </c>
      <c r="U952" s="33">
        <f t="shared" si="74"/>
        <v>6</v>
      </c>
    </row>
    <row r="953" spans="1:21" x14ac:dyDescent="0.25">
      <c r="A953" s="1" t="s">
        <v>1834</v>
      </c>
      <c r="B953" s="28">
        <v>44092</v>
      </c>
      <c r="C953" s="21" t="str">
        <f t="shared" si="71"/>
        <v>2020</v>
      </c>
      <c r="D953" s="19" t="str">
        <f t="shared" si="72"/>
        <v>September</v>
      </c>
      <c r="E953" s="3" t="s">
        <v>1835</v>
      </c>
      <c r="F953" s="3" t="str">
        <f>VLOOKUP(E953,Customers!$A$2:$I$1001,2,0)</f>
        <v>Ingamar Eberlein</v>
      </c>
      <c r="G953" s="3" t="str">
        <f>VLOOKUP(E953,Customers!$A$2:$I$1001,3,0)</f>
        <v>ieberleinqf@hc360.com</v>
      </c>
      <c r="H953" s="3" t="str">
        <f>VLOOKUP(E953,Customers!$A$2:$I$1001,4,0)</f>
        <v>+1 (717) 323-3451</v>
      </c>
      <c r="I953" s="25" t="str">
        <f>VLOOKUP(E953,Customers!$A$2:$I$1001,6,0)</f>
        <v>Harrisburg</v>
      </c>
      <c r="J953" s="25" t="str">
        <f>VLOOKUP(E953,Customers!$A$2:$I$1001,7,0)</f>
        <v>United States</v>
      </c>
      <c r="K953" s="23" t="str">
        <f>VLOOKUP(E953,Customers!$A$2:$I$1001,9,0)</f>
        <v>No</v>
      </c>
      <c r="L953" s="4" t="s">
        <v>182</v>
      </c>
      <c r="M953" s="4" t="str">
        <f>VLOOKUP(L953,Products!$A$2:$G$49,2,0)</f>
        <v>Robusta</v>
      </c>
      <c r="N953" s="4" t="str">
        <f>VLOOKUP(L953,Products!$A$2:$G$49,3,0)</f>
        <v>Light</v>
      </c>
      <c r="O953" s="25">
        <v>6</v>
      </c>
      <c r="P953" s="5">
        <f>INDEX([1]products!$A$1:$G$49,MATCH([1]orders!$D953,[1]products!$A$1:$A$49,0),MATCH([1]orders!K$1,[1]products!$A$1:$G$1,0))</f>
        <v>0.2</v>
      </c>
      <c r="Q953" s="6">
        <f>INDEX([1]products!$A$1:$G$49,MATCH([1]orders!$D953,[1]products!$A$1:$A$49,0),MATCH([1]orders!L$1,[1]products!$A$1:$G$1,0))</f>
        <v>3.5849999999999995</v>
      </c>
      <c r="R953" s="6">
        <f t="shared" si="70"/>
        <v>21.509999999999998</v>
      </c>
      <c r="S953">
        <f>VLOOKUP(L953,Products!$A$2:$G$49,7,0)</f>
        <v>0.21509999999999996</v>
      </c>
      <c r="T953">
        <f t="shared" si="73"/>
        <v>1.2905999999999997</v>
      </c>
      <c r="U953" s="33">
        <f t="shared" si="74"/>
        <v>5.9999999999999991</v>
      </c>
    </row>
    <row r="954" spans="1:21" x14ac:dyDescent="0.25">
      <c r="A954" s="1" t="s">
        <v>1836</v>
      </c>
      <c r="B954" s="28">
        <v>44439</v>
      </c>
      <c r="C954" s="21" t="str">
        <f t="shared" si="71"/>
        <v>2021</v>
      </c>
      <c r="D954" s="19" t="str">
        <f t="shared" si="72"/>
        <v>August</v>
      </c>
      <c r="E954" s="3" t="s">
        <v>1837</v>
      </c>
      <c r="F954" s="3" t="str">
        <f>VLOOKUP(E954,Customers!$A$2:$I$1001,2,0)</f>
        <v>Jilly Dreng</v>
      </c>
      <c r="G954" s="3" t="str">
        <f>VLOOKUP(E954,Customers!$A$2:$I$1001,3,0)</f>
        <v>jdrengqg@uiuc.edu</v>
      </c>
      <c r="H954" s="3" t="str">
        <f>VLOOKUP(E954,Customers!$A$2:$I$1001,4,0)</f>
        <v>+353 (350) 974-1489</v>
      </c>
      <c r="I954" s="25" t="str">
        <f>VLOOKUP(E954,Customers!$A$2:$I$1001,6,0)</f>
        <v>Sallins</v>
      </c>
      <c r="J954" s="25" t="str">
        <f>VLOOKUP(E954,Customers!$A$2:$I$1001,7,0)</f>
        <v>Ireland</v>
      </c>
      <c r="K954" s="23" t="str">
        <f>VLOOKUP(E954,Customers!$A$2:$I$1001,9,0)</f>
        <v>Yes</v>
      </c>
      <c r="L954" s="4" t="s">
        <v>61</v>
      </c>
      <c r="M954" s="4" t="str">
        <f>VLOOKUP(L954,Products!$A$2:$G$49,2,0)</f>
        <v>Arabica</v>
      </c>
      <c r="N954" s="4" t="str">
        <f>VLOOKUP(L954,Products!$A$2:$G$49,3,0)</f>
        <v>Medium</v>
      </c>
      <c r="O954" s="25">
        <v>2</v>
      </c>
      <c r="P954" s="5">
        <f>INDEX([1]products!$A$1:$G$49,MATCH([1]orders!$D954,[1]products!$A$1:$A$49,0),MATCH([1]orders!K$1,[1]products!$A$1:$G$1,0))</f>
        <v>1</v>
      </c>
      <c r="Q954" s="6">
        <f>INDEX([1]products!$A$1:$G$49,MATCH([1]orders!$D954,[1]products!$A$1:$A$49,0),MATCH([1]orders!L$1,[1]products!$A$1:$G$1,0))</f>
        <v>11.25</v>
      </c>
      <c r="R954" s="6">
        <f t="shared" si="70"/>
        <v>22.5</v>
      </c>
      <c r="S954">
        <f>VLOOKUP(L954,Products!$A$2:$G$49,7,0)</f>
        <v>1.0125</v>
      </c>
      <c r="T954">
        <f t="shared" si="73"/>
        <v>2.0249999999999999</v>
      </c>
      <c r="U954" s="33">
        <f t="shared" si="74"/>
        <v>9</v>
      </c>
    </row>
    <row r="955" spans="1:21" x14ac:dyDescent="0.25">
      <c r="A955" s="1" t="s">
        <v>1838</v>
      </c>
      <c r="B955" s="28">
        <v>44582</v>
      </c>
      <c r="C955" s="21" t="str">
        <f t="shared" si="71"/>
        <v>2022</v>
      </c>
      <c r="D955" s="19" t="str">
        <f t="shared" si="72"/>
        <v>January</v>
      </c>
      <c r="E955" s="3" t="s">
        <v>1801</v>
      </c>
      <c r="F955" s="3" t="str">
        <f>VLOOKUP(E955,Customers!$A$2:$I$1001,2,0)</f>
        <v>Brenn Dundredge</v>
      </c>
      <c r="G955" s="3" t="str">
        <f>VLOOKUP(E955,Customers!$A$2:$I$1001,3,0)</f>
        <v>UNKNOWN</v>
      </c>
      <c r="H955" s="3" t="str">
        <f>VLOOKUP(E955,Customers!$A$2:$I$1001,4,0)</f>
        <v>+1 (405) 369-5173</v>
      </c>
      <c r="I955" s="25" t="str">
        <f>VLOOKUP(E955,Customers!$A$2:$I$1001,6,0)</f>
        <v>Oklahoma City</v>
      </c>
      <c r="J955" s="25" t="str">
        <f>VLOOKUP(E955,Customers!$A$2:$I$1001,7,0)</f>
        <v>United States</v>
      </c>
      <c r="K955" s="23" t="str">
        <f>VLOOKUP(E955,Customers!$A$2:$I$1001,9,0)</f>
        <v>Yes</v>
      </c>
      <c r="L955" s="4" t="s">
        <v>115</v>
      </c>
      <c r="M955" s="4" t="str">
        <f>VLOOKUP(L955,Products!$A$2:$G$49,2,0)</f>
        <v>Arabica</v>
      </c>
      <c r="N955" s="4" t="str">
        <f>VLOOKUP(L955,Products!$A$2:$G$49,3,0)</f>
        <v>Light</v>
      </c>
      <c r="O955" s="25">
        <v>1</v>
      </c>
      <c r="P955" s="5">
        <f>INDEX([1]products!$A$1:$G$49,MATCH([1]orders!$D955,[1]products!$A$1:$A$49,0),MATCH([1]orders!K$1,[1]products!$A$1:$G$1,0))</f>
        <v>0.2</v>
      </c>
      <c r="Q955" s="6">
        <f>INDEX([1]products!$A$1:$G$49,MATCH([1]orders!$D955,[1]products!$A$1:$A$49,0),MATCH([1]orders!L$1,[1]products!$A$1:$G$1,0))</f>
        <v>3.8849999999999998</v>
      </c>
      <c r="R955" s="6">
        <f t="shared" si="70"/>
        <v>3.8849999999999998</v>
      </c>
      <c r="S955">
        <f>VLOOKUP(L955,Products!$A$2:$G$49,7,0)</f>
        <v>0.34964999999999996</v>
      </c>
      <c r="T955">
        <f t="shared" si="73"/>
        <v>0.34964999999999996</v>
      </c>
      <c r="U955" s="33">
        <f t="shared" si="74"/>
        <v>9</v>
      </c>
    </row>
    <row r="956" spans="1:21" x14ac:dyDescent="0.25">
      <c r="A956" s="1" t="s">
        <v>1839</v>
      </c>
      <c r="B956" s="28">
        <v>44722</v>
      </c>
      <c r="C956" s="21" t="str">
        <f t="shared" si="71"/>
        <v>2022</v>
      </c>
      <c r="D956" s="19" t="str">
        <f t="shared" si="72"/>
        <v>June</v>
      </c>
      <c r="E956" s="3" t="s">
        <v>1801</v>
      </c>
      <c r="F956" s="3" t="str">
        <f>VLOOKUP(E956,Customers!$A$2:$I$1001,2,0)</f>
        <v>Brenn Dundredge</v>
      </c>
      <c r="G956" s="3" t="str">
        <f>VLOOKUP(E956,Customers!$A$2:$I$1001,3,0)</f>
        <v>UNKNOWN</v>
      </c>
      <c r="H956" s="3" t="str">
        <f>VLOOKUP(E956,Customers!$A$2:$I$1001,4,0)</f>
        <v>+1 (405) 369-5173</v>
      </c>
      <c r="I956" s="25" t="str">
        <f>VLOOKUP(E956,Customers!$A$2:$I$1001,6,0)</f>
        <v>Oklahoma City</v>
      </c>
      <c r="J956" s="25" t="str">
        <f>VLOOKUP(E956,Customers!$A$2:$I$1001,7,0)</f>
        <v>United States</v>
      </c>
      <c r="K956" s="23" t="str">
        <f>VLOOKUP(E956,Customers!$A$2:$I$1001,9,0)</f>
        <v>Yes</v>
      </c>
      <c r="L956" s="4" t="s">
        <v>530</v>
      </c>
      <c r="M956" s="4" t="str">
        <f>VLOOKUP(L956,Products!$A$2:$G$49,2,0)</f>
        <v>Excelsa</v>
      </c>
      <c r="N956" s="4" t="str">
        <f>VLOOKUP(L956,Products!$A$2:$G$49,3,0)</f>
        <v>Dark</v>
      </c>
      <c r="O956" s="25">
        <v>1</v>
      </c>
      <c r="P956" s="5">
        <f>INDEX([1]products!$A$1:$G$49,MATCH([1]orders!$D956,[1]products!$A$1:$A$49,0),MATCH([1]orders!K$1,[1]products!$A$1:$G$1,0))</f>
        <v>2.5</v>
      </c>
      <c r="Q956" s="6">
        <f>INDEX([1]products!$A$1:$G$49,MATCH([1]orders!$D956,[1]products!$A$1:$A$49,0),MATCH([1]orders!L$1,[1]products!$A$1:$G$1,0))</f>
        <v>27.945</v>
      </c>
      <c r="R956" s="6">
        <f t="shared" si="70"/>
        <v>27.945</v>
      </c>
      <c r="S956">
        <f>VLOOKUP(L956,Products!$A$2:$G$49,7,0)</f>
        <v>3.07395</v>
      </c>
      <c r="T956">
        <f t="shared" si="73"/>
        <v>3.07395</v>
      </c>
      <c r="U956" s="33">
        <f t="shared" si="74"/>
        <v>11</v>
      </c>
    </row>
    <row r="957" spans="1:21" x14ac:dyDescent="0.25">
      <c r="A957" s="1" t="s">
        <v>1840</v>
      </c>
      <c r="B957" s="28">
        <v>43582</v>
      </c>
      <c r="C957" s="21" t="str">
        <f t="shared" si="71"/>
        <v>2019</v>
      </c>
      <c r="D957" s="19" t="str">
        <f t="shared" si="72"/>
        <v>April</v>
      </c>
      <c r="E957" s="3" t="s">
        <v>1801</v>
      </c>
      <c r="F957" s="3" t="str">
        <f>VLOOKUP(E957,Customers!$A$2:$I$1001,2,0)</f>
        <v>Brenn Dundredge</v>
      </c>
      <c r="G957" s="3" t="str">
        <f>VLOOKUP(E957,Customers!$A$2:$I$1001,3,0)</f>
        <v>UNKNOWN</v>
      </c>
      <c r="H957" s="3" t="str">
        <f>VLOOKUP(E957,Customers!$A$2:$I$1001,4,0)</f>
        <v>+1 (405) 369-5173</v>
      </c>
      <c r="I957" s="25" t="str">
        <f>VLOOKUP(E957,Customers!$A$2:$I$1001,6,0)</f>
        <v>Oklahoma City</v>
      </c>
      <c r="J957" s="25" t="str">
        <f>VLOOKUP(E957,Customers!$A$2:$I$1001,7,0)</f>
        <v>United States</v>
      </c>
      <c r="K957" s="23" t="str">
        <f>VLOOKUP(E957,Customers!$A$2:$I$1001,9,0)</f>
        <v>Yes</v>
      </c>
      <c r="L957" s="4" t="s">
        <v>30</v>
      </c>
      <c r="M957" s="4" t="str">
        <f>VLOOKUP(L957,Products!$A$2:$G$49,2,0)</f>
        <v>Excelsa</v>
      </c>
      <c r="N957" s="4" t="str">
        <f>VLOOKUP(L957,Products!$A$2:$G$49,3,0)</f>
        <v>Light</v>
      </c>
      <c r="O957" s="25">
        <v>5</v>
      </c>
      <c r="P957" s="5">
        <f>INDEX([1]products!$A$1:$G$49,MATCH([1]orders!$D957,[1]products!$A$1:$A$49,0),MATCH([1]orders!K$1,[1]products!$A$1:$G$1,0))</f>
        <v>2.5</v>
      </c>
      <c r="Q957" s="6">
        <f>INDEX([1]products!$A$1:$G$49,MATCH([1]orders!$D957,[1]products!$A$1:$A$49,0),MATCH([1]orders!L$1,[1]products!$A$1:$G$1,0))</f>
        <v>34.154999999999994</v>
      </c>
      <c r="R957" s="6">
        <f t="shared" si="70"/>
        <v>170.77499999999998</v>
      </c>
      <c r="S957">
        <f>VLOOKUP(L957,Products!$A$2:$G$49,7,0)</f>
        <v>3.7570499999999996</v>
      </c>
      <c r="T957">
        <f t="shared" si="73"/>
        <v>18.785249999999998</v>
      </c>
      <c r="U957" s="33">
        <f t="shared" si="74"/>
        <v>11</v>
      </c>
    </row>
    <row r="958" spans="1:21" x14ac:dyDescent="0.25">
      <c r="A958" s="1" t="s">
        <v>1840</v>
      </c>
      <c r="B958" s="28">
        <v>43582</v>
      </c>
      <c r="C958" s="21" t="str">
        <f t="shared" si="71"/>
        <v>2019</v>
      </c>
      <c r="D958" s="19" t="str">
        <f t="shared" si="72"/>
        <v>April</v>
      </c>
      <c r="E958" s="3" t="s">
        <v>1801</v>
      </c>
      <c r="F958" s="3" t="str">
        <f>VLOOKUP(E958,Customers!$A$2:$I$1001,2,0)</f>
        <v>Brenn Dundredge</v>
      </c>
      <c r="G958" s="3" t="str">
        <f>VLOOKUP(E958,Customers!$A$2:$I$1001,3,0)</f>
        <v>UNKNOWN</v>
      </c>
      <c r="H958" s="3" t="str">
        <f>VLOOKUP(E958,Customers!$A$2:$I$1001,4,0)</f>
        <v>+1 (405) 369-5173</v>
      </c>
      <c r="I958" s="25" t="str">
        <f>VLOOKUP(E958,Customers!$A$2:$I$1001,6,0)</f>
        <v>Oklahoma City</v>
      </c>
      <c r="J958" s="25" t="str">
        <f>VLOOKUP(E958,Customers!$A$2:$I$1001,7,0)</f>
        <v>United States</v>
      </c>
      <c r="K958" s="23" t="str">
        <f>VLOOKUP(E958,Customers!$A$2:$I$1001,9,0)</f>
        <v>Yes</v>
      </c>
      <c r="L958" s="4" t="s">
        <v>10</v>
      </c>
      <c r="M958" s="4" t="str">
        <f>VLOOKUP(L958,Products!$A$2:$G$49,2,0)</f>
        <v>Robusta</v>
      </c>
      <c r="N958" s="4" t="str">
        <f>VLOOKUP(L958,Products!$A$2:$G$49,3,0)</f>
        <v>Light</v>
      </c>
      <c r="O958" s="25">
        <v>2</v>
      </c>
      <c r="P958" s="5">
        <f>INDEX([1]products!$A$1:$G$49,MATCH([1]orders!$D958,[1]products!$A$1:$A$49,0),MATCH([1]orders!K$1,[1]products!$A$1:$G$1,0))</f>
        <v>2.5</v>
      </c>
      <c r="Q958" s="6">
        <f>INDEX([1]products!$A$1:$G$49,MATCH([1]orders!$D958,[1]products!$A$1:$A$49,0),MATCH([1]orders!L$1,[1]products!$A$1:$G$1,0))</f>
        <v>27.484999999999996</v>
      </c>
      <c r="R958" s="6">
        <f t="shared" si="70"/>
        <v>54.969999999999992</v>
      </c>
      <c r="S958">
        <f>VLOOKUP(L958,Products!$A$2:$G$49,7,0)</f>
        <v>1.6490999999999998</v>
      </c>
      <c r="T958">
        <f t="shared" si="73"/>
        <v>3.2981999999999996</v>
      </c>
      <c r="U958" s="33">
        <f t="shared" si="74"/>
        <v>6.0000000000000009</v>
      </c>
    </row>
    <row r="959" spans="1:21" x14ac:dyDescent="0.25">
      <c r="A959" s="1" t="s">
        <v>1840</v>
      </c>
      <c r="B959" s="28">
        <v>43582</v>
      </c>
      <c r="C959" s="21" t="str">
        <f t="shared" si="71"/>
        <v>2019</v>
      </c>
      <c r="D959" s="19" t="str">
        <f t="shared" si="72"/>
        <v>April</v>
      </c>
      <c r="E959" s="3" t="s">
        <v>1801</v>
      </c>
      <c r="F959" s="3" t="str">
        <f>VLOOKUP(E959,Customers!$A$2:$I$1001,2,0)</f>
        <v>Brenn Dundredge</v>
      </c>
      <c r="G959" s="3" t="str">
        <f>VLOOKUP(E959,Customers!$A$2:$I$1001,3,0)</f>
        <v>UNKNOWN</v>
      </c>
      <c r="H959" s="3" t="str">
        <f>VLOOKUP(E959,Customers!$A$2:$I$1001,4,0)</f>
        <v>+1 (405) 369-5173</v>
      </c>
      <c r="I959" s="25" t="str">
        <f>VLOOKUP(E959,Customers!$A$2:$I$1001,6,0)</f>
        <v>Oklahoma City</v>
      </c>
      <c r="J959" s="25" t="str">
        <f>VLOOKUP(E959,Customers!$A$2:$I$1001,7,0)</f>
        <v>United States</v>
      </c>
      <c r="K959" s="23" t="str">
        <f>VLOOKUP(E959,Customers!$A$2:$I$1001,9,0)</f>
        <v>Yes</v>
      </c>
      <c r="L959" s="4" t="s">
        <v>137</v>
      </c>
      <c r="M959" s="4" t="str">
        <f>VLOOKUP(L959,Products!$A$2:$G$49,2,0)</f>
        <v>Excelsa</v>
      </c>
      <c r="N959" s="4" t="str">
        <f>VLOOKUP(L959,Products!$A$2:$G$49,3,0)</f>
        <v>Light</v>
      </c>
      <c r="O959" s="25">
        <v>1</v>
      </c>
      <c r="P959" s="5">
        <f>INDEX([1]products!$A$1:$G$49,MATCH([1]orders!$D959,[1]products!$A$1:$A$49,0),MATCH([1]orders!K$1,[1]products!$A$1:$G$1,0))</f>
        <v>1</v>
      </c>
      <c r="Q959" s="6">
        <f>INDEX([1]products!$A$1:$G$49,MATCH([1]orders!$D959,[1]products!$A$1:$A$49,0),MATCH([1]orders!L$1,[1]products!$A$1:$G$1,0))</f>
        <v>14.85</v>
      </c>
      <c r="R959" s="6">
        <f t="shared" si="70"/>
        <v>14.85</v>
      </c>
      <c r="S959">
        <f>VLOOKUP(L959,Products!$A$2:$G$49,7,0)</f>
        <v>1.6335</v>
      </c>
      <c r="T959">
        <f t="shared" si="73"/>
        <v>1.6335</v>
      </c>
      <c r="U959" s="33">
        <f t="shared" si="74"/>
        <v>11</v>
      </c>
    </row>
    <row r="960" spans="1:21" x14ac:dyDescent="0.25">
      <c r="A960" s="1" t="s">
        <v>1840</v>
      </c>
      <c r="B960" s="28">
        <v>43582</v>
      </c>
      <c r="C960" s="21" t="str">
        <f t="shared" si="71"/>
        <v>2019</v>
      </c>
      <c r="D960" s="19" t="str">
        <f t="shared" si="72"/>
        <v>April</v>
      </c>
      <c r="E960" s="3" t="s">
        <v>1801</v>
      </c>
      <c r="F960" s="3" t="str">
        <f>VLOOKUP(E960,Customers!$A$2:$I$1001,2,0)</f>
        <v>Brenn Dundredge</v>
      </c>
      <c r="G960" s="3" t="str">
        <f>VLOOKUP(E960,Customers!$A$2:$I$1001,3,0)</f>
        <v>UNKNOWN</v>
      </c>
      <c r="H960" s="3" t="str">
        <f>VLOOKUP(E960,Customers!$A$2:$I$1001,4,0)</f>
        <v>+1 (405) 369-5173</v>
      </c>
      <c r="I960" s="25" t="str">
        <f>VLOOKUP(E960,Customers!$A$2:$I$1001,6,0)</f>
        <v>Oklahoma City</v>
      </c>
      <c r="J960" s="25" t="str">
        <f>VLOOKUP(E960,Customers!$A$2:$I$1001,7,0)</f>
        <v>United States</v>
      </c>
      <c r="K960" s="23" t="str">
        <f>VLOOKUP(E960,Customers!$A$2:$I$1001,9,0)</f>
        <v>Yes</v>
      </c>
      <c r="L960" s="4" t="s">
        <v>115</v>
      </c>
      <c r="M960" s="4" t="str">
        <f>VLOOKUP(L960,Products!$A$2:$G$49,2,0)</f>
        <v>Arabica</v>
      </c>
      <c r="N960" s="4" t="str">
        <f>VLOOKUP(L960,Products!$A$2:$G$49,3,0)</f>
        <v>Light</v>
      </c>
      <c r="O960" s="25">
        <v>2</v>
      </c>
      <c r="P960" s="5">
        <f>INDEX([1]products!$A$1:$G$49,MATCH([1]orders!$D960,[1]products!$A$1:$A$49,0),MATCH([1]orders!K$1,[1]products!$A$1:$G$1,0))</f>
        <v>0.2</v>
      </c>
      <c r="Q960" s="6">
        <f>INDEX([1]products!$A$1:$G$49,MATCH([1]orders!$D960,[1]products!$A$1:$A$49,0),MATCH([1]orders!L$1,[1]products!$A$1:$G$1,0))</f>
        <v>3.8849999999999998</v>
      </c>
      <c r="R960" s="6">
        <f t="shared" si="70"/>
        <v>7.77</v>
      </c>
      <c r="S960">
        <f>VLOOKUP(L960,Products!$A$2:$G$49,7,0)</f>
        <v>0.34964999999999996</v>
      </c>
      <c r="T960">
        <f t="shared" si="73"/>
        <v>0.69929999999999992</v>
      </c>
      <c r="U960" s="33">
        <f t="shared" si="74"/>
        <v>9</v>
      </c>
    </row>
    <row r="961" spans="1:21" x14ac:dyDescent="0.25">
      <c r="A961" s="1" t="s">
        <v>1841</v>
      </c>
      <c r="B961" s="28">
        <v>44598</v>
      </c>
      <c r="C961" s="21" t="str">
        <f t="shared" si="71"/>
        <v>2022</v>
      </c>
      <c r="D961" s="19" t="str">
        <f t="shared" si="72"/>
        <v>February</v>
      </c>
      <c r="E961" s="3" t="s">
        <v>1842</v>
      </c>
      <c r="F961" s="3" t="str">
        <f>VLOOKUP(E961,Customers!$A$2:$I$1001,2,0)</f>
        <v>Rhodie Strathern</v>
      </c>
      <c r="G961" s="3" t="str">
        <f>VLOOKUP(E961,Customers!$A$2:$I$1001,3,0)</f>
        <v>rstrathernqn@devhub.com</v>
      </c>
      <c r="H961" s="3" t="str">
        <f>VLOOKUP(E961,Customers!$A$2:$I$1001,4,0)</f>
        <v>UNKNOWN</v>
      </c>
      <c r="I961" s="25" t="str">
        <f>VLOOKUP(E961,Customers!$A$2:$I$1001,6,0)</f>
        <v>Little Rock</v>
      </c>
      <c r="J961" s="25" t="str">
        <f>VLOOKUP(E961,Customers!$A$2:$I$1001,7,0)</f>
        <v>United States</v>
      </c>
      <c r="K961" s="23" t="str">
        <f>VLOOKUP(E961,Customers!$A$2:$I$1001,9,0)</f>
        <v>Yes</v>
      </c>
      <c r="L961" s="4" t="s">
        <v>19</v>
      </c>
      <c r="M961" s="4" t="str">
        <f>VLOOKUP(L961,Products!$A$2:$G$49,2,0)</f>
        <v>Liberica</v>
      </c>
      <c r="N961" s="4" t="str">
        <f>VLOOKUP(L961,Products!$A$2:$G$49,3,0)</f>
        <v>Light</v>
      </c>
      <c r="O961" s="25">
        <v>5</v>
      </c>
      <c r="P961" s="5">
        <f>INDEX([1]products!$A$1:$G$49,MATCH([1]orders!$D961,[1]products!$A$1:$A$49,0),MATCH([1]orders!K$1,[1]products!$A$1:$G$1,0))</f>
        <v>0.2</v>
      </c>
      <c r="Q961" s="6">
        <f>INDEX([1]products!$A$1:$G$49,MATCH([1]orders!$D961,[1]products!$A$1:$A$49,0),MATCH([1]orders!L$1,[1]products!$A$1:$G$1,0))</f>
        <v>4.7549999999999999</v>
      </c>
      <c r="R961" s="6">
        <f t="shared" si="70"/>
        <v>23.774999999999999</v>
      </c>
      <c r="S961">
        <f>VLOOKUP(L961,Products!$A$2:$G$49,7,0)</f>
        <v>0.61814999999999998</v>
      </c>
      <c r="T961">
        <f t="shared" si="73"/>
        <v>3.0907499999999999</v>
      </c>
      <c r="U961" s="33">
        <f t="shared" si="74"/>
        <v>13</v>
      </c>
    </row>
    <row r="962" spans="1:21" x14ac:dyDescent="0.25">
      <c r="A962" s="1" t="s">
        <v>1843</v>
      </c>
      <c r="B962" s="28">
        <v>44591</v>
      </c>
      <c r="C962" s="21" t="str">
        <f t="shared" si="71"/>
        <v>2022</v>
      </c>
      <c r="D962" s="19" t="str">
        <f t="shared" si="72"/>
        <v>January</v>
      </c>
      <c r="E962" s="3" t="s">
        <v>1844</v>
      </c>
      <c r="F962" s="3" t="str">
        <f>VLOOKUP(E962,Customers!$A$2:$I$1001,2,0)</f>
        <v>Chad Miguel</v>
      </c>
      <c r="G962" s="3" t="str">
        <f>VLOOKUP(E962,Customers!$A$2:$I$1001,3,0)</f>
        <v>cmiguelqo@exblog.jp</v>
      </c>
      <c r="H962" s="3" t="str">
        <f>VLOOKUP(E962,Customers!$A$2:$I$1001,4,0)</f>
        <v>+1 (240) 449-8992</v>
      </c>
      <c r="I962" s="25" t="str">
        <f>VLOOKUP(E962,Customers!$A$2:$I$1001,6,0)</f>
        <v>Hagerstown</v>
      </c>
      <c r="J962" s="25" t="str">
        <f>VLOOKUP(E962,Customers!$A$2:$I$1001,7,0)</f>
        <v>United States</v>
      </c>
      <c r="K962" s="23" t="str">
        <f>VLOOKUP(E962,Customers!$A$2:$I$1001,9,0)</f>
        <v>Yes</v>
      </c>
      <c r="L962" s="4" t="s">
        <v>132</v>
      </c>
      <c r="M962" s="4" t="str">
        <f>VLOOKUP(L962,Products!$A$2:$G$49,2,0)</f>
        <v>Liberica</v>
      </c>
      <c r="N962" s="4" t="str">
        <f>VLOOKUP(L962,Products!$A$2:$G$49,3,0)</f>
        <v>Light</v>
      </c>
      <c r="O962" s="25">
        <v>5</v>
      </c>
      <c r="P962" s="5">
        <f>INDEX([1]products!$A$1:$G$49,MATCH([1]orders!$D962,[1]products!$A$1:$A$49,0),MATCH([1]orders!K$1,[1]products!$A$1:$G$1,0))</f>
        <v>1</v>
      </c>
      <c r="Q962" s="6">
        <f>INDEX([1]products!$A$1:$G$49,MATCH([1]orders!$D962,[1]products!$A$1:$A$49,0),MATCH([1]orders!L$1,[1]products!$A$1:$G$1,0))</f>
        <v>15.85</v>
      </c>
      <c r="R962" s="6">
        <f t="shared" ref="R962:R1001" si="75">O962*Q962</f>
        <v>79.25</v>
      </c>
      <c r="S962">
        <f>VLOOKUP(L962,Products!$A$2:$G$49,7,0)</f>
        <v>2.0605000000000002</v>
      </c>
      <c r="T962">
        <f t="shared" si="73"/>
        <v>10.302500000000002</v>
      </c>
      <c r="U962" s="33">
        <f t="shared" si="74"/>
        <v>13.000000000000004</v>
      </c>
    </row>
    <row r="963" spans="1:21" x14ac:dyDescent="0.25">
      <c r="A963" s="1" t="s">
        <v>1845</v>
      </c>
      <c r="B963" s="28">
        <v>44158</v>
      </c>
      <c r="C963" s="21" t="str">
        <f t="shared" ref="C963:C1001" si="76">TEXT(B963,"yyyy")</f>
        <v>2020</v>
      </c>
      <c r="D963" s="19" t="str">
        <f t="shared" ref="D963:D1001" si="77">TEXT(B963,"mmmm")</f>
        <v>November</v>
      </c>
      <c r="E963" s="3" t="s">
        <v>1846</v>
      </c>
      <c r="F963" s="3" t="str">
        <f>VLOOKUP(E963,Customers!$A$2:$I$1001,2,0)</f>
        <v>Florinda Matusovsky</v>
      </c>
      <c r="G963" s="3" t="str">
        <f>VLOOKUP(E963,Customers!$A$2:$I$1001,3,0)</f>
        <v>UNKNOWN</v>
      </c>
      <c r="H963" s="3" t="str">
        <f>VLOOKUP(E963,Customers!$A$2:$I$1001,4,0)</f>
        <v>+1 (518) 618-9919</v>
      </c>
      <c r="I963" s="25" t="str">
        <f>VLOOKUP(E963,Customers!$A$2:$I$1001,6,0)</f>
        <v>Albany</v>
      </c>
      <c r="J963" s="25" t="str">
        <f>VLOOKUP(E963,Customers!$A$2:$I$1001,7,0)</f>
        <v>United States</v>
      </c>
      <c r="K963" s="23" t="str">
        <f>VLOOKUP(E963,Customers!$A$2:$I$1001,9,0)</f>
        <v>Yes</v>
      </c>
      <c r="L963" s="4" t="s">
        <v>118</v>
      </c>
      <c r="M963" s="4" t="str">
        <f>VLOOKUP(L963,Products!$A$2:$G$49,2,0)</f>
        <v>Arabica</v>
      </c>
      <c r="N963" s="4" t="str">
        <f>VLOOKUP(L963,Products!$A$2:$G$49,3,0)</f>
        <v>Dark</v>
      </c>
      <c r="O963" s="25">
        <v>2</v>
      </c>
      <c r="P963" s="5">
        <f>INDEX([1]products!$A$1:$G$49,MATCH([1]orders!$D963,[1]products!$A$1:$A$49,0),MATCH([1]orders!K$1,[1]products!$A$1:$G$1,0))</f>
        <v>2.5</v>
      </c>
      <c r="Q963" s="6">
        <f>INDEX([1]products!$A$1:$G$49,MATCH([1]orders!$D963,[1]products!$A$1:$A$49,0),MATCH([1]orders!L$1,[1]products!$A$1:$G$1,0))</f>
        <v>22.884999999999998</v>
      </c>
      <c r="R963" s="6">
        <f t="shared" si="75"/>
        <v>45.769999999999996</v>
      </c>
      <c r="S963">
        <f>VLOOKUP(L963,Products!$A$2:$G$49,7,0)</f>
        <v>2.0596499999999995</v>
      </c>
      <c r="T963">
        <f t="shared" ref="T963:T1001" si="78">O963*S963</f>
        <v>4.1192999999999991</v>
      </c>
      <c r="U963" s="33">
        <f t="shared" ref="U963:U1001" si="79">T963/R963*100</f>
        <v>8.9999999999999982</v>
      </c>
    </row>
    <row r="964" spans="1:21" x14ac:dyDescent="0.25">
      <c r="A964" s="1" t="s">
        <v>1847</v>
      </c>
      <c r="B964" s="28">
        <v>44664</v>
      </c>
      <c r="C964" s="21" t="str">
        <f t="shared" si="76"/>
        <v>2022</v>
      </c>
      <c r="D964" s="19" t="str">
        <f t="shared" si="77"/>
        <v>April</v>
      </c>
      <c r="E964" s="3" t="s">
        <v>1848</v>
      </c>
      <c r="F964" s="3" t="str">
        <f>VLOOKUP(E964,Customers!$A$2:$I$1001,2,0)</f>
        <v>Morly Rocks</v>
      </c>
      <c r="G964" s="3" t="str">
        <f>VLOOKUP(E964,Customers!$A$2:$I$1001,3,0)</f>
        <v>mrocksqq@exblog.jp</v>
      </c>
      <c r="H964" s="3" t="str">
        <f>VLOOKUP(E964,Customers!$A$2:$I$1001,4,0)</f>
        <v>+353 (731) 124-0228</v>
      </c>
      <c r="I964" s="25" t="str">
        <f>VLOOKUP(E964,Customers!$A$2:$I$1001,6,0)</f>
        <v>Crossmolina</v>
      </c>
      <c r="J964" s="25" t="str">
        <f>VLOOKUP(E964,Customers!$A$2:$I$1001,7,0)</f>
        <v>Ireland</v>
      </c>
      <c r="K964" s="23" t="str">
        <f>VLOOKUP(E964,Customers!$A$2:$I$1001,9,0)</f>
        <v>Yes</v>
      </c>
      <c r="L964" s="4" t="s">
        <v>179</v>
      </c>
      <c r="M964" s="4" t="str">
        <f>VLOOKUP(L964,Products!$A$2:$G$49,2,0)</f>
        <v>Robusta</v>
      </c>
      <c r="N964" s="4" t="str">
        <f>VLOOKUP(L964,Products!$A$2:$G$49,3,0)</f>
        <v>Dark</v>
      </c>
      <c r="O964" s="25">
        <v>1</v>
      </c>
      <c r="P964" s="5">
        <f>INDEX([1]products!$A$1:$G$49,MATCH([1]orders!$D964,[1]products!$A$1:$A$49,0),MATCH([1]orders!K$1,[1]products!$A$1:$G$1,0))</f>
        <v>1</v>
      </c>
      <c r="Q964" s="6">
        <f>INDEX([1]products!$A$1:$G$49,MATCH([1]orders!$D964,[1]products!$A$1:$A$49,0),MATCH([1]orders!L$1,[1]products!$A$1:$G$1,0))</f>
        <v>8.9499999999999993</v>
      </c>
      <c r="R964" s="6">
        <f t="shared" si="75"/>
        <v>8.9499999999999993</v>
      </c>
      <c r="S964">
        <f>VLOOKUP(L964,Products!$A$2:$G$49,7,0)</f>
        <v>0.53699999999999992</v>
      </c>
      <c r="T964">
        <f t="shared" si="78"/>
        <v>0.53699999999999992</v>
      </c>
      <c r="U964" s="33">
        <f t="shared" si="79"/>
        <v>6</v>
      </c>
    </row>
    <row r="965" spans="1:21" x14ac:dyDescent="0.25">
      <c r="A965" s="1" t="s">
        <v>1849</v>
      </c>
      <c r="B965" s="28">
        <v>44203</v>
      </c>
      <c r="C965" s="21" t="str">
        <f t="shared" si="76"/>
        <v>2021</v>
      </c>
      <c r="D965" s="19" t="str">
        <f t="shared" si="77"/>
        <v>January</v>
      </c>
      <c r="E965" s="3" t="s">
        <v>1850</v>
      </c>
      <c r="F965" s="3" t="str">
        <f>VLOOKUP(E965,Customers!$A$2:$I$1001,2,0)</f>
        <v>Yuri Burrells</v>
      </c>
      <c r="G965" s="3" t="str">
        <f>VLOOKUP(E965,Customers!$A$2:$I$1001,3,0)</f>
        <v>yburrellsqr@vinaora.com</v>
      </c>
      <c r="H965" s="3" t="str">
        <f>VLOOKUP(E965,Customers!$A$2:$I$1001,4,0)</f>
        <v>+1 (859) 101-4742</v>
      </c>
      <c r="I965" s="25" t="str">
        <f>VLOOKUP(E965,Customers!$A$2:$I$1001,6,0)</f>
        <v>Lexington</v>
      </c>
      <c r="J965" s="25" t="str">
        <f>VLOOKUP(E965,Customers!$A$2:$I$1001,7,0)</f>
        <v>United States</v>
      </c>
      <c r="K965" s="23" t="str">
        <f>VLOOKUP(E965,Customers!$A$2:$I$1001,9,0)</f>
        <v>Yes</v>
      </c>
      <c r="L965" s="4" t="s">
        <v>22</v>
      </c>
      <c r="M965" s="4" t="str">
        <f>VLOOKUP(L965,Products!$A$2:$G$49,2,0)</f>
        <v>Robusta</v>
      </c>
      <c r="N965" s="4" t="str">
        <f>VLOOKUP(L965,Products!$A$2:$G$49,3,0)</f>
        <v>Medium</v>
      </c>
      <c r="O965" s="25">
        <v>4</v>
      </c>
      <c r="P965" s="5">
        <f>INDEX([1]products!$A$1:$G$49,MATCH([1]orders!$D965,[1]products!$A$1:$A$49,0),MATCH([1]orders!K$1,[1]products!$A$1:$G$1,0))</f>
        <v>0.5</v>
      </c>
      <c r="Q965" s="6">
        <f>INDEX([1]products!$A$1:$G$49,MATCH([1]orders!$D965,[1]products!$A$1:$A$49,0),MATCH([1]orders!L$1,[1]products!$A$1:$G$1,0))</f>
        <v>5.97</v>
      </c>
      <c r="R965" s="6">
        <f t="shared" si="75"/>
        <v>23.88</v>
      </c>
      <c r="S965">
        <f>VLOOKUP(L965,Products!$A$2:$G$49,7,0)</f>
        <v>0.35819999999999996</v>
      </c>
      <c r="T965">
        <f t="shared" si="78"/>
        <v>1.4327999999999999</v>
      </c>
      <c r="U965" s="33">
        <f t="shared" si="79"/>
        <v>6</v>
      </c>
    </row>
    <row r="966" spans="1:21" x14ac:dyDescent="0.25">
      <c r="A966" s="1" t="s">
        <v>1851</v>
      </c>
      <c r="B966" s="28">
        <v>43865</v>
      </c>
      <c r="C966" s="21" t="str">
        <f t="shared" si="76"/>
        <v>2020</v>
      </c>
      <c r="D966" s="19" t="str">
        <f t="shared" si="77"/>
        <v>February</v>
      </c>
      <c r="E966" s="3" t="s">
        <v>1852</v>
      </c>
      <c r="F966" s="3" t="str">
        <f>VLOOKUP(E966,Customers!$A$2:$I$1001,2,0)</f>
        <v>Cleopatra Goodrum</v>
      </c>
      <c r="G966" s="3" t="str">
        <f>VLOOKUP(E966,Customers!$A$2:$I$1001,3,0)</f>
        <v>cgoodrumqs@goodreads.com</v>
      </c>
      <c r="H966" s="3" t="str">
        <f>VLOOKUP(E966,Customers!$A$2:$I$1001,4,0)</f>
        <v>+1 (619) 944-5888</v>
      </c>
      <c r="I966" s="25" t="str">
        <f>VLOOKUP(E966,Customers!$A$2:$I$1001,6,0)</f>
        <v>San Diego</v>
      </c>
      <c r="J966" s="25" t="str">
        <f>VLOOKUP(E966,Customers!$A$2:$I$1001,7,0)</f>
        <v>United States</v>
      </c>
      <c r="K966" s="23" t="str">
        <f>VLOOKUP(E966,Customers!$A$2:$I$1001,9,0)</f>
        <v>No</v>
      </c>
      <c r="L966" s="4" t="s">
        <v>254</v>
      </c>
      <c r="M966" s="4" t="str">
        <f>VLOOKUP(L966,Products!$A$2:$G$49,2,0)</f>
        <v>Excelsa</v>
      </c>
      <c r="N966" s="4" t="str">
        <f>VLOOKUP(L966,Products!$A$2:$G$49,3,0)</f>
        <v>Light</v>
      </c>
      <c r="O966" s="25">
        <v>5</v>
      </c>
      <c r="P966" s="5">
        <f>INDEX([1]products!$A$1:$G$49,MATCH([1]orders!$D966,[1]products!$A$1:$A$49,0),MATCH([1]orders!K$1,[1]products!$A$1:$G$1,0))</f>
        <v>0.2</v>
      </c>
      <c r="Q966" s="6">
        <f>INDEX([1]products!$A$1:$G$49,MATCH([1]orders!$D966,[1]products!$A$1:$A$49,0),MATCH([1]orders!L$1,[1]products!$A$1:$G$1,0))</f>
        <v>4.4550000000000001</v>
      </c>
      <c r="R966" s="6">
        <f t="shared" si="75"/>
        <v>22.274999999999999</v>
      </c>
      <c r="S966">
        <f>VLOOKUP(L966,Products!$A$2:$G$49,7,0)</f>
        <v>0.49004999999999999</v>
      </c>
      <c r="T966">
        <f t="shared" si="78"/>
        <v>2.45025</v>
      </c>
      <c r="U966" s="33">
        <f t="shared" si="79"/>
        <v>11.000000000000002</v>
      </c>
    </row>
    <row r="967" spans="1:21" x14ac:dyDescent="0.25">
      <c r="A967" s="1" t="s">
        <v>1853</v>
      </c>
      <c r="B967" s="28">
        <v>43724</v>
      </c>
      <c r="C967" s="21" t="str">
        <f t="shared" si="76"/>
        <v>2019</v>
      </c>
      <c r="D967" s="19" t="str">
        <f t="shared" si="77"/>
        <v>September</v>
      </c>
      <c r="E967" s="3" t="s">
        <v>1854</v>
      </c>
      <c r="F967" s="3" t="str">
        <f>VLOOKUP(E967,Customers!$A$2:$I$1001,2,0)</f>
        <v>Joey Jefferys</v>
      </c>
      <c r="G967" s="3" t="str">
        <f>VLOOKUP(E967,Customers!$A$2:$I$1001,3,0)</f>
        <v>jjefferysqt@blog.com</v>
      </c>
      <c r="H967" s="3" t="str">
        <f>VLOOKUP(E967,Customers!$A$2:$I$1001,4,0)</f>
        <v>UNKNOWN</v>
      </c>
      <c r="I967" s="25" t="str">
        <f>VLOOKUP(E967,Customers!$A$2:$I$1001,6,0)</f>
        <v>Los Angeles</v>
      </c>
      <c r="J967" s="25" t="str">
        <f>VLOOKUP(E967,Customers!$A$2:$I$1001,7,0)</f>
        <v>United States</v>
      </c>
      <c r="K967" s="23" t="str">
        <f>VLOOKUP(E967,Customers!$A$2:$I$1001,9,0)</f>
        <v>Yes</v>
      </c>
      <c r="L967" s="4" t="s">
        <v>2</v>
      </c>
      <c r="M967" s="4" t="str">
        <f>VLOOKUP(L967,Products!$A$2:$G$49,2,0)</f>
        <v>Robusta</v>
      </c>
      <c r="N967" s="4" t="str">
        <f>VLOOKUP(L967,Products!$A$2:$G$49,3,0)</f>
        <v>Medium</v>
      </c>
      <c r="O967" s="25">
        <v>3</v>
      </c>
      <c r="P967" s="5">
        <f>INDEX([1]products!$A$1:$G$49,MATCH([1]orders!$D967,[1]products!$A$1:$A$49,0),MATCH([1]orders!K$1,[1]products!$A$1:$G$1,0))</f>
        <v>1</v>
      </c>
      <c r="Q967" s="6">
        <f>INDEX([1]products!$A$1:$G$49,MATCH([1]orders!$D967,[1]products!$A$1:$A$49,0),MATCH([1]orders!L$1,[1]products!$A$1:$G$1,0))</f>
        <v>9.9499999999999993</v>
      </c>
      <c r="R967" s="6">
        <f t="shared" si="75"/>
        <v>29.849999999999998</v>
      </c>
      <c r="S967">
        <f>VLOOKUP(L967,Products!$A$2:$G$49,7,0)</f>
        <v>0.59699999999999998</v>
      </c>
      <c r="T967">
        <f t="shared" si="78"/>
        <v>1.7909999999999999</v>
      </c>
      <c r="U967" s="33">
        <f t="shared" si="79"/>
        <v>6.0000000000000009</v>
      </c>
    </row>
    <row r="968" spans="1:21" x14ac:dyDescent="0.25">
      <c r="A968" s="1" t="s">
        <v>1855</v>
      </c>
      <c r="B968" s="28">
        <v>43491</v>
      </c>
      <c r="C968" s="21" t="str">
        <f t="shared" si="76"/>
        <v>2019</v>
      </c>
      <c r="D968" s="19" t="str">
        <f t="shared" si="77"/>
        <v>January</v>
      </c>
      <c r="E968" s="3" t="s">
        <v>1856</v>
      </c>
      <c r="F968" s="3" t="str">
        <f>VLOOKUP(E968,Customers!$A$2:$I$1001,2,0)</f>
        <v>Bearnard Wardell</v>
      </c>
      <c r="G968" s="3" t="str">
        <f>VLOOKUP(E968,Customers!$A$2:$I$1001,3,0)</f>
        <v>bwardellqu@adobe.com</v>
      </c>
      <c r="H968" s="3" t="str">
        <f>VLOOKUP(E968,Customers!$A$2:$I$1001,4,0)</f>
        <v>+1 (347) 311-2289</v>
      </c>
      <c r="I968" s="25" t="str">
        <f>VLOOKUP(E968,Customers!$A$2:$I$1001,6,0)</f>
        <v>Brooklyn</v>
      </c>
      <c r="J968" s="25" t="str">
        <f>VLOOKUP(E968,Customers!$A$2:$I$1001,7,0)</f>
        <v>United States</v>
      </c>
      <c r="K968" s="23" t="str">
        <f>VLOOKUP(E968,Customers!$A$2:$I$1001,9,0)</f>
        <v>Yes</v>
      </c>
      <c r="L968" s="4" t="s">
        <v>176</v>
      </c>
      <c r="M968" s="4" t="str">
        <f>VLOOKUP(L968,Products!$A$2:$G$49,2,0)</f>
        <v>Excelsa</v>
      </c>
      <c r="N968" s="4" t="str">
        <f>VLOOKUP(L968,Products!$A$2:$G$49,3,0)</f>
        <v>Light</v>
      </c>
      <c r="O968" s="25">
        <v>6</v>
      </c>
      <c r="P968" s="5">
        <f>INDEX([1]products!$A$1:$G$49,MATCH([1]orders!$D968,[1]products!$A$1:$A$49,0),MATCH([1]orders!K$1,[1]products!$A$1:$G$1,0))</f>
        <v>0.5</v>
      </c>
      <c r="Q968" s="6">
        <f>INDEX([1]products!$A$1:$G$49,MATCH([1]orders!$D968,[1]products!$A$1:$A$49,0),MATCH([1]orders!L$1,[1]products!$A$1:$G$1,0))</f>
        <v>8.91</v>
      </c>
      <c r="R968" s="6">
        <f t="shared" si="75"/>
        <v>53.46</v>
      </c>
      <c r="S968">
        <f>VLOOKUP(L968,Products!$A$2:$G$49,7,0)</f>
        <v>0.98009999999999997</v>
      </c>
      <c r="T968">
        <f t="shared" si="78"/>
        <v>5.8805999999999994</v>
      </c>
      <c r="U968" s="33">
        <f t="shared" si="79"/>
        <v>10.999999999999998</v>
      </c>
    </row>
    <row r="969" spans="1:21" x14ac:dyDescent="0.25">
      <c r="A969" s="1" t="s">
        <v>1857</v>
      </c>
      <c r="B969" s="28">
        <v>44246</v>
      </c>
      <c r="C969" s="21" t="str">
        <f t="shared" si="76"/>
        <v>2021</v>
      </c>
      <c r="D969" s="19" t="str">
        <f t="shared" si="77"/>
        <v>February</v>
      </c>
      <c r="E969" s="3" t="s">
        <v>1858</v>
      </c>
      <c r="F969" s="3" t="str">
        <f>VLOOKUP(E969,Customers!$A$2:$I$1001,2,0)</f>
        <v>Zeke Walisiak</v>
      </c>
      <c r="G969" s="3" t="str">
        <f>VLOOKUP(E969,Customers!$A$2:$I$1001,3,0)</f>
        <v>zwalisiakqv@ucsd.edu</v>
      </c>
      <c r="H969" s="3" t="str">
        <f>VLOOKUP(E969,Customers!$A$2:$I$1001,4,0)</f>
        <v>+353 (848) 172-8155</v>
      </c>
      <c r="I969" s="25" t="str">
        <f>VLOOKUP(E969,Customers!$A$2:$I$1001,6,0)</f>
        <v>Booterstown</v>
      </c>
      <c r="J969" s="25" t="str">
        <f>VLOOKUP(E969,Customers!$A$2:$I$1001,7,0)</f>
        <v>Ireland</v>
      </c>
      <c r="K969" s="23" t="str">
        <f>VLOOKUP(E969,Customers!$A$2:$I$1001,9,0)</f>
        <v>Yes</v>
      </c>
      <c r="L969" s="4" t="s">
        <v>101</v>
      </c>
      <c r="M969" s="4" t="str">
        <f>VLOOKUP(L969,Products!$A$2:$G$49,2,0)</f>
        <v>Robusta</v>
      </c>
      <c r="N969" s="4" t="str">
        <f>VLOOKUP(L969,Products!$A$2:$G$49,3,0)</f>
        <v>Dark</v>
      </c>
      <c r="O969" s="25">
        <v>1</v>
      </c>
      <c r="P969" s="5">
        <f>INDEX([1]products!$A$1:$G$49,MATCH([1]orders!$D969,[1]products!$A$1:$A$49,0),MATCH([1]orders!K$1,[1]products!$A$1:$G$1,0))</f>
        <v>0.2</v>
      </c>
      <c r="Q969" s="6">
        <f>INDEX([1]products!$A$1:$G$49,MATCH([1]orders!$D969,[1]products!$A$1:$A$49,0),MATCH([1]orders!L$1,[1]products!$A$1:$G$1,0))</f>
        <v>2.6849999999999996</v>
      </c>
      <c r="R969" s="6">
        <f t="shared" si="75"/>
        <v>2.6849999999999996</v>
      </c>
      <c r="S969">
        <f>VLOOKUP(L969,Products!$A$2:$G$49,7,0)</f>
        <v>0.16109999999999997</v>
      </c>
      <c r="T969">
        <f t="shared" si="78"/>
        <v>0.16109999999999997</v>
      </c>
      <c r="U969" s="33">
        <f t="shared" si="79"/>
        <v>6</v>
      </c>
    </row>
    <row r="970" spans="1:21" x14ac:dyDescent="0.25">
      <c r="A970" s="1" t="s">
        <v>1859</v>
      </c>
      <c r="B970" s="28">
        <v>44642</v>
      </c>
      <c r="C970" s="21" t="str">
        <f t="shared" si="76"/>
        <v>2022</v>
      </c>
      <c r="D970" s="19" t="str">
        <f t="shared" si="77"/>
        <v>March</v>
      </c>
      <c r="E970" s="3" t="s">
        <v>1860</v>
      </c>
      <c r="F970" s="3" t="str">
        <f>VLOOKUP(E970,Customers!$A$2:$I$1001,2,0)</f>
        <v>Wiley Leopold</v>
      </c>
      <c r="G970" s="3" t="str">
        <f>VLOOKUP(E970,Customers!$A$2:$I$1001,3,0)</f>
        <v>wleopoldqw@blogspot.com</v>
      </c>
      <c r="H970" s="3" t="str">
        <f>VLOOKUP(E970,Customers!$A$2:$I$1001,4,0)</f>
        <v>+1 (352) 173-9191</v>
      </c>
      <c r="I970" s="25" t="str">
        <f>VLOOKUP(E970,Customers!$A$2:$I$1001,6,0)</f>
        <v>Gainesville</v>
      </c>
      <c r="J970" s="25" t="str">
        <f>VLOOKUP(E970,Customers!$A$2:$I$1001,7,0)</f>
        <v>United States</v>
      </c>
      <c r="K970" s="23" t="str">
        <f>VLOOKUP(E970,Customers!$A$2:$I$1001,9,0)</f>
        <v>No</v>
      </c>
      <c r="L970" s="4" t="s">
        <v>162</v>
      </c>
      <c r="M970" s="4" t="str">
        <f>VLOOKUP(L970,Products!$A$2:$G$49,2,0)</f>
        <v>Robusta</v>
      </c>
      <c r="N970" s="4" t="str">
        <f>VLOOKUP(L970,Products!$A$2:$G$49,3,0)</f>
        <v>Medium</v>
      </c>
      <c r="O970" s="25">
        <v>2</v>
      </c>
      <c r="P970" s="5">
        <f>INDEX([1]products!$A$1:$G$49,MATCH([1]orders!$D970,[1]products!$A$1:$A$49,0),MATCH([1]orders!K$1,[1]products!$A$1:$G$1,0))</f>
        <v>0.2</v>
      </c>
      <c r="Q970" s="6">
        <f>INDEX([1]products!$A$1:$G$49,MATCH([1]orders!$D970,[1]products!$A$1:$A$49,0),MATCH([1]orders!L$1,[1]products!$A$1:$G$1,0))</f>
        <v>2.9849999999999999</v>
      </c>
      <c r="R970" s="6">
        <f t="shared" si="75"/>
        <v>5.97</v>
      </c>
      <c r="S970">
        <f>VLOOKUP(L970,Products!$A$2:$G$49,7,0)</f>
        <v>0.17909999999999998</v>
      </c>
      <c r="T970">
        <f t="shared" si="78"/>
        <v>0.35819999999999996</v>
      </c>
      <c r="U970" s="33">
        <f t="shared" si="79"/>
        <v>6</v>
      </c>
    </row>
    <row r="971" spans="1:21" x14ac:dyDescent="0.25">
      <c r="A971" s="1" t="s">
        <v>1861</v>
      </c>
      <c r="B971" s="28">
        <v>43649</v>
      </c>
      <c r="C971" s="21" t="str">
        <f t="shared" si="76"/>
        <v>2019</v>
      </c>
      <c r="D971" s="19" t="str">
        <f t="shared" si="77"/>
        <v>July</v>
      </c>
      <c r="E971" s="3" t="s">
        <v>1862</v>
      </c>
      <c r="F971" s="3" t="str">
        <f>VLOOKUP(E971,Customers!$A$2:$I$1001,2,0)</f>
        <v>Chiarra Shalders</v>
      </c>
      <c r="G971" s="3" t="str">
        <f>VLOOKUP(E971,Customers!$A$2:$I$1001,3,0)</f>
        <v>cshaldersqx@cisco.com</v>
      </c>
      <c r="H971" s="3" t="str">
        <f>VLOOKUP(E971,Customers!$A$2:$I$1001,4,0)</f>
        <v>+1 (305) 787-2810</v>
      </c>
      <c r="I971" s="25" t="str">
        <f>VLOOKUP(E971,Customers!$A$2:$I$1001,6,0)</f>
        <v>Clearwater</v>
      </c>
      <c r="J971" s="25" t="str">
        <f>VLOOKUP(E971,Customers!$A$2:$I$1001,7,0)</f>
        <v>United States</v>
      </c>
      <c r="K971" s="23" t="str">
        <f>VLOOKUP(E971,Customers!$A$2:$I$1001,9,0)</f>
        <v>Yes</v>
      </c>
      <c r="L971" s="4" t="s">
        <v>13</v>
      </c>
      <c r="M971" s="4" t="str">
        <f>VLOOKUP(L971,Products!$A$2:$G$49,2,0)</f>
        <v>Liberica</v>
      </c>
      <c r="N971" s="4" t="str">
        <f>VLOOKUP(L971,Products!$A$2:$G$49,3,0)</f>
        <v>Dark</v>
      </c>
      <c r="O971" s="25">
        <v>1</v>
      </c>
      <c r="P971" s="5">
        <f>INDEX([1]products!$A$1:$G$49,MATCH([1]orders!$D971,[1]products!$A$1:$A$49,0),MATCH([1]orders!K$1,[1]products!$A$1:$G$1,0))</f>
        <v>1</v>
      </c>
      <c r="Q971" s="6">
        <f>INDEX([1]products!$A$1:$G$49,MATCH([1]orders!$D971,[1]products!$A$1:$A$49,0),MATCH([1]orders!L$1,[1]products!$A$1:$G$1,0))</f>
        <v>12.95</v>
      </c>
      <c r="R971" s="6">
        <f t="shared" si="75"/>
        <v>12.95</v>
      </c>
      <c r="S971">
        <f>VLOOKUP(L971,Products!$A$2:$G$49,7,0)</f>
        <v>1.6835</v>
      </c>
      <c r="T971">
        <f t="shared" si="78"/>
        <v>1.6835</v>
      </c>
      <c r="U971" s="33">
        <f t="shared" si="79"/>
        <v>13</v>
      </c>
    </row>
    <row r="972" spans="1:21" x14ac:dyDescent="0.25">
      <c r="A972" s="1" t="s">
        <v>1863</v>
      </c>
      <c r="B972" s="28">
        <v>43729</v>
      </c>
      <c r="C972" s="21" t="str">
        <f t="shared" si="76"/>
        <v>2019</v>
      </c>
      <c r="D972" s="19" t="str">
        <f t="shared" si="77"/>
        <v>September</v>
      </c>
      <c r="E972" s="3" t="s">
        <v>1864</v>
      </c>
      <c r="F972" s="3" t="str">
        <f>VLOOKUP(E972,Customers!$A$2:$I$1001,2,0)</f>
        <v>Sharl Southerill</v>
      </c>
      <c r="G972" s="3" t="str">
        <f>VLOOKUP(E972,Customers!$A$2:$I$1001,3,0)</f>
        <v>UNKNOWN</v>
      </c>
      <c r="H972" s="3" t="str">
        <f>VLOOKUP(E972,Customers!$A$2:$I$1001,4,0)</f>
        <v>+1 (865) 959-4075</v>
      </c>
      <c r="I972" s="25" t="str">
        <f>VLOOKUP(E972,Customers!$A$2:$I$1001,6,0)</f>
        <v>Amarillo</v>
      </c>
      <c r="J972" s="25" t="str">
        <f>VLOOKUP(E972,Customers!$A$2:$I$1001,7,0)</f>
        <v>United States</v>
      </c>
      <c r="K972" s="23" t="str">
        <f>VLOOKUP(E972,Customers!$A$2:$I$1001,9,0)</f>
        <v>No</v>
      </c>
      <c r="L972" s="4" t="s">
        <v>3</v>
      </c>
      <c r="M972" s="4" t="str">
        <f>VLOOKUP(L972,Products!$A$2:$G$49,2,0)</f>
        <v>Excelsa</v>
      </c>
      <c r="N972" s="4" t="str">
        <f>VLOOKUP(L972,Products!$A$2:$G$49,3,0)</f>
        <v>Medium</v>
      </c>
      <c r="O972" s="25">
        <v>1</v>
      </c>
      <c r="P972" s="5">
        <f>INDEX([1]products!$A$1:$G$49,MATCH([1]orders!$D972,[1]products!$A$1:$A$49,0),MATCH([1]orders!K$1,[1]products!$A$1:$G$1,0))</f>
        <v>0.5</v>
      </c>
      <c r="Q972" s="6">
        <f>INDEX([1]products!$A$1:$G$49,MATCH([1]orders!$D972,[1]products!$A$1:$A$49,0),MATCH([1]orders!L$1,[1]products!$A$1:$G$1,0))</f>
        <v>8.25</v>
      </c>
      <c r="R972" s="6">
        <f t="shared" si="75"/>
        <v>8.25</v>
      </c>
      <c r="S972">
        <f>VLOOKUP(L972,Products!$A$2:$G$49,7,0)</f>
        <v>0.90749999999999997</v>
      </c>
      <c r="T972">
        <f t="shared" si="78"/>
        <v>0.90749999999999997</v>
      </c>
      <c r="U972" s="33">
        <f t="shared" si="79"/>
        <v>11</v>
      </c>
    </row>
    <row r="973" spans="1:21" x14ac:dyDescent="0.25">
      <c r="A973" s="1" t="s">
        <v>1865</v>
      </c>
      <c r="B973" s="28">
        <v>43703</v>
      </c>
      <c r="C973" s="21" t="str">
        <f t="shared" si="76"/>
        <v>2019</v>
      </c>
      <c r="D973" s="19" t="str">
        <f t="shared" si="77"/>
        <v>August</v>
      </c>
      <c r="E973" s="3" t="s">
        <v>1866</v>
      </c>
      <c r="F973" s="3" t="str">
        <f>VLOOKUP(E973,Customers!$A$2:$I$1001,2,0)</f>
        <v>Noni Furber</v>
      </c>
      <c r="G973" s="3" t="str">
        <f>VLOOKUP(E973,Customers!$A$2:$I$1001,3,0)</f>
        <v>nfurberqz@jugem.jp</v>
      </c>
      <c r="H973" s="3" t="str">
        <f>VLOOKUP(E973,Customers!$A$2:$I$1001,4,0)</f>
        <v>+1 (817) 813-2784</v>
      </c>
      <c r="I973" s="25" t="str">
        <f>VLOOKUP(E973,Customers!$A$2:$I$1001,6,0)</f>
        <v>Fort Worth</v>
      </c>
      <c r="J973" s="25" t="str">
        <f>VLOOKUP(E973,Customers!$A$2:$I$1001,7,0)</f>
        <v>United States</v>
      </c>
      <c r="K973" s="23" t="str">
        <f>VLOOKUP(E973,Customers!$A$2:$I$1001,9,0)</f>
        <v>No</v>
      </c>
      <c r="L973" s="4" t="s">
        <v>204</v>
      </c>
      <c r="M973" s="4" t="str">
        <f>VLOOKUP(L973,Products!$A$2:$G$49,2,0)</f>
        <v>Arabica</v>
      </c>
      <c r="N973" s="4" t="str">
        <f>VLOOKUP(L973,Products!$A$2:$G$49,3,0)</f>
        <v>Light</v>
      </c>
      <c r="O973" s="25">
        <v>5</v>
      </c>
      <c r="P973" s="5">
        <f>INDEX([1]products!$A$1:$G$49,MATCH([1]orders!$D973,[1]products!$A$1:$A$49,0),MATCH([1]orders!K$1,[1]products!$A$1:$G$1,0))</f>
        <v>2.5</v>
      </c>
      <c r="Q973" s="6">
        <f>INDEX([1]products!$A$1:$G$49,MATCH([1]orders!$D973,[1]products!$A$1:$A$49,0),MATCH([1]orders!L$1,[1]products!$A$1:$G$1,0))</f>
        <v>29.784999999999997</v>
      </c>
      <c r="R973" s="6">
        <f t="shared" si="75"/>
        <v>148.92499999999998</v>
      </c>
      <c r="S973">
        <f>VLOOKUP(L973,Products!$A$2:$G$49,7,0)</f>
        <v>2.6806499999999995</v>
      </c>
      <c r="T973">
        <f t="shared" si="78"/>
        <v>13.403249999999998</v>
      </c>
      <c r="U973" s="33">
        <f t="shared" si="79"/>
        <v>9</v>
      </c>
    </row>
    <row r="974" spans="1:21" x14ac:dyDescent="0.25">
      <c r="A974" s="1" t="s">
        <v>1867</v>
      </c>
      <c r="B974" s="28">
        <v>44411</v>
      </c>
      <c r="C974" s="21" t="str">
        <f t="shared" si="76"/>
        <v>2021</v>
      </c>
      <c r="D974" s="19" t="str">
        <f t="shared" si="77"/>
        <v>August</v>
      </c>
      <c r="E974" s="3" t="s">
        <v>1868</v>
      </c>
      <c r="F974" s="3" t="str">
        <f>VLOOKUP(E974,Customers!$A$2:$I$1001,2,0)</f>
        <v>Dinah Crutcher</v>
      </c>
      <c r="G974" s="3" t="str">
        <f>VLOOKUP(E974,Customers!$A$2:$I$1001,3,0)</f>
        <v>UNKNOWN</v>
      </c>
      <c r="H974" s="3" t="str">
        <f>VLOOKUP(E974,Customers!$A$2:$I$1001,4,0)</f>
        <v>+353 (706) 448-6304</v>
      </c>
      <c r="I974" s="25" t="str">
        <f>VLOOKUP(E974,Customers!$A$2:$I$1001,6,0)</f>
        <v>Lusk</v>
      </c>
      <c r="J974" s="25" t="str">
        <f>VLOOKUP(E974,Customers!$A$2:$I$1001,7,0)</f>
        <v>Ireland</v>
      </c>
      <c r="K974" s="23" t="str">
        <f>VLOOKUP(E974,Customers!$A$2:$I$1001,9,0)</f>
        <v>Yes</v>
      </c>
      <c r="L974" s="4" t="s">
        <v>204</v>
      </c>
      <c r="M974" s="4" t="str">
        <f>VLOOKUP(L974,Products!$A$2:$G$49,2,0)</f>
        <v>Arabica</v>
      </c>
      <c r="N974" s="4" t="str">
        <f>VLOOKUP(L974,Products!$A$2:$G$49,3,0)</f>
        <v>Light</v>
      </c>
      <c r="O974" s="25">
        <v>3</v>
      </c>
      <c r="P974" s="5">
        <f>INDEX([1]products!$A$1:$G$49,MATCH([1]orders!$D974,[1]products!$A$1:$A$49,0),MATCH([1]orders!K$1,[1]products!$A$1:$G$1,0))</f>
        <v>2.5</v>
      </c>
      <c r="Q974" s="6">
        <f>INDEX([1]products!$A$1:$G$49,MATCH([1]orders!$D974,[1]products!$A$1:$A$49,0),MATCH([1]orders!L$1,[1]products!$A$1:$G$1,0))</f>
        <v>29.784999999999997</v>
      </c>
      <c r="R974" s="6">
        <f t="shared" si="75"/>
        <v>89.35499999999999</v>
      </c>
      <c r="S974">
        <f>VLOOKUP(L974,Products!$A$2:$G$49,7,0)</f>
        <v>2.6806499999999995</v>
      </c>
      <c r="T974">
        <f t="shared" si="78"/>
        <v>8.0419499999999982</v>
      </c>
      <c r="U974" s="33">
        <f t="shared" si="79"/>
        <v>8.9999999999999982</v>
      </c>
    </row>
    <row r="975" spans="1:21" x14ac:dyDescent="0.25">
      <c r="A975" s="1" t="s">
        <v>1869</v>
      </c>
      <c r="B975" s="28">
        <v>44493</v>
      </c>
      <c r="C975" s="21" t="str">
        <f t="shared" si="76"/>
        <v>2021</v>
      </c>
      <c r="D975" s="19" t="str">
        <f t="shared" si="77"/>
        <v>October</v>
      </c>
      <c r="E975" s="3" t="s">
        <v>1870</v>
      </c>
      <c r="F975" s="3" t="str">
        <f>VLOOKUP(E975,Customers!$A$2:$I$1001,2,0)</f>
        <v>Charlean Keave</v>
      </c>
      <c r="G975" s="3" t="str">
        <f>VLOOKUP(E975,Customers!$A$2:$I$1001,3,0)</f>
        <v>ckeaver1@ucoz.com</v>
      </c>
      <c r="H975" s="3" t="str">
        <f>VLOOKUP(E975,Customers!$A$2:$I$1001,4,0)</f>
        <v>+1 (850) 410-9647</v>
      </c>
      <c r="I975" s="25" t="str">
        <f>VLOOKUP(E975,Customers!$A$2:$I$1001,6,0)</f>
        <v>Pensacola</v>
      </c>
      <c r="J975" s="25" t="str">
        <f>VLOOKUP(E975,Customers!$A$2:$I$1001,7,0)</f>
        <v>United States</v>
      </c>
      <c r="K975" s="23" t="str">
        <f>VLOOKUP(E975,Customers!$A$2:$I$1001,9,0)</f>
        <v>No</v>
      </c>
      <c r="L975" s="4" t="s">
        <v>96</v>
      </c>
      <c r="M975" s="4" t="str">
        <f>VLOOKUP(L975,Products!$A$2:$G$49,2,0)</f>
        <v>Liberica</v>
      </c>
      <c r="N975" s="4" t="str">
        <f>VLOOKUP(L975,Products!$A$2:$G$49,3,0)</f>
        <v>Medium</v>
      </c>
      <c r="O975" s="25">
        <v>6</v>
      </c>
      <c r="P975" s="5">
        <f>INDEX([1]products!$A$1:$G$49,MATCH([1]orders!$D975,[1]products!$A$1:$A$49,0),MATCH([1]orders!K$1,[1]products!$A$1:$G$1,0))</f>
        <v>1</v>
      </c>
      <c r="Q975" s="6">
        <f>INDEX([1]products!$A$1:$G$49,MATCH([1]orders!$D975,[1]products!$A$1:$A$49,0),MATCH([1]orders!L$1,[1]products!$A$1:$G$1,0))</f>
        <v>14.55</v>
      </c>
      <c r="R975" s="6">
        <f t="shared" si="75"/>
        <v>87.300000000000011</v>
      </c>
      <c r="S975">
        <f>VLOOKUP(L975,Products!$A$2:$G$49,7,0)</f>
        <v>1.8915000000000002</v>
      </c>
      <c r="T975">
        <f t="shared" si="78"/>
        <v>11.349</v>
      </c>
      <c r="U975" s="33">
        <f t="shared" si="79"/>
        <v>12.999999999999998</v>
      </c>
    </row>
    <row r="976" spans="1:21" x14ac:dyDescent="0.25">
      <c r="A976" s="1" t="s">
        <v>1871</v>
      </c>
      <c r="B976" s="28">
        <v>43556</v>
      </c>
      <c r="C976" s="21" t="str">
        <f t="shared" si="76"/>
        <v>2019</v>
      </c>
      <c r="D976" s="19" t="str">
        <f t="shared" si="77"/>
        <v>April</v>
      </c>
      <c r="E976" s="3" t="s">
        <v>1872</v>
      </c>
      <c r="F976" s="3" t="str">
        <f>VLOOKUP(E976,Customers!$A$2:$I$1001,2,0)</f>
        <v>Sada Roseborough</v>
      </c>
      <c r="G976" s="3" t="str">
        <f>VLOOKUP(E976,Customers!$A$2:$I$1001,3,0)</f>
        <v>sroseboroughr2@virginia.edu</v>
      </c>
      <c r="H976" s="3" t="str">
        <f>VLOOKUP(E976,Customers!$A$2:$I$1001,4,0)</f>
        <v>+1 (253) 735-5179</v>
      </c>
      <c r="I976" s="25" t="str">
        <f>VLOOKUP(E976,Customers!$A$2:$I$1001,6,0)</f>
        <v>Tacoma</v>
      </c>
      <c r="J976" s="25" t="str">
        <f>VLOOKUP(E976,Customers!$A$2:$I$1001,7,0)</f>
        <v>United States</v>
      </c>
      <c r="K976" s="23" t="str">
        <f>VLOOKUP(E976,Customers!$A$2:$I$1001,9,0)</f>
        <v>Yes</v>
      </c>
      <c r="L976" s="4" t="s">
        <v>146</v>
      </c>
      <c r="M976" s="4" t="str">
        <f>VLOOKUP(L976,Products!$A$2:$G$49,2,0)</f>
        <v>Robusta</v>
      </c>
      <c r="N976" s="4" t="str">
        <f>VLOOKUP(L976,Products!$A$2:$G$49,3,0)</f>
        <v>Dark</v>
      </c>
      <c r="O976" s="25">
        <v>1</v>
      </c>
      <c r="P976" s="5">
        <f>INDEX([1]products!$A$1:$G$49,MATCH([1]orders!$D976,[1]products!$A$1:$A$49,0),MATCH([1]orders!K$1,[1]products!$A$1:$G$1,0))</f>
        <v>0.5</v>
      </c>
      <c r="Q976" s="6">
        <f>INDEX([1]products!$A$1:$G$49,MATCH([1]orders!$D976,[1]products!$A$1:$A$49,0),MATCH([1]orders!L$1,[1]products!$A$1:$G$1,0))</f>
        <v>5.3699999999999992</v>
      </c>
      <c r="R976" s="6">
        <f t="shared" si="75"/>
        <v>5.3699999999999992</v>
      </c>
      <c r="S976">
        <f>VLOOKUP(L976,Products!$A$2:$G$49,7,0)</f>
        <v>0.32219999999999993</v>
      </c>
      <c r="T976">
        <f t="shared" si="78"/>
        <v>0.32219999999999993</v>
      </c>
      <c r="U976" s="33">
        <f t="shared" si="79"/>
        <v>6</v>
      </c>
    </row>
    <row r="977" spans="1:21" x14ac:dyDescent="0.25">
      <c r="A977" s="1" t="s">
        <v>1873</v>
      </c>
      <c r="B977" s="28">
        <v>44538</v>
      </c>
      <c r="C977" s="21" t="str">
        <f t="shared" si="76"/>
        <v>2021</v>
      </c>
      <c r="D977" s="19" t="str">
        <f t="shared" si="77"/>
        <v>December</v>
      </c>
      <c r="E977" s="3" t="s">
        <v>1874</v>
      </c>
      <c r="F977" s="3" t="str">
        <f>VLOOKUP(E977,Customers!$A$2:$I$1001,2,0)</f>
        <v>Clayton Kingwell</v>
      </c>
      <c r="G977" s="3" t="str">
        <f>VLOOKUP(E977,Customers!$A$2:$I$1001,3,0)</f>
        <v>ckingwellr3@squarespace.com</v>
      </c>
      <c r="H977" s="3" t="str">
        <f>VLOOKUP(E977,Customers!$A$2:$I$1001,4,0)</f>
        <v>+353 (182) 469-0985</v>
      </c>
      <c r="I977" s="25" t="str">
        <f>VLOOKUP(E977,Customers!$A$2:$I$1001,6,0)</f>
        <v>Rathnew</v>
      </c>
      <c r="J977" s="25" t="str">
        <f>VLOOKUP(E977,Customers!$A$2:$I$1001,7,0)</f>
        <v>Ireland</v>
      </c>
      <c r="K977" s="23" t="str">
        <f>VLOOKUP(E977,Customers!$A$2:$I$1001,9,0)</f>
        <v>Yes</v>
      </c>
      <c r="L977" s="4" t="s">
        <v>54</v>
      </c>
      <c r="M977" s="4" t="str">
        <f>VLOOKUP(L977,Products!$A$2:$G$49,2,0)</f>
        <v>Arabica</v>
      </c>
      <c r="N977" s="4" t="str">
        <f>VLOOKUP(L977,Products!$A$2:$G$49,3,0)</f>
        <v>Dark</v>
      </c>
      <c r="O977" s="25">
        <v>3</v>
      </c>
      <c r="P977" s="5">
        <f>INDEX([1]products!$A$1:$G$49,MATCH([1]orders!$D977,[1]products!$A$1:$A$49,0),MATCH([1]orders!K$1,[1]products!$A$1:$G$1,0))</f>
        <v>0.2</v>
      </c>
      <c r="Q977" s="6">
        <f>INDEX([1]products!$A$1:$G$49,MATCH([1]orders!$D977,[1]products!$A$1:$A$49,0),MATCH([1]orders!L$1,[1]products!$A$1:$G$1,0))</f>
        <v>2.9849999999999999</v>
      </c>
      <c r="R977" s="6">
        <f t="shared" si="75"/>
        <v>8.9550000000000001</v>
      </c>
      <c r="S977">
        <f>VLOOKUP(L977,Products!$A$2:$G$49,7,0)</f>
        <v>0.26865</v>
      </c>
      <c r="T977">
        <f t="shared" si="78"/>
        <v>0.80594999999999994</v>
      </c>
      <c r="U977" s="33">
        <f t="shared" si="79"/>
        <v>9</v>
      </c>
    </row>
    <row r="978" spans="1:21" x14ac:dyDescent="0.25">
      <c r="A978" s="1" t="s">
        <v>1875</v>
      </c>
      <c r="B978" s="28">
        <v>43643</v>
      </c>
      <c r="C978" s="21" t="str">
        <f t="shared" si="76"/>
        <v>2019</v>
      </c>
      <c r="D978" s="19" t="str">
        <f t="shared" si="77"/>
        <v>June</v>
      </c>
      <c r="E978" s="3" t="s">
        <v>1876</v>
      </c>
      <c r="F978" s="3" t="str">
        <f>VLOOKUP(E978,Customers!$A$2:$I$1001,2,0)</f>
        <v>Kacy Canto</v>
      </c>
      <c r="G978" s="3" t="str">
        <f>VLOOKUP(E978,Customers!$A$2:$I$1001,3,0)</f>
        <v>kcantor4@gmpg.org</v>
      </c>
      <c r="H978" s="3" t="str">
        <f>VLOOKUP(E978,Customers!$A$2:$I$1001,4,0)</f>
        <v>+1 (260) 735-9621</v>
      </c>
      <c r="I978" s="25" t="str">
        <f>VLOOKUP(E978,Customers!$A$2:$I$1001,6,0)</f>
        <v>Fort Wayne</v>
      </c>
      <c r="J978" s="25" t="str">
        <f>VLOOKUP(E978,Customers!$A$2:$I$1001,7,0)</f>
        <v>United States</v>
      </c>
      <c r="K978" s="23" t="str">
        <f>VLOOKUP(E978,Customers!$A$2:$I$1001,9,0)</f>
        <v>Yes</v>
      </c>
      <c r="L978" s="4" t="s">
        <v>10</v>
      </c>
      <c r="M978" s="4" t="str">
        <f>VLOOKUP(L978,Products!$A$2:$G$49,2,0)</f>
        <v>Robusta</v>
      </c>
      <c r="N978" s="4" t="str">
        <f>VLOOKUP(L978,Products!$A$2:$G$49,3,0)</f>
        <v>Light</v>
      </c>
      <c r="O978" s="25">
        <v>5</v>
      </c>
      <c r="P978" s="5">
        <f>INDEX([1]products!$A$1:$G$49,MATCH([1]orders!$D978,[1]products!$A$1:$A$49,0),MATCH([1]orders!K$1,[1]products!$A$1:$G$1,0))</f>
        <v>2.5</v>
      </c>
      <c r="Q978" s="6">
        <f>INDEX([1]products!$A$1:$G$49,MATCH([1]orders!$D978,[1]products!$A$1:$A$49,0),MATCH([1]orders!L$1,[1]products!$A$1:$G$1,0))</f>
        <v>27.484999999999996</v>
      </c>
      <c r="R978" s="6">
        <f t="shared" si="75"/>
        <v>137.42499999999998</v>
      </c>
      <c r="S978">
        <f>VLOOKUP(L978,Products!$A$2:$G$49,7,0)</f>
        <v>1.6490999999999998</v>
      </c>
      <c r="T978">
        <f t="shared" si="78"/>
        <v>8.2454999999999998</v>
      </c>
      <c r="U978" s="33">
        <f t="shared" si="79"/>
        <v>6.0000000000000009</v>
      </c>
    </row>
    <row r="979" spans="1:21" x14ac:dyDescent="0.25">
      <c r="A979" s="1" t="s">
        <v>1877</v>
      </c>
      <c r="B979" s="28">
        <v>44026</v>
      </c>
      <c r="C979" s="21" t="str">
        <f t="shared" si="76"/>
        <v>2020</v>
      </c>
      <c r="D979" s="19" t="str">
        <f t="shared" si="77"/>
        <v>July</v>
      </c>
      <c r="E979" s="3" t="s">
        <v>1878</v>
      </c>
      <c r="F979" s="3" t="str">
        <f>VLOOKUP(E979,Customers!$A$2:$I$1001,2,0)</f>
        <v>Mab Blakemore</v>
      </c>
      <c r="G979" s="3" t="str">
        <f>VLOOKUP(E979,Customers!$A$2:$I$1001,3,0)</f>
        <v>mblakemorer5@nsw.gov.au</v>
      </c>
      <c r="H979" s="3" t="str">
        <f>VLOOKUP(E979,Customers!$A$2:$I$1001,4,0)</f>
        <v>+1 (806) 227-6812</v>
      </c>
      <c r="I979" s="25" t="str">
        <f>VLOOKUP(E979,Customers!$A$2:$I$1001,6,0)</f>
        <v>Amarillo</v>
      </c>
      <c r="J979" s="25" t="str">
        <f>VLOOKUP(E979,Customers!$A$2:$I$1001,7,0)</f>
        <v>United States</v>
      </c>
      <c r="K979" s="23" t="str">
        <f>VLOOKUP(E979,Customers!$A$2:$I$1001,9,0)</f>
        <v>No</v>
      </c>
      <c r="L979" s="4" t="s">
        <v>189</v>
      </c>
      <c r="M979" s="4" t="str">
        <f>VLOOKUP(L979,Products!$A$2:$G$49,2,0)</f>
        <v>Robusta</v>
      </c>
      <c r="N979" s="4" t="str">
        <f>VLOOKUP(L979,Products!$A$2:$G$49,3,0)</f>
        <v>Light</v>
      </c>
      <c r="O979" s="25">
        <v>5</v>
      </c>
      <c r="P979" s="5">
        <f>INDEX([1]products!$A$1:$G$49,MATCH([1]orders!$D979,[1]products!$A$1:$A$49,0),MATCH([1]orders!K$1,[1]products!$A$1:$G$1,0))</f>
        <v>1</v>
      </c>
      <c r="Q979" s="6">
        <f>INDEX([1]products!$A$1:$G$49,MATCH([1]orders!$D979,[1]products!$A$1:$A$49,0),MATCH([1]orders!L$1,[1]products!$A$1:$G$1,0))</f>
        <v>11.95</v>
      </c>
      <c r="R979" s="6">
        <f t="shared" si="75"/>
        <v>59.75</v>
      </c>
      <c r="S979">
        <f>VLOOKUP(L979,Products!$A$2:$G$49,7,0)</f>
        <v>0.71699999999999997</v>
      </c>
      <c r="T979">
        <f t="shared" si="78"/>
        <v>3.585</v>
      </c>
      <c r="U979" s="33">
        <f t="shared" si="79"/>
        <v>6</v>
      </c>
    </row>
    <row r="980" spans="1:21" x14ac:dyDescent="0.25">
      <c r="A980" s="1" t="s">
        <v>1879</v>
      </c>
      <c r="B980" s="28">
        <v>43913</v>
      </c>
      <c r="C980" s="21" t="str">
        <f t="shared" si="76"/>
        <v>2020</v>
      </c>
      <c r="D980" s="19" t="str">
        <f t="shared" si="77"/>
        <v>March</v>
      </c>
      <c r="E980" s="3" t="s">
        <v>1870</v>
      </c>
      <c r="F980" s="3" t="str">
        <f>VLOOKUP(E980,Customers!$A$2:$I$1001,2,0)</f>
        <v>Charlean Keave</v>
      </c>
      <c r="G980" s="3" t="str">
        <f>VLOOKUP(E980,Customers!$A$2:$I$1001,3,0)</f>
        <v>ckeaver1@ucoz.com</v>
      </c>
      <c r="H980" s="3" t="str">
        <f>VLOOKUP(E980,Customers!$A$2:$I$1001,4,0)</f>
        <v>+1 (850) 410-9647</v>
      </c>
      <c r="I980" s="25" t="str">
        <f>VLOOKUP(E980,Customers!$A$2:$I$1001,6,0)</f>
        <v>Pensacola</v>
      </c>
      <c r="J980" s="25" t="str">
        <f>VLOOKUP(E980,Customers!$A$2:$I$1001,7,0)</f>
        <v>United States</v>
      </c>
      <c r="K980" s="23" t="str">
        <f>VLOOKUP(E980,Customers!$A$2:$I$1001,9,0)</f>
        <v>No</v>
      </c>
      <c r="L980" s="4" t="s">
        <v>192</v>
      </c>
      <c r="M980" s="4" t="str">
        <f>VLOOKUP(L980,Products!$A$2:$G$49,2,0)</f>
        <v>Arabica</v>
      </c>
      <c r="N980" s="4" t="str">
        <f>VLOOKUP(L980,Products!$A$2:$G$49,3,0)</f>
        <v>Light</v>
      </c>
      <c r="O980" s="25">
        <v>3</v>
      </c>
      <c r="P980" s="5">
        <f>INDEX([1]products!$A$1:$G$49,MATCH([1]orders!$D980,[1]products!$A$1:$A$49,0),MATCH([1]orders!K$1,[1]products!$A$1:$G$1,0))</f>
        <v>0.5</v>
      </c>
      <c r="Q980" s="6">
        <f>INDEX([1]products!$A$1:$G$49,MATCH([1]orders!$D980,[1]products!$A$1:$A$49,0),MATCH([1]orders!L$1,[1]products!$A$1:$G$1,0))</f>
        <v>7.77</v>
      </c>
      <c r="R980" s="6">
        <f t="shared" si="75"/>
        <v>23.31</v>
      </c>
      <c r="S980">
        <f>VLOOKUP(L980,Products!$A$2:$G$49,7,0)</f>
        <v>0.69929999999999992</v>
      </c>
      <c r="T980">
        <f t="shared" si="78"/>
        <v>2.0978999999999997</v>
      </c>
      <c r="U980" s="33">
        <f t="shared" si="79"/>
        <v>9</v>
      </c>
    </row>
    <row r="981" spans="1:21" x14ac:dyDescent="0.25">
      <c r="A981" s="1" t="s">
        <v>1880</v>
      </c>
      <c r="B981" s="28">
        <v>43856</v>
      </c>
      <c r="C981" s="21" t="str">
        <f t="shared" si="76"/>
        <v>2020</v>
      </c>
      <c r="D981" s="19" t="str">
        <f t="shared" si="77"/>
        <v>January</v>
      </c>
      <c r="E981" s="3" t="s">
        <v>1881</v>
      </c>
      <c r="F981" s="3" t="str">
        <f>VLOOKUP(E981,Customers!$A$2:$I$1001,2,0)</f>
        <v>Javier Causnett</v>
      </c>
      <c r="G981" s="3" t="str">
        <f>VLOOKUP(E981,Customers!$A$2:$I$1001,3,0)</f>
        <v>UNKNOWN</v>
      </c>
      <c r="H981" s="3" t="str">
        <f>VLOOKUP(E981,Customers!$A$2:$I$1001,4,0)</f>
        <v>+1 (301) 396-9701</v>
      </c>
      <c r="I981" s="25" t="str">
        <f>VLOOKUP(E981,Customers!$A$2:$I$1001,6,0)</f>
        <v>Silver Spring</v>
      </c>
      <c r="J981" s="25" t="str">
        <f>VLOOKUP(E981,Customers!$A$2:$I$1001,7,0)</f>
        <v>United States</v>
      </c>
      <c r="K981" s="23" t="str">
        <f>VLOOKUP(E981,Customers!$A$2:$I$1001,9,0)</f>
        <v>No</v>
      </c>
      <c r="L981" s="4" t="s">
        <v>146</v>
      </c>
      <c r="M981" s="4" t="str">
        <f>VLOOKUP(L981,Products!$A$2:$G$49,2,0)</f>
        <v>Robusta</v>
      </c>
      <c r="N981" s="4" t="str">
        <f>VLOOKUP(L981,Products!$A$2:$G$49,3,0)</f>
        <v>Dark</v>
      </c>
      <c r="O981" s="25">
        <v>2</v>
      </c>
      <c r="P981" s="5">
        <f>INDEX([1]products!$A$1:$G$49,MATCH([1]orders!$D981,[1]products!$A$1:$A$49,0),MATCH([1]orders!K$1,[1]products!$A$1:$G$1,0))</f>
        <v>0.5</v>
      </c>
      <c r="Q981" s="6">
        <f>INDEX([1]products!$A$1:$G$49,MATCH([1]orders!$D981,[1]products!$A$1:$A$49,0),MATCH([1]orders!L$1,[1]products!$A$1:$G$1,0))</f>
        <v>5.3699999999999992</v>
      </c>
      <c r="R981" s="6">
        <f t="shared" si="75"/>
        <v>10.739999999999998</v>
      </c>
      <c r="S981">
        <f>VLOOKUP(L981,Products!$A$2:$G$49,7,0)</f>
        <v>0.32219999999999993</v>
      </c>
      <c r="T981">
        <f t="shared" si="78"/>
        <v>0.64439999999999986</v>
      </c>
      <c r="U981" s="33">
        <f t="shared" si="79"/>
        <v>6</v>
      </c>
    </row>
    <row r="982" spans="1:21" x14ac:dyDescent="0.25">
      <c r="A982" s="1" t="s">
        <v>1882</v>
      </c>
      <c r="B982" s="28">
        <v>43982</v>
      </c>
      <c r="C982" s="21" t="str">
        <f t="shared" si="76"/>
        <v>2020</v>
      </c>
      <c r="D982" s="19" t="str">
        <f t="shared" si="77"/>
        <v>May</v>
      </c>
      <c r="E982" s="3" t="s">
        <v>1883</v>
      </c>
      <c r="F982" s="3" t="str">
        <f>VLOOKUP(E982,Customers!$A$2:$I$1001,2,0)</f>
        <v>Demetris Micheli</v>
      </c>
      <c r="G982" s="3" t="str">
        <f>VLOOKUP(E982,Customers!$A$2:$I$1001,3,0)</f>
        <v>UNKNOWN</v>
      </c>
      <c r="H982" s="3" t="str">
        <f>VLOOKUP(E982,Customers!$A$2:$I$1001,4,0)</f>
        <v>+1 (608) 138-8374</v>
      </c>
      <c r="I982" s="25" t="str">
        <f>VLOOKUP(E982,Customers!$A$2:$I$1001,6,0)</f>
        <v>Madison</v>
      </c>
      <c r="J982" s="25" t="str">
        <f>VLOOKUP(E982,Customers!$A$2:$I$1001,7,0)</f>
        <v>United States</v>
      </c>
      <c r="K982" s="23" t="str">
        <f>VLOOKUP(E982,Customers!$A$2:$I$1001,9,0)</f>
        <v>Yes</v>
      </c>
      <c r="L982" s="4" t="s">
        <v>530</v>
      </c>
      <c r="M982" s="4" t="str">
        <f>VLOOKUP(L982,Products!$A$2:$G$49,2,0)</f>
        <v>Excelsa</v>
      </c>
      <c r="N982" s="4" t="str">
        <f>VLOOKUP(L982,Products!$A$2:$G$49,3,0)</f>
        <v>Dark</v>
      </c>
      <c r="O982" s="25">
        <v>6</v>
      </c>
      <c r="P982" s="5">
        <f>INDEX([1]products!$A$1:$G$49,MATCH([1]orders!$D982,[1]products!$A$1:$A$49,0),MATCH([1]orders!K$1,[1]products!$A$1:$G$1,0))</f>
        <v>2.5</v>
      </c>
      <c r="Q982" s="6">
        <f>INDEX([1]products!$A$1:$G$49,MATCH([1]orders!$D982,[1]products!$A$1:$A$49,0),MATCH([1]orders!L$1,[1]products!$A$1:$G$1,0))</f>
        <v>27.945</v>
      </c>
      <c r="R982" s="6">
        <f t="shared" si="75"/>
        <v>167.67000000000002</v>
      </c>
      <c r="S982">
        <f>VLOOKUP(L982,Products!$A$2:$G$49,7,0)</f>
        <v>3.07395</v>
      </c>
      <c r="T982">
        <f t="shared" si="78"/>
        <v>18.4437</v>
      </c>
      <c r="U982" s="33">
        <f t="shared" si="79"/>
        <v>10.999999999999998</v>
      </c>
    </row>
    <row r="983" spans="1:21" x14ac:dyDescent="0.25">
      <c r="A983" s="1" t="s">
        <v>1884</v>
      </c>
      <c r="B983" s="28">
        <v>44397</v>
      </c>
      <c r="C983" s="21" t="str">
        <f t="shared" si="76"/>
        <v>2021</v>
      </c>
      <c r="D983" s="19" t="str">
        <f t="shared" si="77"/>
        <v>July</v>
      </c>
      <c r="E983" s="3" t="s">
        <v>1885</v>
      </c>
      <c r="F983" s="3" t="str">
        <f>VLOOKUP(E983,Customers!$A$2:$I$1001,2,0)</f>
        <v>Chloette Bernardot</v>
      </c>
      <c r="G983" s="3" t="str">
        <f>VLOOKUP(E983,Customers!$A$2:$I$1001,3,0)</f>
        <v>cbernardotr9@wix.com</v>
      </c>
      <c r="H983" s="3" t="str">
        <f>VLOOKUP(E983,Customers!$A$2:$I$1001,4,0)</f>
        <v>+1 (936) 783-5732</v>
      </c>
      <c r="I983" s="25" t="str">
        <f>VLOOKUP(E983,Customers!$A$2:$I$1001,6,0)</f>
        <v>Conroe</v>
      </c>
      <c r="J983" s="25" t="str">
        <f>VLOOKUP(E983,Customers!$A$2:$I$1001,7,0)</f>
        <v>United States</v>
      </c>
      <c r="K983" s="23" t="str">
        <f>VLOOKUP(E983,Customers!$A$2:$I$1001,9,0)</f>
        <v>Yes</v>
      </c>
      <c r="L983" s="4" t="s">
        <v>51</v>
      </c>
      <c r="M983" s="4" t="str">
        <f>VLOOKUP(L983,Products!$A$2:$G$49,2,0)</f>
        <v>Excelsa</v>
      </c>
      <c r="N983" s="4" t="str">
        <f>VLOOKUP(L983,Products!$A$2:$G$49,3,0)</f>
        <v>Dark</v>
      </c>
      <c r="O983" s="25">
        <v>6</v>
      </c>
      <c r="P983" s="5">
        <f>INDEX([1]products!$A$1:$G$49,MATCH([1]orders!$D983,[1]products!$A$1:$A$49,0),MATCH([1]orders!K$1,[1]products!$A$1:$G$1,0))</f>
        <v>0.2</v>
      </c>
      <c r="Q983" s="6">
        <f>INDEX([1]products!$A$1:$G$49,MATCH([1]orders!$D983,[1]products!$A$1:$A$49,0),MATCH([1]orders!L$1,[1]products!$A$1:$G$1,0))</f>
        <v>3.645</v>
      </c>
      <c r="R983" s="6">
        <f t="shared" si="75"/>
        <v>21.87</v>
      </c>
      <c r="S983">
        <f>VLOOKUP(L983,Products!$A$2:$G$49,7,0)</f>
        <v>0.40095000000000003</v>
      </c>
      <c r="T983">
        <f t="shared" si="78"/>
        <v>2.4057000000000004</v>
      </c>
      <c r="U983" s="33">
        <f t="shared" si="79"/>
        <v>11.000000000000002</v>
      </c>
    </row>
    <row r="984" spans="1:21" x14ac:dyDescent="0.25">
      <c r="A984" s="1" t="s">
        <v>1886</v>
      </c>
      <c r="B984" s="28">
        <v>44785</v>
      </c>
      <c r="C984" s="21" t="str">
        <f t="shared" si="76"/>
        <v>2022</v>
      </c>
      <c r="D984" s="19" t="str">
        <f t="shared" si="77"/>
        <v>August</v>
      </c>
      <c r="E984" s="3" t="s">
        <v>1887</v>
      </c>
      <c r="F984" s="3" t="str">
        <f>VLOOKUP(E984,Customers!$A$2:$I$1001,2,0)</f>
        <v>Kim Kemery</v>
      </c>
      <c r="G984" s="3" t="str">
        <f>VLOOKUP(E984,Customers!$A$2:$I$1001,3,0)</f>
        <v>kkemeryra@t.co</v>
      </c>
      <c r="H984" s="3" t="str">
        <f>VLOOKUP(E984,Customers!$A$2:$I$1001,4,0)</f>
        <v>+1 (817) 407-3513</v>
      </c>
      <c r="I984" s="25" t="str">
        <f>VLOOKUP(E984,Customers!$A$2:$I$1001,6,0)</f>
        <v>Denton</v>
      </c>
      <c r="J984" s="25" t="str">
        <f>VLOOKUP(E984,Customers!$A$2:$I$1001,7,0)</f>
        <v>United States</v>
      </c>
      <c r="K984" s="23" t="str">
        <f>VLOOKUP(E984,Customers!$A$2:$I$1001,9,0)</f>
        <v>Yes</v>
      </c>
      <c r="L984" s="4" t="s">
        <v>189</v>
      </c>
      <c r="M984" s="4" t="str">
        <f>VLOOKUP(L984,Products!$A$2:$G$49,2,0)</f>
        <v>Robusta</v>
      </c>
      <c r="N984" s="4" t="str">
        <f>VLOOKUP(L984,Products!$A$2:$G$49,3,0)</f>
        <v>Light</v>
      </c>
      <c r="O984" s="25">
        <v>2</v>
      </c>
      <c r="P984" s="5">
        <f>INDEX([1]products!$A$1:$G$49,MATCH([1]orders!$D984,[1]products!$A$1:$A$49,0),MATCH([1]orders!K$1,[1]products!$A$1:$G$1,0))</f>
        <v>1</v>
      </c>
      <c r="Q984" s="6">
        <f>INDEX([1]products!$A$1:$G$49,MATCH([1]orders!$D984,[1]products!$A$1:$A$49,0),MATCH([1]orders!L$1,[1]products!$A$1:$G$1,0))</f>
        <v>11.95</v>
      </c>
      <c r="R984" s="6">
        <f t="shared" si="75"/>
        <v>23.9</v>
      </c>
      <c r="S984">
        <f>VLOOKUP(L984,Products!$A$2:$G$49,7,0)</f>
        <v>0.71699999999999997</v>
      </c>
      <c r="T984">
        <f t="shared" si="78"/>
        <v>1.4339999999999999</v>
      </c>
      <c r="U984" s="33">
        <f t="shared" si="79"/>
        <v>6</v>
      </c>
    </row>
    <row r="985" spans="1:21" x14ac:dyDescent="0.25">
      <c r="A985" s="1" t="s">
        <v>1888</v>
      </c>
      <c r="B985" s="28">
        <v>43831</v>
      </c>
      <c r="C985" s="21" t="str">
        <f t="shared" si="76"/>
        <v>2020</v>
      </c>
      <c r="D985" s="19" t="str">
        <f t="shared" si="77"/>
        <v>January</v>
      </c>
      <c r="E985" s="3" t="s">
        <v>1889</v>
      </c>
      <c r="F985" s="3" t="str">
        <f>VLOOKUP(E985,Customers!$A$2:$I$1001,2,0)</f>
        <v>Fanchette Parlot</v>
      </c>
      <c r="G985" s="3" t="str">
        <f>VLOOKUP(E985,Customers!$A$2:$I$1001,3,0)</f>
        <v>fparlotrb@forbes.com</v>
      </c>
      <c r="H985" s="3" t="str">
        <f>VLOOKUP(E985,Customers!$A$2:$I$1001,4,0)</f>
        <v>+1 (614) 706-1246</v>
      </c>
      <c r="I985" s="25" t="str">
        <f>VLOOKUP(E985,Customers!$A$2:$I$1001,6,0)</f>
        <v>Columbus</v>
      </c>
      <c r="J985" s="25" t="str">
        <f>VLOOKUP(E985,Customers!$A$2:$I$1001,7,0)</f>
        <v>United States</v>
      </c>
      <c r="K985" s="23" t="str">
        <f>VLOOKUP(E985,Customers!$A$2:$I$1001,9,0)</f>
        <v>Yes</v>
      </c>
      <c r="L985" s="4" t="s">
        <v>44</v>
      </c>
      <c r="M985" s="4" t="str">
        <f>VLOOKUP(L985,Products!$A$2:$G$49,2,0)</f>
        <v>Arabica</v>
      </c>
      <c r="N985" s="4" t="str">
        <f>VLOOKUP(L985,Products!$A$2:$G$49,3,0)</f>
        <v>Medium</v>
      </c>
      <c r="O985" s="25">
        <v>2</v>
      </c>
      <c r="P985" s="5">
        <f>INDEX([1]products!$A$1:$G$49,MATCH([1]orders!$D985,[1]products!$A$1:$A$49,0),MATCH([1]orders!K$1,[1]products!$A$1:$G$1,0))</f>
        <v>0.2</v>
      </c>
      <c r="Q985" s="6">
        <f>INDEX([1]products!$A$1:$G$49,MATCH([1]orders!$D985,[1]products!$A$1:$A$49,0),MATCH([1]orders!L$1,[1]products!$A$1:$G$1,0))</f>
        <v>3.375</v>
      </c>
      <c r="R985" s="4">
        <f t="shared" si="75"/>
        <v>6.75</v>
      </c>
      <c r="S985">
        <f>VLOOKUP(L985,Products!$A$2:$G$49,7,0)</f>
        <v>0.30374999999999996</v>
      </c>
      <c r="T985">
        <f t="shared" si="78"/>
        <v>0.60749999999999993</v>
      </c>
      <c r="U985" s="33">
        <f t="shared" si="79"/>
        <v>8.9999999999999982</v>
      </c>
    </row>
    <row r="986" spans="1:21" x14ac:dyDescent="0.25">
      <c r="A986" s="1" t="s">
        <v>1890</v>
      </c>
      <c r="B986" s="28">
        <v>44214</v>
      </c>
      <c r="C986" s="21" t="str">
        <f t="shared" si="76"/>
        <v>2021</v>
      </c>
      <c r="D986" s="19" t="str">
        <f t="shared" si="77"/>
        <v>January</v>
      </c>
      <c r="E986" s="3" t="s">
        <v>1891</v>
      </c>
      <c r="F986" s="3" t="str">
        <f>VLOOKUP(E986,Customers!$A$2:$I$1001,2,0)</f>
        <v>Ramon Cheak</v>
      </c>
      <c r="G986" s="3" t="str">
        <f>VLOOKUP(E986,Customers!$A$2:$I$1001,3,0)</f>
        <v>rcheakrc@tripadvisor.com</v>
      </c>
      <c r="H986" s="3" t="str">
        <f>VLOOKUP(E986,Customers!$A$2:$I$1001,4,0)</f>
        <v>UNKNOWN</v>
      </c>
      <c r="I986" s="25" t="str">
        <f>VLOOKUP(E986,Customers!$A$2:$I$1001,6,0)</f>
        <v>Bundoran</v>
      </c>
      <c r="J986" s="25" t="str">
        <f>VLOOKUP(E986,Customers!$A$2:$I$1001,7,0)</f>
        <v>Ireland</v>
      </c>
      <c r="K986" s="23" t="str">
        <f>VLOOKUP(E986,Customers!$A$2:$I$1001,9,0)</f>
        <v>Yes</v>
      </c>
      <c r="L986" s="4" t="s">
        <v>112</v>
      </c>
      <c r="M986" s="4" t="str">
        <f>VLOOKUP(L986,Products!$A$2:$G$49,2,0)</f>
        <v>Excelsa</v>
      </c>
      <c r="N986" s="4" t="str">
        <f>VLOOKUP(L986,Products!$A$2:$G$49,3,0)</f>
        <v>Medium</v>
      </c>
      <c r="O986" s="25">
        <v>1</v>
      </c>
      <c r="P986" s="5">
        <f>INDEX([1]products!$A$1:$G$49,MATCH([1]orders!$D986,[1]products!$A$1:$A$49,0),MATCH([1]orders!K$1,[1]products!$A$1:$G$1,0))</f>
        <v>2.5</v>
      </c>
      <c r="Q986" s="6">
        <f>INDEX([1]products!$A$1:$G$49,MATCH([1]orders!$D986,[1]products!$A$1:$A$49,0),MATCH([1]orders!L$1,[1]products!$A$1:$G$1,0))</f>
        <v>31.624999999999996</v>
      </c>
      <c r="R986" s="6">
        <f t="shared" si="75"/>
        <v>31.624999999999996</v>
      </c>
      <c r="S986">
        <f>VLOOKUP(L986,Products!$A$2:$G$49,7,0)</f>
        <v>3.4787499999999998</v>
      </c>
      <c r="T986">
        <f t="shared" si="78"/>
        <v>3.4787499999999998</v>
      </c>
      <c r="U986" s="33">
        <f t="shared" si="79"/>
        <v>11</v>
      </c>
    </row>
    <row r="987" spans="1:21" x14ac:dyDescent="0.25">
      <c r="A987" s="1" t="s">
        <v>1892</v>
      </c>
      <c r="B987" s="28">
        <v>44561</v>
      </c>
      <c r="C987" s="21" t="str">
        <f t="shared" si="76"/>
        <v>2021</v>
      </c>
      <c r="D987" s="19" t="str">
        <f t="shared" si="77"/>
        <v>December</v>
      </c>
      <c r="E987" s="3" t="s">
        <v>1893</v>
      </c>
      <c r="F987" s="3" t="str">
        <f>VLOOKUP(E987,Customers!$A$2:$I$1001,2,0)</f>
        <v>Koressa O'Geneay</v>
      </c>
      <c r="G987" s="3" t="str">
        <f>VLOOKUP(E987,Customers!$A$2:$I$1001,3,0)</f>
        <v>kogeneayrd@utexas.edu</v>
      </c>
      <c r="H987" s="3" t="str">
        <f>VLOOKUP(E987,Customers!$A$2:$I$1001,4,0)</f>
        <v>+1 (303) 637-0326</v>
      </c>
      <c r="I987" s="25" t="str">
        <f>VLOOKUP(E987,Customers!$A$2:$I$1001,6,0)</f>
        <v>Aurora</v>
      </c>
      <c r="J987" s="25" t="str">
        <f>VLOOKUP(E987,Customers!$A$2:$I$1001,7,0)</f>
        <v>United States</v>
      </c>
      <c r="K987" s="23" t="str">
        <f>VLOOKUP(E987,Customers!$A$2:$I$1001,9,0)</f>
        <v>No</v>
      </c>
      <c r="L987" s="4" t="s">
        <v>189</v>
      </c>
      <c r="M987" s="4" t="str">
        <f>VLOOKUP(L987,Products!$A$2:$G$49,2,0)</f>
        <v>Robusta</v>
      </c>
      <c r="N987" s="4" t="str">
        <f>VLOOKUP(L987,Products!$A$2:$G$49,3,0)</f>
        <v>Light</v>
      </c>
      <c r="O987" s="25">
        <v>4</v>
      </c>
      <c r="P987" s="5">
        <f>INDEX([1]products!$A$1:$G$49,MATCH([1]orders!$D987,[1]products!$A$1:$A$49,0),MATCH([1]orders!K$1,[1]products!$A$1:$G$1,0))</f>
        <v>1</v>
      </c>
      <c r="Q987" s="6">
        <f>INDEX([1]products!$A$1:$G$49,MATCH([1]orders!$D987,[1]products!$A$1:$A$49,0),MATCH([1]orders!L$1,[1]products!$A$1:$G$1,0))</f>
        <v>11.95</v>
      </c>
      <c r="R987" s="6">
        <f t="shared" si="75"/>
        <v>47.8</v>
      </c>
      <c r="S987">
        <f>VLOOKUP(L987,Products!$A$2:$G$49,7,0)</f>
        <v>0.71699999999999997</v>
      </c>
      <c r="T987">
        <f t="shared" si="78"/>
        <v>2.8679999999999999</v>
      </c>
      <c r="U987" s="33">
        <f t="shared" si="79"/>
        <v>6</v>
      </c>
    </row>
    <row r="988" spans="1:21" x14ac:dyDescent="0.25">
      <c r="A988" s="1" t="s">
        <v>1894</v>
      </c>
      <c r="B988" s="28">
        <v>43955</v>
      </c>
      <c r="C988" s="21" t="str">
        <f t="shared" si="76"/>
        <v>2020</v>
      </c>
      <c r="D988" s="19" t="str">
        <f t="shared" si="77"/>
        <v>May</v>
      </c>
      <c r="E988" s="3" t="s">
        <v>1895</v>
      </c>
      <c r="F988" s="3" t="str">
        <f>VLOOKUP(E988,Customers!$A$2:$I$1001,2,0)</f>
        <v>Claudell Ayre</v>
      </c>
      <c r="G988" s="3" t="str">
        <f>VLOOKUP(E988,Customers!$A$2:$I$1001,3,0)</f>
        <v>cayrere@symantec.com</v>
      </c>
      <c r="H988" s="3" t="str">
        <f>VLOOKUP(E988,Customers!$A$2:$I$1001,4,0)</f>
        <v>+1 (386) 573-2575</v>
      </c>
      <c r="I988" s="25" t="str">
        <f>VLOOKUP(E988,Customers!$A$2:$I$1001,6,0)</f>
        <v>Daytona Beach</v>
      </c>
      <c r="J988" s="25" t="str">
        <f>VLOOKUP(E988,Customers!$A$2:$I$1001,7,0)</f>
        <v>United States</v>
      </c>
      <c r="K988" s="23" t="str">
        <f>VLOOKUP(E988,Customers!$A$2:$I$1001,9,0)</f>
        <v>No</v>
      </c>
      <c r="L988" s="4" t="s">
        <v>197</v>
      </c>
      <c r="M988" s="4" t="str">
        <f>VLOOKUP(L988,Products!$A$2:$G$49,2,0)</f>
        <v>Liberica</v>
      </c>
      <c r="N988" s="4" t="str">
        <f>VLOOKUP(L988,Products!$A$2:$G$49,3,0)</f>
        <v>Medium</v>
      </c>
      <c r="O988" s="25">
        <v>1</v>
      </c>
      <c r="P988" s="5">
        <f>INDEX([1]products!$A$1:$G$49,MATCH([1]orders!$D988,[1]products!$A$1:$A$49,0),MATCH([1]orders!K$1,[1]products!$A$1:$G$1,0))</f>
        <v>2.5</v>
      </c>
      <c r="Q988" s="6">
        <f>INDEX([1]products!$A$1:$G$49,MATCH([1]orders!$D988,[1]products!$A$1:$A$49,0),MATCH([1]orders!L$1,[1]products!$A$1:$G$1,0))</f>
        <v>33.464999999999996</v>
      </c>
      <c r="R988" s="6">
        <f t="shared" si="75"/>
        <v>33.464999999999996</v>
      </c>
      <c r="S988">
        <f>VLOOKUP(L988,Products!$A$2:$G$49,7,0)</f>
        <v>4.3504499999999995</v>
      </c>
      <c r="T988">
        <f t="shared" si="78"/>
        <v>4.3504499999999995</v>
      </c>
      <c r="U988" s="33">
        <f t="shared" si="79"/>
        <v>13</v>
      </c>
    </row>
    <row r="989" spans="1:21" x14ac:dyDescent="0.25">
      <c r="A989" s="1" t="s">
        <v>1896</v>
      </c>
      <c r="B989" s="28">
        <v>44247</v>
      </c>
      <c r="C989" s="21" t="str">
        <f t="shared" si="76"/>
        <v>2021</v>
      </c>
      <c r="D989" s="19" t="str">
        <f t="shared" si="77"/>
        <v>February</v>
      </c>
      <c r="E989" s="3" t="s">
        <v>1897</v>
      </c>
      <c r="F989" s="3" t="str">
        <f>VLOOKUP(E989,Customers!$A$2:$I$1001,2,0)</f>
        <v>Lorianne Kyneton</v>
      </c>
      <c r="G989" s="3" t="str">
        <f>VLOOKUP(E989,Customers!$A$2:$I$1001,3,0)</f>
        <v>lkynetonrf@macromedia.com</v>
      </c>
      <c r="H989" s="3" t="str">
        <f>VLOOKUP(E989,Customers!$A$2:$I$1001,4,0)</f>
        <v>+44 (618) 634-9365</v>
      </c>
      <c r="I989" s="25" t="str">
        <f>VLOOKUP(E989,Customers!$A$2:$I$1001,6,0)</f>
        <v>Seaton</v>
      </c>
      <c r="J989" s="25" t="str">
        <f>VLOOKUP(E989,Customers!$A$2:$I$1001,7,0)</f>
        <v>United Kingdom</v>
      </c>
      <c r="K989" s="23" t="str">
        <f>VLOOKUP(E989,Customers!$A$2:$I$1001,9,0)</f>
        <v>Yes</v>
      </c>
      <c r="L989" s="4" t="s">
        <v>72</v>
      </c>
      <c r="M989" s="4" t="str">
        <f>VLOOKUP(L989,Products!$A$2:$G$49,2,0)</f>
        <v>Arabica</v>
      </c>
      <c r="N989" s="4" t="str">
        <f>VLOOKUP(L989,Products!$A$2:$G$49,3,0)</f>
        <v>Dark</v>
      </c>
      <c r="O989" s="25">
        <v>5</v>
      </c>
      <c r="P989" s="5">
        <f>INDEX([1]products!$A$1:$G$49,MATCH([1]orders!$D989,[1]products!$A$1:$A$49,0),MATCH([1]orders!K$1,[1]products!$A$1:$G$1,0))</f>
        <v>0.5</v>
      </c>
      <c r="Q989" s="6">
        <f>INDEX([1]products!$A$1:$G$49,MATCH([1]orders!$D989,[1]products!$A$1:$A$49,0),MATCH([1]orders!L$1,[1]products!$A$1:$G$1,0))</f>
        <v>5.97</v>
      </c>
      <c r="R989" s="6">
        <f t="shared" si="75"/>
        <v>29.849999999999998</v>
      </c>
      <c r="S989">
        <f>VLOOKUP(L989,Products!$A$2:$G$49,7,0)</f>
        <v>0.5373</v>
      </c>
      <c r="T989">
        <f t="shared" si="78"/>
        <v>2.6865000000000001</v>
      </c>
      <c r="U989" s="33">
        <f t="shared" si="79"/>
        <v>9.0000000000000018</v>
      </c>
    </row>
    <row r="990" spans="1:21" x14ac:dyDescent="0.25">
      <c r="A990" s="1" t="s">
        <v>1898</v>
      </c>
      <c r="B990" s="28">
        <v>43897</v>
      </c>
      <c r="C990" s="21" t="str">
        <f t="shared" si="76"/>
        <v>2020</v>
      </c>
      <c r="D990" s="19" t="str">
        <f t="shared" si="77"/>
        <v>March</v>
      </c>
      <c r="E990" s="3" t="s">
        <v>1899</v>
      </c>
      <c r="F990" s="3" t="str">
        <f>VLOOKUP(E990,Customers!$A$2:$I$1001,2,0)</f>
        <v>Adele McFayden</v>
      </c>
      <c r="G990" s="3" t="str">
        <f>VLOOKUP(E990,Customers!$A$2:$I$1001,3,0)</f>
        <v>UNKNOWN</v>
      </c>
      <c r="H990" s="3" t="str">
        <f>VLOOKUP(E990,Customers!$A$2:$I$1001,4,0)</f>
        <v>+44 (123) 755-7484</v>
      </c>
      <c r="I990" s="25" t="str">
        <f>VLOOKUP(E990,Customers!$A$2:$I$1001,6,0)</f>
        <v>Wirral</v>
      </c>
      <c r="J990" s="25" t="str">
        <f>VLOOKUP(E990,Customers!$A$2:$I$1001,7,0)</f>
        <v>United Kingdom</v>
      </c>
      <c r="K990" s="23" t="str">
        <f>VLOOKUP(E990,Customers!$A$2:$I$1001,9,0)</f>
        <v>Yes</v>
      </c>
      <c r="L990" s="4" t="s">
        <v>2</v>
      </c>
      <c r="M990" s="4" t="str">
        <f>VLOOKUP(L990,Products!$A$2:$G$49,2,0)</f>
        <v>Robusta</v>
      </c>
      <c r="N990" s="4" t="str">
        <f>VLOOKUP(L990,Products!$A$2:$G$49,3,0)</f>
        <v>Medium</v>
      </c>
      <c r="O990" s="25">
        <v>3</v>
      </c>
      <c r="P990" s="5">
        <f>INDEX([1]products!$A$1:$G$49,MATCH([1]orders!$D990,[1]products!$A$1:$A$49,0),MATCH([1]orders!K$1,[1]products!$A$1:$G$1,0))</f>
        <v>1</v>
      </c>
      <c r="Q990" s="6">
        <f>INDEX([1]products!$A$1:$G$49,MATCH([1]orders!$D990,[1]products!$A$1:$A$49,0),MATCH([1]orders!L$1,[1]products!$A$1:$G$1,0))</f>
        <v>9.9499999999999993</v>
      </c>
      <c r="R990" s="6">
        <f t="shared" si="75"/>
        <v>29.849999999999998</v>
      </c>
      <c r="S990">
        <f>VLOOKUP(L990,Products!$A$2:$G$49,7,0)</f>
        <v>0.59699999999999998</v>
      </c>
      <c r="T990">
        <f t="shared" si="78"/>
        <v>1.7909999999999999</v>
      </c>
      <c r="U990" s="33">
        <f t="shared" si="79"/>
        <v>6.0000000000000009</v>
      </c>
    </row>
    <row r="991" spans="1:21" x14ac:dyDescent="0.25">
      <c r="A991" s="1" t="s">
        <v>1900</v>
      </c>
      <c r="B991" s="28">
        <v>43560</v>
      </c>
      <c r="C991" s="21" t="str">
        <f t="shared" si="76"/>
        <v>2019</v>
      </c>
      <c r="D991" s="19" t="str">
        <f t="shared" si="77"/>
        <v>April</v>
      </c>
      <c r="E991" s="3" t="s">
        <v>1901</v>
      </c>
      <c r="F991" s="3" t="str">
        <f>VLOOKUP(E991,Customers!$A$2:$I$1001,2,0)</f>
        <v>Herta Layne</v>
      </c>
      <c r="G991" s="3" t="str">
        <f>VLOOKUP(E991,Customers!$A$2:$I$1001,3,0)</f>
        <v>UNKNOWN</v>
      </c>
      <c r="H991" s="3" t="str">
        <f>VLOOKUP(E991,Customers!$A$2:$I$1001,4,0)</f>
        <v>+1 (636) 143-8338</v>
      </c>
      <c r="I991" s="25" t="str">
        <f>VLOOKUP(E991,Customers!$A$2:$I$1001,6,0)</f>
        <v>Saint Louis</v>
      </c>
      <c r="J991" s="25" t="str">
        <f>VLOOKUP(E991,Customers!$A$2:$I$1001,7,0)</f>
        <v>United States</v>
      </c>
      <c r="K991" s="23" t="str">
        <f>VLOOKUP(E991,Customers!$A$2:$I$1001,9,0)</f>
        <v>Yes</v>
      </c>
      <c r="L991" s="4" t="s">
        <v>171</v>
      </c>
      <c r="M991" s="4" t="str">
        <f>VLOOKUP(L991,Products!$A$2:$G$49,2,0)</f>
        <v>Arabica</v>
      </c>
      <c r="N991" s="4" t="str">
        <f>VLOOKUP(L991,Products!$A$2:$G$49,3,0)</f>
        <v>Medium</v>
      </c>
      <c r="O991" s="25">
        <v>6</v>
      </c>
      <c r="P991" s="5">
        <f>INDEX([1]products!$A$1:$G$49,MATCH([1]orders!$D991,[1]products!$A$1:$A$49,0),MATCH([1]orders!K$1,[1]products!$A$1:$G$1,0))</f>
        <v>2.5</v>
      </c>
      <c r="Q991" s="6">
        <f>INDEX([1]products!$A$1:$G$49,MATCH([1]orders!$D991,[1]products!$A$1:$A$49,0),MATCH([1]orders!L$1,[1]products!$A$1:$G$1,0))</f>
        <v>25.874999999999996</v>
      </c>
      <c r="R991" s="6">
        <f t="shared" si="75"/>
        <v>155.24999999999997</v>
      </c>
      <c r="S991">
        <f>VLOOKUP(L991,Products!$A$2:$G$49,7,0)</f>
        <v>2.3287499999999994</v>
      </c>
      <c r="T991">
        <f t="shared" si="78"/>
        <v>13.972499999999997</v>
      </c>
      <c r="U991" s="33">
        <f t="shared" si="79"/>
        <v>9</v>
      </c>
    </row>
    <row r="992" spans="1:21" x14ac:dyDescent="0.25">
      <c r="A992" s="1" t="s">
        <v>1902</v>
      </c>
      <c r="B992" s="28">
        <v>44718</v>
      </c>
      <c r="C992" s="21" t="str">
        <f t="shared" si="76"/>
        <v>2022</v>
      </c>
      <c r="D992" s="19" t="str">
        <f t="shared" si="77"/>
        <v>June</v>
      </c>
      <c r="E992" s="3" t="s">
        <v>1903</v>
      </c>
      <c r="F992" s="3" t="str">
        <f>VLOOKUP(E992,Customers!$A$2:$I$1001,2,0)</f>
        <v>Marguerite Graves</v>
      </c>
      <c r="G992" s="3" t="str">
        <f>VLOOKUP(E992,Customers!$A$2:$I$1001,3,0)</f>
        <v>UNKNOWN</v>
      </c>
      <c r="H992" s="3" t="str">
        <f>VLOOKUP(E992,Customers!$A$2:$I$1001,4,0)</f>
        <v>+1 (479) 204-9111</v>
      </c>
      <c r="I992" s="25" t="str">
        <f>VLOOKUP(E992,Customers!$A$2:$I$1001,6,0)</f>
        <v>Fort Smith</v>
      </c>
      <c r="J992" s="25" t="str">
        <f>VLOOKUP(E992,Customers!$A$2:$I$1001,7,0)</f>
        <v>United States</v>
      </c>
      <c r="K992" s="23" t="str">
        <f>VLOOKUP(E992,Customers!$A$2:$I$1001,9,0)</f>
        <v>No</v>
      </c>
      <c r="L992" s="4" t="s">
        <v>51</v>
      </c>
      <c r="M992" s="4" t="str">
        <f>VLOOKUP(L992,Products!$A$2:$G$49,2,0)</f>
        <v>Excelsa</v>
      </c>
      <c r="N992" s="4" t="str">
        <f>VLOOKUP(L992,Products!$A$2:$G$49,3,0)</f>
        <v>Dark</v>
      </c>
      <c r="O992" s="25">
        <v>5</v>
      </c>
      <c r="P992" s="5">
        <f>INDEX([1]products!$A$1:$G$49,MATCH([1]orders!$D992,[1]products!$A$1:$A$49,0),MATCH([1]orders!K$1,[1]products!$A$1:$G$1,0))</f>
        <v>0.2</v>
      </c>
      <c r="Q992" s="6">
        <f>INDEX([1]products!$A$1:$G$49,MATCH([1]orders!$D992,[1]products!$A$1:$A$49,0),MATCH([1]orders!L$1,[1]products!$A$1:$G$1,0))</f>
        <v>3.645</v>
      </c>
      <c r="R992" s="6">
        <f t="shared" si="75"/>
        <v>18.225000000000001</v>
      </c>
      <c r="S992">
        <f>VLOOKUP(L992,Products!$A$2:$G$49,7,0)</f>
        <v>0.40095000000000003</v>
      </c>
      <c r="T992">
        <f t="shared" si="78"/>
        <v>2.00475</v>
      </c>
      <c r="U992" s="33">
        <f t="shared" si="79"/>
        <v>10.999999999999998</v>
      </c>
    </row>
    <row r="993" spans="1:21" x14ac:dyDescent="0.25">
      <c r="A993" s="1" t="s">
        <v>1902</v>
      </c>
      <c r="B993" s="28">
        <v>44718</v>
      </c>
      <c r="C993" s="21" t="str">
        <f t="shared" si="76"/>
        <v>2022</v>
      </c>
      <c r="D993" s="19" t="str">
        <f t="shared" si="77"/>
        <v>June</v>
      </c>
      <c r="E993" s="3" t="s">
        <v>1903</v>
      </c>
      <c r="F993" s="3" t="str">
        <f>VLOOKUP(E993,Customers!$A$2:$I$1001,2,0)</f>
        <v>Marguerite Graves</v>
      </c>
      <c r="G993" s="3" t="str">
        <f>VLOOKUP(E993,Customers!$A$2:$I$1001,3,0)</f>
        <v>UNKNOWN</v>
      </c>
      <c r="H993" s="3" t="str">
        <f>VLOOKUP(E993,Customers!$A$2:$I$1001,4,0)</f>
        <v>+1 (479) 204-9111</v>
      </c>
      <c r="I993" s="25" t="str">
        <f>VLOOKUP(E993,Customers!$A$2:$I$1001,6,0)</f>
        <v>Fort Smith</v>
      </c>
      <c r="J993" s="25" t="str">
        <f>VLOOKUP(E993,Customers!$A$2:$I$1001,7,0)</f>
        <v>United States</v>
      </c>
      <c r="K993" s="23" t="str">
        <f>VLOOKUP(E993,Customers!$A$2:$I$1001,9,0)</f>
        <v>No</v>
      </c>
      <c r="L993" s="4" t="s">
        <v>123</v>
      </c>
      <c r="M993" s="4" t="str">
        <f>VLOOKUP(L993,Products!$A$2:$G$49,2,0)</f>
        <v>Liberica</v>
      </c>
      <c r="N993" s="4" t="str">
        <f>VLOOKUP(L993,Products!$A$2:$G$49,3,0)</f>
        <v>Dark</v>
      </c>
      <c r="O993" s="25">
        <v>2</v>
      </c>
      <c r="P993" s="5">
        <f>INDEX([1]products!$A$1:$G$49,MATCH([1]orders!$D993,[1]products!$A$1:$A$49,0),MATCH([1]orders!K$1,[1]products!$A$1:$G$1,0))</f>
        <v>0.5</v>
      </c>
      <c r="Q993" s="6">
        <f>INDEX([1]products!$A$1:$G$49,MATCH([1]orders!$D993,[1]products!$A$1:$A$49,0),MATCH([1]orders!L$1,[1]products!$A$1:$G$1,0))</f>
        <v>7.77</v>
      </c>
      <c r="R993" s="6">
        <f t="shared" si="75"/>
        <v>15.54</v>
      </c>
      <c r="S993">
        <f>VLOOKUP(L993,Products!$A$2:$G$49,7,0)</f>
        <v>1.0101</v>
      </c>
      <c r="T993">
        <f t="shared" si="78"/>
        <v>2.0202</v>
      </c>
      <c r="U993" s="33">
        <f t="shared" si="79"/>
        <v>13</v>
      </c>
    </row>
    <row r="994" spans="1:21" x14ac:dyDescent="0.25">
      <c r="A994" s="1" t="s">
        <v>1904</v>
      </c>
      <c r="B994" s="28">
        <v>44276</v>
      </c>
      <c r="C994" s="21" t="str">
        <f t="shared" si="76"/>
        <v>2021</v>
      </c>
      <c r="D994" s="19" t="str">
        <f t="shared" si="77"/>
        <v>March</v>
      </c>
      <c r="E994" s="3" t="s">
        <v>1905</v>
      </c>
      <c r="F994" s="3" t="str">
        <f>VLOOKUP(E994,Customers!$A$2:$I$1001,2,0)</f>
        <v>Desdemona Eye</v>
      </c>
      <c r="G994" s="3" t="str">
        <f>VLOOKUP(E994,Customers!$A$2:$I$1001,3,0)</f>
        <v>UNKNOWN</v>
      </c>
      <c r="H994" s="3" t="str">
        <f>VLOOKUP(E994,Customers!$A$2:$I$1001,4,0)</f>
        <v>+353 (252) 896-2096</v>
      </c>
      <c r="I994" s="25" t="str">
        <f>VLOOKUP(E994,Customers!$A$2:$I$1001,6,0)</f>
        <v>Bagenalstown</v>
      </c>
      <c r="J994" s="25" t="str">
        <f>VLOOKUP(E994,Customers!$A$2:$I$1001,7,0)</f>
        <v>Ireland</v>
      </c>
      <c r="K994" s="23" t="str">
        <f>VLOOKUP(E994,Customers!$A$2:$I$1001,9,0)</f>
        <v>No</v>
      </c>
      <c r="L994" s="4" t="s">
        <v>104</v>
      </c>
      <c r="M994" s="4" t="str">
        <f>VLOOKUP(L994,Products!$A$2:$G$49,2,0)</f>
        <v>Liberica</v>
      </c>
      <c r="N994" s="4" t="str">
        <f>VLOOKUP(L994,Products!$A$2:$G$49,3,0)</f>
        <v>Light</v>
      </c>
      <c r="O994" s="25">
        <v>3</v>
      </c>
      <c r="P994" s="5">
        <f>INDEX([1]products!$A$1:$G$49,MATCH([1]orders!$D994,[1]products!$A$1:$A$49,0),MATCH([1]orders!K$1,[1]products!$A$1:$G$1,0))</f>
        <v>2.5</v>
      </c>
      <c r="Q994" s="6">
        <f>INDEX([1]products!$A$1:$G$49,MATCH([1]orders!$D994,[1]products!$A$1:$A$49,0),MATCH([1]orders!L$1,[1]products!$A$1:$G$1,0))</f>
        <v>36.454999999999998</v>
      </c>
      <c r="R994" s="6">
        <f t="shared" si="75"/>
        <v>109.36499999999999</v>
      </c>
      <c r="S994">
        <f>VLOOKUP(L994,Products!$A$2:$G$49,7,0)</f>
        <v>4.7391499999999995</v>
      </c>
      <c r="T994">
        <f t="shared" si="78"/>
        <v>14.217449999999999</v>
      </c>
      <c r="U994" s="33">
        <f t="shared" si="79"/>
        <v>13</v>
      </c>
    </row>
    <row r="995" spans="1:21" x14ac:dyDescent="0.25">
      <c r="A995" s="1" t="s">
        <v>1906</v>
      </c>
      <c r="B995" s="28">
        <v>44549</v>
      </c>
      <c r="C995" s="21" t="str">
        <f t="shared" si="76"/>
        <v>2021</v>
      </c>
      <c r="D995" s="19" t="str">
        <f t="shared" si="77"/>
        <v>December</v>
      </c>
      <c r="E995" s="3" t="s">
        <v>1907</v>
      </c>
      <c r="F995" s="3" t="str">
        <f>VLOOKUP(E995,Customers!$A$2:$I$1001,2,0)</f>
        <v>Margarette Sterland</v>
      </c>
      <c r="G995" s="3" t="str">
        <f>VLOOKUP(E995,Customers!$A$2:$I$1001,3,0)</f>
        <v>UNKNOWN</v>
      </c>
      <c r="H995" s="3" t="str">
        <f>VLOOKUP(E995,Customers!$A$2:$I$1001,4,0)</f>
        <v>+1 (215) 872-6809</v>
      </c>
      <c r="I995" s="25" t="str">
        <f>VLOOKUP(E995,Customers!$A$2:$I$1001,6,0)</f>
        <v>Philadelphia</v>
      </c>
      <c r="J995" s="25" t="str">
        <f>VLOOKUP(E995,Customers!$A$2:$I$1001,7,0)</f>
        <v>United States</v>
      </c>
      <c r="K995" s="23" t="str">
        <f>VLOOKUP(E995,Customers!$A$2:$I$1001,9,0)</f>
        <v>No</v>
      </c>
      <c r="L995" s="4" t="s">
        <v>6</v>
      </c>
      <c r="M995" s="4" t="str">
        <f>VLOOKUP(L995,Products!$A$2:$G$49,2,0)</f>
        <v>Arabica</v>
      </c>
      <c r="N995" s="4" t="str">
        <f>VLOOKUP(L995,Products!$A$2:$G$49,3,0)</f>
        <v>Light</v>
      </c>
      <c r="O995" s="25">
        <v>6</v>
      </c>
      <c r="P995" s="5">
        <f>INDEX([1]products!$A$1:$G$49,MATCH([1]orders!$D995,[1]products!$A$1:$A$49,0),MATCH([1]orders!K$1,[1]products!$A$1:$G$1,0))</f>
        <v>1</v>
      </c>
      <c r="Q995" s="6">
        <f>INDEX([1]products!$A$1:$G$49,MATCH([1]orders!$D995,[1]products!$A$1:$A$49,0),MATCH([1]orders!L$1,[1]products!$A$1:$G$1,0))</f>
        <v>12.95</v>
      </c>
      <c r="R995" s="6">
        <f t="shared" si="75"/>
        <v>77.699999999999989</v>
      </c>
      <c r="S995">
        <f>VLOOKUP(L995,Products!$A$2:$G$49,7,0)</f>
        <v>1.1655</v>
      </c>
      <c r="T995">
        <f t="shared" si="78"/>
        <v>6.9930000000000003</v>
      </c>
      <c r="U995" s="33">
        <f t="shared" si="79"/>
        <v>9.0000000000000018</v>
      </c>
    </row>
    <row r="996" spans="1:21" x14ac:dyDescent="0.25">
      <c r="A996" s="1" t="s">
        <v>1908</v>
      </c>
      <c r="B996" s="28">
        <v>44244</v>
      </c>
      <c r="C996" s="21" t="str">
        <f t="shared" si="76"/>
        <v>2021</v>
      </c>
      <c r="D996" s="19" t="str">
        <f t="shared" si="77"/>
        <v>February</v>
      </c>
      <c r="E996" s="3" t="s">
        <v>1909</v>
      </c>
      <c r="F996" s="3" t="str">
        <f>VLOOKUP(E996,Customers!$A$2:$I$1001,2,0)</f>
        <v>Catharine Scoines</v>
      </c>
      <c r="G996" s="3" t="str">
        <f>VLOOKUP(E996,Customers!$A$2:$I$1001,3,0)</f>
        <v>UNKNOWN</v>
      </c>
      <c r="H996" s="3" t="str">
        <f>VLOOKUP(E996,Customers!$A$2:$I$1001,4,0)</f>
        <v>+353 (693) 290-4775</v>
      </c>
      <c r="I996" s="25" t="str">
        <f>VLOOKUP(E996,Customers!$A$2:$I$1001,6,0)</f>
        <v>Watergrasshill</v>
      </c>
      <c r="J996" s="25" t="str">
        <f>VLOOKUP(E996,Customers!$A$2:$I$1001,7,0)</f>
        <v>Ireland</v>
      </c>
      <c r="K996" s="23" t="str">
        <f>VLOOKUP(E996,Customers!$A$2:$I$1001,9,0)</f>
        <v>No</v>
      </c>
      <c r="L996" s="4" t="s">
        <v>54</v>
      </c>
      <c r="M996" s="4" t="str">
        <f>VLOOKUP(L996,Products!$A$2:$G$49,2,0)</f>
        <v>Arabica</v>
      </c>
      <c r="N996" s="4" t="str">
        <f>VLOOKUP(L996,Products!$A$2:$G$49,3,0)</f>
        <v>Dark</v>
      </c>
      <c r="O996" s="25">
        <v>3</v>
      </c>
      <c r="P996" s="5">
        <f>INDEX([1]products!$A$1:$G$49,MATCH([1]orders!$D996,[1]products!$A$1:$A$49,0),MATCH([1]orders!K$1,[1]products!$A$1:$G$1,0))</f>
        <v>0.2</v>
      </c>
      <c r="Q996" s="6">
        <f>INDEX([1]products!$A$1:$G$49,MATCH([1]orders!$D996,[1]products!$A$1:$A$49,0),MATCH([1]orders!L$1,[1]products!$A$1:$G$1,0))</f>
        <v>2.9849999999999999</v>
      </c>
      <c r="R996" s="6">
        <f t="shared" si="75"/>
        <v>8.9550000000000001</v>
      </c>
      <c r="S996">
        <f>VLOOKUP(L996,Products!$A$2:$G$49,7,0)</f>
        <v>0.26865</v>
      </c>
      <c r="T996">
        <f t="shared" si="78"/>
        <v>0.80594999999999994</v>
      </c>
      <c r="U996" s="33">
        <f t="shared" si="79"/>
        <v>9</v>
      </c>
    </row>
    <row r="997" spans="1:21" x14ac:dyDescent="0.25">
      <c r="A997" s="1" t="s">
        <v>1910</v>
      </c>
      <c r="B997" s="28">
        <v>43836</v>
      </c>
      <c r="C997" s="21" t="str">
        <f t="shared" si="76"/>
        <v>2020</v>
      </c>
      <c r="D997" s="19" t="str">
        <f t="shared" si="77"/>
        <v>January</v>
      </c>
      <c r="E997" s="3" t="s">
        <v>1911</v>
      </c>
      <c r="F997" s="3" t="str">
        <f>VLOOKUP(E997,Customers!$A$2:$I$1001,2,0)</f>
        <v>Jennica Tewelson</v>
      </c>
      <c r="G997" s="3" t="str">
        <f>VLOOKUP(E997,Customers!$A$2:$I$1001,3,0)</f>
        <v>jtewelsonrn@samsung.com</v>
      </c>
      <c r="H997" s="3" t="str">
        <f>VLOOKUP(E997,Customers!$A$2:$I$1001,4,0)</f>
        <v>+1 (469) 573-8379</v>
      </c>
      <c r="I997" s="25" t="str">
        <f>VLOOKUP(E997,Customers!$A$2:$I$1001,6,0)</f>
        <v>Dallas</v>
      </c>
      <c r="J997" s="25" t="str">
        <f>VLOOKUP(E997,Customers!$A$2:$I$1001,7,0)</f>
        <v>United States</v>
      </c>
      <c r="K997" s="23" t="str">
        <f>VLOOKUP(E997,Customers!$A$2:$I$1001,9,0)</f>
        <v>No</v>
      </c>
      <c r="L997" s="4" t="s">
        <v>10</v>
      </c>
      <c r="M997" s="4" t="str">
        <f>VLOOKUP(L997,Products!$A$2:$G$49,2,0)</f>
        <v>Robusta</v>
      </c>
      <c r="N997" s="4" t="str">
        <f>VLOOKUP(L997,Products!$A$2:$G$49,3,0)</f>
        <v>Light</v>
      </c>
      <c r="O997" s="25">
        <v>1</v>
      </c>
      <c r="P997" s="5">
        <f>INDEX([1]products!$A$1:$G$49,MATCH([1]orders!$D997,[1]products!$A$1:$A$49,0),MATCH([1]orders!K$1,[1]products!$A$1:$G$1,0))</f>
        <v>2.5</v>
      </c>
      <c r="Q997" s="6">
        <f>INDEX([1]products!$A$1:$G$49,MATCH([1]orders!$D997,[1]products!$A$1:$A$49,0),MATCH([1]orders!L$1,[1]products!$A$1:$G$1,0))</f>
        <v>27.484999999999996</v>
      </c>
      <c r="R997" s="6">
        <f t="shared" si="75"/>
        <v>27.484999999999996</v>
      </c>
      <c r="S997">
        <f>VLOOKUP(L997,Products!$A$2:$G$49,7,0)</f>
        <v>1.6490999999999998</v>
      </c>
      <c r="T997">
        <f t="shared" si="78"/>
        <v>1.6490999999999998</v>
      </c>
      <c r="U997" s="33">
        <f t="shared" si="79"/>
        <v>6.0000000000000009</v>
      </c>
    </row>
    <row r="998" spans="1:21" x14ac:dyDescent="0.25">
      <c r="A998" s="1" t="s">
        <v>1912</v>
      </c>
      <c r="B998" s="28">
        <v>44685</v>
      </c>
      <c r="C998" s="21" t="str">
        <f t="shared" si="76"/>
        <v>2022</v>
      </c>
      <c r="D998" s="19" t="str">
        <f t="shared" si="77"/>
        <v>May</v>
      </c>
      <c r="E998" s="3" t="s">
        <v>1903</v>
      </c>
      <c r="F998" s="3" t="str">
        <f>VLOOKUP(E998,Customers!$A$2:$I$1001,2,0)</f>
        <v>Marguerite Graves</v>
      </c>
      <c r="G998" s="3" t="str">
        <f>VLOOKUP(E998,Customers!$A$2:$I$1001,3,0)</f>
        <v>UNKNOWN</v>
      </c>
      <c r="H998" s="3" t="str">
        <f>VLOOKUP(E998,Customers!$A$2:$I$1001,4,0)</f>
        <v>+1 (479) 204-9111</v>
      </c>
      <c r="I998" s="25" t="str">
        <f>VLOOKUP(E998,Customers!$A$2:$I$1001,6,0)</f>
        <v>Fort Smith</v>
      </c>
      <c r="J998" s="25" t="str">
        <f>VLOOKUP(E998,Customers!$A$2:$I$1001,7,0)</f>
        <v>United States</v>
      </c>
      <c r="K998" s="23" t="str">
        <f>VLOOKUP(E998,Customers!$A$2:$I$1001,9,0)</f>
        <v>No</v>
      </c>
      <c r="L998" s="4" t="s">
        <v>22</v>
      </c>
      <c r="M998" s="4" t="str">
        <f>VLOOKUP(L998,Products!$A$2:$G$49,2,0)</f>
        <v>Robusta</v>
      </c>
      <c r="N998" s="4" t="str">
        <f>VLOOKUP(L998,Products!$A$2:$G$49,3,0)</f>
        <v>Medium</v>
      </c>
      <c r="O998" s="25">
        <v>5</v>
      </c>
      <c r="P998" s="5">
        <f>INDEX([1]products!$A$1:$G$49,MATCH([1]orders!$D998,[1]products!$A$1:$A$49,0),MATCH([1]orders!K$1,[1]products!$A$1:$G$1,0))</f>
        <v>0.5</v>
      </c>
      <c r="Q998" s="6">
        <f>INDEX([1]products!$A$1:$G$49,MATCH([1]orders!$D998,[1]products!$A$1:$A$49,0),MATCH([1]orders!L$1,[1]products!$A$1:$G$1,0))</f>
        <v>5.97</v>
      </c>
      <c r="R998" s="6">
        <f t="shared" si="75"/>
        <v>29.849999999999998</v>
      </c>
      <c r="S998">
        <f>VLOOKUP(L998,Products!$A$2:$G$49,7,0)</f>
        <v>0.35819999999999996</v>
      </c>
      <c r="T998">
        <f t="shared" si="78"/>
        <v>1.7909999999999999</v>
      </c>
      <c r="U998" s="33">
        <f t="shared" si="79"/>
        <v>6.0000000000000009</v>
      </c>
    </row>
    <row r="999" spans="1:21" x14ac:dyDescent="0.25">
      <c r="A999" s="1" t="s">
        <v>1913</v>
      </c>
      <c r="B999" s="28">
        <v>43749</v>
      </c>
      <c r="C999" s="21" t="str">
        <f t="shared" si="76"/>
        <v>2019</v>
      </c>
      <c r="D999" s="19" t="str">
        <f t="shared" si="77"/>
        <v>October</v>
      </c>
      <c r="E999" s="3" t="s">
        <v>1903</v>
      </c>
      <c r="F999" s="3" t="str">
        <f>VLOOKUP(E999,Customers!$A$2:$I$1001,2,0)</f>
        <v>Marguerite Graves</v>
      </c>
      <c r="G999" s="3" t="str">
        <f>VLOOKUP(E999,Customers!$A$2:$I$1001,3,0)</f>
        <v>UNKNOWN</v>
      </c>
      <c r="H999" s="3" t="str">
        <f>VLOOKUP(E999,Customers!$A$2:$I$1001,4,0)</f>
        <v>+1 (479) 204-9111</v>
      </c>
      <c r="I999" s="25" t="str">
        <f>VLOOKUP(E999,Customers!$A$2:$I$1001,6,0)</f>
        <v>Fort Smith</v>
      </c>
      <c r="J999" s="25" t="str">
        <f>VLOOKUP(E999,Customers!$A$2:$I$1001,7,0)</f>
        <v>United States</v>
      </c>
      <c r="K999" s="23" t="str">
        <f>VLOOKUP(E999,Customers!$A$2:$I$1001,9,0)</f>
        <v>No</v>
      </c>
      <c r="L999" s="4" t="s">
        <v>67</v>
      </c>
      <c r="M999" s="4" t="str">
        <f>VLOOKUP(L999,Products!$A$2:$G$49,2,0)</f>
        <v>Arabica</v>
      </c>
      <c r="N999" s="4" t="str">
        <f>VLOOKUP(L999,Products!$A$2:$G$49,3,0)</f>
        <v>Medium</v>
      </c>
      <c r="O999" s="25">
        <v>4</v>
      </c>
      <c r="P999" s="5">
        <f>INDEX([1]products!$A$1:$G$49,MATCH([1]orders!$D999,[1]products!$A$1:$A$49,0),MATCH([1]orders!K$1,[1]products!$A$1:$G$1,0))</f>
        <v>0.5</v>
      </c>
      <c r="Q999" s="6">
        <f>INDEX([1]products!$A$1:$G$49,MATCH([1]orders!$D999,[1]products!$A$1:$A$49,0),MATCH([1]orders!L$1,[1]products!$A$1:$G$1,0))</f>
        <v>6.75</v>
      </c>
      <c r="R999" s="6">
        <f t="shared" si="75"/>
        <v>27</v>
      </c>
      <c r="S999">
        <f>VLOOKUP(L999,Products!$A$2:$G$49,7,0)</f>
        <v>0.60749999999999993</v>
      </c>
      <c r="T999">
        <f t="shared" si="78"/>
        <v>2.4299999999999997</v>
      </c>
      <c r="U999" s="33">
        <f t="shared" si="79"/>
        <v>8.9999999999999982</v>
      </c>
    </row>
    <row r="1000" spans="1:21" x14ac:dyDescent="0.25">
      <c r="A1000" s="1" t="s">
        <v>1914</v>
      </c>
      <c r="B1000" s="28">
        <v>44411</v>
      </c>
      <c r="C1000" s="21" t="str">
        <f t="shared" si="76"/>
        <v>2021</v>
      </c>
      <c r="D1000" s="19" t="str">
        <f t="shared" si="77"/>
        <v>August</v>
      </c>
      <c r="E1000" s="3" t="s">
        <v>1915</v>
      </c>
      <c r="F1000" s="3" t="str">
        <f>VLOOKUP(E1000,Customers!$A$2:$I$1001,2,0)</f>
        <v>Nicolina Jenny</v>
      </c>
      <c r="G1000" s="3" t="str">
        <f>VLOOKUP(E1000,Customers!$A$2:$I$1001,3,0)</f>
        <v>njennyrq@bigcartel.com</v>
      </c>
      <c r="H1000" s="3" t="str">
        <f>VLOOKUP(E1000,Customers!$A$2:$I$1001,4,0)</f>
        <v>+1 (562) 679-4750</v>
      </c>
      <c r="I1000" s="25" t="str">
        <f>VLOOKUP(E1000,Customers!$A$2:$I$1001,6,0)</f>
        <v>Whittier</v>
      </c>
      <c r="J1000" s="25" t="str">
        <f>VLOOKUP(E1000,Customers!$A$2:$I$1001,7,0)</f>
        <v>United States</v>
      </c>
      <c r="K1000" s="23" t="str">
        <f>VLOOKUP(E1000,Customers!$A$2:$I$1001,9,0)</f>
        <v>No</v>
      </c>
      <c r="L1000" s="4" t="s">
        <v>27</v>
      </c>
      <c r="M1000" s="4" t="str">
        <f>VLOOKUP(L1000,Products!$A$2:$G$49,2,0)</f>
        <v>Arabica</v>
      </c>
      <c r="N1000" s="4" t="str">
        <f>VLOOKUP(L1000,Products!$A$2:$G$49,3,0)</f>
        <v>Dark</v>
      </c>
      <c r="O1000" s="25">
        <v>1</v>
      </c>
      <c r="P1000" s="5">
        <f>INDEX([1]products!$A$1:$G$49,MATCH([1]orders!$D1000,[1]products!$A$1:$A$49,0),MATCH([1]orders!K$1,[1]products!$A$1:$G$1,0))</f>
        <v>1</v>
      </c>
      <c r="Q1000" s="6">
        <f>INDEX([1]products!$A$1:$G$49,MATCH([1]orders!$D1000,[1]products!$A$1:$A$49,0),MATCH([1]orders!L$1,[1]products!$A$1:$G$1,0))</f>
        <v>9.9499999999999993</v>
      </c>
      <c r="R1000" s="6">
        <f t="shared" si="75"/>
        <v>9.9499999999999993</v>
      </c>
      <c r="S1000">
        <f>VLOOKUP(L1000,Products!$A$2:$G$49,7,0)</f>
        <v>0.89549999999999985</v>
      </c>
      <c r="T1000">
        <f t="shared" si="78"/>
        <v>0.89549999999999985</v>
      </c>
      <c r="U1000" s="33">
        <f t="shared" si="79"/>
        <v>9</v>
      </c>
    </row>
    <row r="1001" spans="1:21" x14ac:dyDescent="0.25">
      <c r="A1001" s="7" t="s">
        <v>1916</v>
      </c>
      <c r="B1001" s="29">
        <v>44119</v>
      </c>
      <c r="C1001" s="21" t="str">
        <f t="shared" si="76"/>
        <v>2020</v>
      </c>
      <c r="D1001" s="19" t="str">
        <f t="shared" si="77"/>
        <v>October</v>
      </c>
      <c r="E1001" s="9" t="s">
        <v>1917</v>
      </c>
      <c r="F1001" s="3" t="str">
        <f>VLOOKUP(E1001,Customers!$A$2:$I$1001,2,0)</f>
        <v>Vidovic Antonelli</v>
      </c>
      <c r="G1001" s="3" t="str">
        <f>VLOOKUP(E1001,Customers!$A$2:$I$1001,3,0)</f>
        <v>UNKNOWN</v>
      </c>
      <c r="H1001" s="3" t="str">
        <f>VLOOKUP(E1001,Customers!$A$2:$I$1001,4,0)</f>
        <v>+44 (810) 927-9266</v>
      </c>
      <c r="I1001" s="25" t="str">
        <f>VLOOKUP(E1001,Customers!$A$2:$I$1001,6,0)</f>
        <v>London</v>
      </c>
      <c r="J1001" s="25" t="str">
        <f>VLOOKUP(E1001,Customers!$A$2:$I$1001,7,0)</f>
        <v>United Kingdom</v>
      </c>
      <c r="K1001" s="23" t="str">
        <f>VLOOKUP(E1001,Customers!$A$2:$I$1001,9,0)</f>
        <v>Yes</v>
      </c>
      <c r="L1001" s="10" t="s">
        <v>64</v>
      </c>
      <c r="M1001" s="4" t="str">
        <f>VLOOKUP(L1001,Products!$A$2:$G$49,2,0)</f>
        <v>Excelsa</v>
      </c>
      <c r="N1001" s="4" t="str">
        <f>VLOOKUP(L1001,Products!$A$2:$G$49,3,0)</f>
        <v>Medium</v>
      </c>
      <c r="O1001" s="31">
        <v>3</v>
      </c>
      <c r="P1001" s="11">
        <f>INDEX([1]products!$A$1:$G$49,MATCH([1]orders!$D1001,[1]products!$A$1:$A$49,0),MATCH([1]orders!K$1,[1]products!$A$1:$G$1,0))</f>
        <v>0.2</v>
      </c>
      <c r="Q1001" s="12">
        <f>INDEX([1]products!$A$1:$G$49,MATCH([1]orders!$D1001,[1]products!$A$1:$A$49,0),MATCH([1]orders!L$1,[1]products!$A$1:$G$1,0))</f>
        <v>4.125</v>
      </c>
      <c r="R1001" s="12">
        <f t="shared" si="75"/>
        <v>12.375</v>
      </c>
      <c r="S1001">
        <f>VLOOKUP(L1001,Products!$A$2:$G$49,7,0)</f>
        <v>0.45374999999999999</v>
      </c>
      <c r="T1001">
        <f t="shared" si="78"/>
        <v>1.3612500000000001</v>
      </c>
      <c r="U1001" s="33">
        <f t="shared" si="79"/>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A13" sqref="A13"/>
    </sheetView>
  </sheetViews>
  <sheetFormatPr defaultRowHeight="15" x14ac:dyDescent="0.25"/>
  <cols>
    <col min="1" max="1" width="15.140625" bestFit="1" customWidth="1"/>
    <col min="2" max="2" width="12.140625" bestFit="1" customWidth="1"/>
    <col min="3" max="3" width="15.85546875" bestFit="1" customWidth="1"/>
    <col min="4" max="4" width="9.7109375" bestFit="1" customWidth="1"/>
    <col min="5" max="5" width="8.140625" bestFit="1" customWidth="1"/>
    <col min="6" max="6" width="8.7109375" customWidth="1"/>
    <col min="7" max="7" width="8.85546875" bestFit="1" customWidth="1"/>
    <col min="8" max="8" width="7.42578125" bestFit="1" customWidth="1"/>
  </cols>
  <sheetData>
    <row r="1" spans="1:8" x14ac:dyDescent="0.25">
      <c r="A1" s="13" t="s">
        <v>1918</v>
      </c>
      <c r="B1" s="14" t="s">
        <v>1919</v>
      </c>
      <c r="C1" s="15" t="s">
        <v>1920</v>
      </c>
      <c r="D1" s="15" t="s">
        <v>1921</v>
      </c>
      <c r="E1" s="15" t="s">
        <v>1922</v>
      </c>
      <c r="F1" s="16" t="s">
        <v>1928</v>
      </c>
      <c r="G1" s="15" t="s">
        <v>1929</v>
      </c>
      <c r="H1" s="15" t="s">
        <v>1930</v>
      </c>
    </row>
    <row r="2" spans="1:8" x14ac:dyDescent="0.25">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25">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25">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25">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25">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25">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25">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25">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25">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25">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25">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25">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25">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25">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25">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25">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25">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25">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25">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25">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25">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25">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25">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25">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25">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25">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25">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25">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25">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25">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25">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25">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25">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25">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25">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25">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25">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25">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25">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25">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25">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25">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25">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25">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25">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25">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25">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25">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25">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25">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25">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25">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25">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25">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25">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25">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25">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25">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25">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25">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25">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25">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25">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25">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25">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25">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25">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25">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25">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25">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25">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25">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25">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25">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25">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25">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25">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25">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25">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25">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25">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25">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25">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25">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25">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25">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25">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25">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25">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25">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25">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25">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25">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25">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25">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25">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25">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25">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25">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25">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25">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25">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25">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25">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25">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25">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25">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25">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25">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25">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25">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25">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25">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25">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25">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25">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25">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25">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25">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25">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25">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25">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25">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25">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25">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25">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25">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25">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25">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25">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25">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25">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25">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25">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25">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25">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25">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25">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25">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25">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25">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25">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25">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25">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25">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25">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25">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25">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25">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25">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25">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25">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25">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25">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25">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25">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25">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25">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25">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25">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25">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25">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25">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25">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25">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25">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25">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25">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25">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25">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25">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25">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25">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25">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25">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25">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25">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25">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25">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25">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25">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25">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25">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25">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25">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25">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25">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25">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25">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25">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25">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25">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25">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25">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25">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25">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25">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25">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25">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25">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25">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25">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25">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25">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25">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25">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25">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25">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25">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25">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25">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25">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25">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25">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25">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25">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25">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25">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25">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25">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25">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25">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25">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25">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25">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25">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25">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25">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25">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25">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25">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25">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25">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25">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25">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25">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25">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25">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25">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25">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25">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25">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25">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25">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25">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25">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25">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25">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25">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25">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25">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25">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25">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25">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25">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25">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25">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25">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25">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25">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25">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25">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25">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25">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25">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25">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25">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25">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25">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25">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25">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25">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25">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25">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25">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25">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25">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25">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25">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25">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25">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25">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25">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25">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25">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25">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25">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25">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25">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25">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25">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25">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25">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25">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25">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25">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25">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25">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25">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25">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25">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25">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25">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25">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25">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25">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25">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25">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25">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25">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25">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25">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25">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25">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25">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25">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25">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25">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25">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25">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25">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25">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25">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25">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25">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25">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25">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25">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25">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25">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25">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25">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25">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25">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25">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25">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25">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25">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25">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25">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25">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25">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25">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25">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25">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25">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25">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25">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25">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25">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25">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25">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25">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25">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25">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25">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25">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25">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25">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25">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25">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25">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25">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25">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25">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25">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25">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25">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25">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25">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25">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25">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25">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25">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25">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25">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25">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25">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25">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25">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25">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25">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25">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25">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25">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25">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25">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25">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25">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25">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25">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25">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25">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25">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25">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25">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25">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25">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25">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25">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25">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25">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25">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25">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25">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25">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25">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25">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25">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25">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25">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25">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25">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25">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25">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25">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25">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25">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25">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25">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25">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25">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25">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25">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25">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25">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25">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25">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25">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25">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25">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25">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25">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25">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25">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25">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25">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25">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25">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25">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25">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25">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25">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25">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25">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25">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25">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25">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25">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25">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25">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25">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25">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25">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25">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25">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25">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25">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25">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25">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25">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25">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25">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25">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25">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25">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25">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25">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25">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25">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25">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25">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25">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25">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25">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25">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25">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25">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25">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25">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25">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25">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25">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25">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25">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25">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25">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25">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25">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25">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25">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25">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25">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25">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25">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25">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25">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25">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25">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25">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25">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25">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25">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25">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25">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25">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25">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25">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25">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25">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25">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25">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25">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25">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25">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25">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25">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25">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25">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25">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25">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25">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25">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25">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25">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25">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25">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25">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25">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25">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25">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25">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25">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25">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25">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25">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25">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25">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25">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25">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25">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25">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25">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25">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25">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25">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25">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25">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25">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25">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25">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25">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25">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25">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25">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25">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25">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25">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25">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25">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25">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25">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25">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25">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25">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25">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25">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25">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25">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25">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25">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25">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25">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25">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25">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25">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25">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25">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25">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25">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25">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25">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25">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25">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25">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25">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25">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25">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25">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25">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25">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25">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25">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25">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25">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25">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25">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25">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25">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25">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25">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25">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25">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25">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25">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25">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25">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25">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25">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25">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25">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25">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25">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25">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25">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25">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25">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25">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25">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25">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25">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25">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25">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25">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25">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25">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25">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25">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25">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25">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25">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25">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25">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25">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25">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25">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25">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25">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25">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25">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25">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25">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25">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25">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25">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25">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25">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25">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25">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25">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25">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25">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25">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25">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25">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25">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25">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25">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25">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25">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25">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25">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25">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25">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25">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25">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25">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25">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25">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25">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25">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25">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25">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25">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25">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25">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25">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25">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25">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25">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25">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25">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25">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25">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25">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25">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25">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25">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25">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25">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25">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25">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25">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25">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25">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25">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25">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25">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25">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25">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25">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25">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25">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25">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25">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25">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25">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25">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25">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25">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25">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25">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25">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25">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25">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25">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25">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25">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25">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25">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25">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25">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25">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25">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25">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25">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25">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25">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25">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25">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25">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25">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25">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25">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25">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25">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25">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25">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25">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25">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25">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25">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25">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25">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25">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25">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25">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25">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25">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25">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25">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25">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25">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25">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25">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25">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25">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25">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25">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25">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25">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25">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25">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25">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25">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25">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25">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25">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25">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25">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25">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25">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25">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25">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25">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25">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25">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25">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25">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25">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25">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25">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25">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25">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25">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25">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25">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25">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25">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25">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25">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25">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25">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25">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25">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25">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25">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25">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25">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25">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25">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25">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25">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25">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25">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25">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25">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25">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25">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25">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25">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25">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25">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25">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25">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25">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25">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25">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25">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25">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25">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25">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25">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25">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25">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25">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25">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25">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25">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25">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25">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25">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25">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25">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25">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25">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25">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25">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25">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25">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25">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25">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25">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25">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25">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25">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25">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25">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25">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25">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25">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25">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25">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25">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25">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25">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25">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25">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25">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25">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25">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25">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25">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25">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25">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25">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25">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25">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25">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25">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25">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25">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25">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25">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25">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25">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25">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25">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25">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25">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25">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25">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25">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25">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25">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25">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25">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25">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25">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25">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25">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25">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25">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25">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25">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25">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25">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25">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25">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25">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25">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25">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25">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25">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25">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25">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25">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25">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25">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25">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25">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25">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25">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25">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25">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25">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25">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25">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25">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25">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25">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25">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25">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25">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25">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25">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25">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25">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25">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25">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25">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25">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25">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25">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25">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25">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25">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25">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25">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25">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25">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25">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25">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25">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25">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25">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25">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25">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25">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25">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25">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25">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25">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25">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25">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25">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25">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25">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25">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25">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25">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25">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25">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25">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25">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25">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25">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25">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25">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25">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25">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25">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25">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25">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25">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25">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25">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25">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25">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25">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25">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25">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25">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25">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25">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25">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25">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25">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25">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25">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25">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25">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25">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25">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25">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25">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25">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25">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25">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25">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activeCell="A19" sqref="A19"/>
    </sheetView>
  </sheetViews>
  <sheetFormatPr defaultRowHeight="15" x14ac:dyDescent="0.25"/>
  <cols>
    <col min="1" max="1" width="17" customWidth="1"/>
    <col min="2" max="2" width="18" customWidth="1"/>
    <col min="3" max="3" width="27.5703125" customWidth="1"/>
    <col min="4" max="4" width="21.7109375" customWidth="1"/>
    <col min="5" max="5" width="27" bestFit="1" customWidth="1"/>
    <col min="6" max="6" width="20.7109375" bestFit="1" customWidth="1"/>
    <col min="7" max="7" width="17.7109375" customWidth="1"/>
    <col min="8" max="8" width="8.42578125" bestFit="1" customWidth="1"/>
    <col min="9" max="9" width="11" bestFit="1" customWidth="1"/>
  </cols>
  <sheetData>
    <row r="1" spans="1:9" x14ac:dyDescent="0.25">
      <c r="A1" s="13" t="s">
        <v>1920</v>
      </c>
      <c r="B1" s="14" t="s">
        <v>1923</v>
      </c>
      <c r="C1" s="15" t="s">
        <v>1924</v>
      </c>
      <c r="D1" s="15" t="s">
        <v>1931</v>
      </c>
      <c r="E1" s="15" t="s">
        <v>1932</v>
      </c>
      <c r="F1" s="16" t="s">
        <v>1933</v>
      </c>
      <c r="G1" s="15" t="s">
        <v>1925</v>
      </c>
      <c r="H1" s="15" t="s">
        <v>1934</v>
      </c>
      <c r="I1" s="13" t="s">
        <v>1935</v>
      </c>
    </row>
    <row r="2" spans="1:9" x14ac:dyDescent="0.25">
      <c r="A2" s="17" t="s">
        <v>1</v>
      </c>
      <c r="B2" s="17" t="s">
        <v>1936</v>
      </c>
      <c r="C2" s="17" t="s">
        <v>1937</v>
      </c>
      <c r="D2" s="17" t="s">
        <v>1938</v>
      </c>
      <c r="E2" s="17" t="s">
        <v>1939</v>
      </c>
      <c r="F2" s="17" t="s">
        <v>1940</v>
      </c>
      <c r="G2" s="17" t="s">
        <v>1941</v>
      </c>
      <c r="H2" s="17">
        <v>7505</v>
      </c>
      <c r="I2" t="s">
        <v>1942</v>
      </c>
    </row>
    <row r="3" spans="1:9" x14ac:dyDescent="0.25">
      <c r="A3" s="17" t="s">
        <v>1943</v>
      </c>
      <c r="B3" s="17" t="s">
        <v>1944</v>
      </c>
      <c r="C3" s="17" t="s">
        <v>1945</v>
      </c>
      <c r="D3" s="17" t="s">
        <v>1946</v>
      </c>
      <c r="E3" s="17" t="s">
        <v>1947</v>
      </c>
      <c r="F3" s="17" t="s">
        <v>1948</v>
      </c>
      <c r="G3" s="17" t="s">
        <v>1949</v>
      </c>
      <c r="H3" s="17" t="s">
        <v>1950</v>
      </c>
      <c r="I3" t="s">
        <v>1951</v>
      </c>
    </row>
    <row r="4" spans="1:9" x14ac:dyDescent="0.25">
      <c r="A4" s="17" t="s">
        <v>5</v>
      </c>
      <c r="B4" s="17" t="s">
        <v>1952</v>
      </c>
      <c r="C4" s="17" t="s">
        <v>1953</v>
      </c>
      <c r="D4" s="17" t="s">
        <v>1954</v>
      </c>
      <c r="E4" s="17" t="s">
        <v>1955</v>
      </c>
      <c r="F4" s="17" t="s">
        <v>1956</v>
      </c>
      <c r="G4" s="17" t="s">
        <v>1941</v>
      </c>
      <c r="H4" s="17">
        <v>78205</v>
      </c>
      <c r="I4" t="s">
        <v>1942</v>
      </c>
    </row>
    <row r="5" spans="1:9" x14ac:dyDescent="0.25">
      <c r="A5" s="17" t="s">
        <v>1957</v>
      </c>
      <c r="B5" s="17" t="s">
        <v>1958</v>
      </c>
      <c r="C5" s="17" t="s">
        <v>1959</v>
      </c>
      <c r="D5" s="17" t="s">
        <v>1960</v>
      </c>
      <c r="E5" s="17" t="s">
        <v>1961</v>
      </c>
      <c r="F5" s="17" t="s">
        <v>1962</v>
      </c>
      <c r="G5" s="17" t="s">
        <v>1941</v>
      </c>
      <c r="H5" s="17">
        <v>62711</v>
      </c>
      <c r="I5" t="s">
        <v>1942</v>
      </c>
    </row>
    <row r="6" spans="1:9" x14ac:dyDescent="0.25">
      <c r="A6" s="17" t="s">
        <v>8</v>
      </c>
      <c r="B6" s="17" t="s">
        <v>1963</v>
      </c>
      <c r="C6" s="22" t="s">
        <v>6197</v>
      </c>
      <c r="D6" s="17" t="s">
        <v>1964</v>
      </c>
      <c r="E6" s="17" t="s">
        <v>1965</v>
      </c>
      <c r="F6" s="17" t="s">
        <v>1966</v>
      </c>
      <c r="G6" s="17" t="s">
        <v>1949</v>
      </c>
      <c r="H6" s="17" t="s">
        <v>1967</v>
      </c>
      <c r="I6" t="s">
        <v>1951</v>
      </c>
    </row>
    <row r="7" spans="1:9" x14ac:dyDescent="0.25">
      <c r="A7" s="17" t="s">
        <v>12</v>
      </c>
      <c r="B7" s="17" t="s">
        <v>1968</v>
      </c>
      <c r="C7" s="22" t="s">
        <v>6197</v>
      </c>
      <c r="D7" s="17" t="s">
        <v>1969</v>
      </c>
      <c r="E7" s="17" t="s">
        <v>1970</v>
      </c>
      <c r="F7" s="17" t="s">
        <v>1971</v>
      </c>
      <c r="G7" s="17" t="s">
        <v>1941</v>
      </c>
      <c r="H7" s="17">
        <v>18505</v>
      </c>
      <c r="I7" t="s">
        <v>1951</v>
      </c>
    </row>
    <row r="8" spans="1:9" x14ac:dyDescent="0.25">
      <c r="A8" s="17" t="s">
        <v>15</v>
      </c>
      <c r="B8" s="17" t="s">
        <v>1972</v>
      </c>
      <c r="C8" s="17" t="s">
        <v>1973</v>
      </c>
      <c r="D8" s="17" t="s">
        <v>1974</v>
      </c>
      <c r="E8" s="17" t="s">
        <v>1975</v>
      </c>
      <c r="F8" s="17" t="s">
        <v>1976</v>
      </c>
      <c r="G8" s="17" t="s">
        <v>1941</v>
      </c>
      <c r="H8" s="17">
        <v>45440</v>
      </c>
      <c r="I8" t="s">
        <v>1942</v>
      </c>
    </row>
    <row r="9" spans="1:9" x14ac:dyDescent="0.25">
      <c r="A9" s="17" t="s">
        <v>18</v>
      </c>
      <c r="B9" s="17" t="s">
        <v>1977</v>
      </c>
      <c r="C9" s="22" t="s">
        <v>6197</v>
      </c>
      <c r="D9" s="17" t="s">
        <v>1978</v>
      </c>
      <c r="E9" s="17" t="s">
        <v>1979</v>
      </c>
      <c r="F9" s="17" t="s">
        <v>1980</v>
      </c>
      <c r="G9" s="17" t="s">
        <v>1949</v>
      </c>
      <c r="H9" s="17" t="s">
        <v>1981</v>
      </c>
      <c r="I9" t="s">
        <v>1942</v>
      </c>
    </row>
    <row r="10" spans="1:9" x14ac:dyDescent="0.25">
      <c r="A10" s="17" t="s">
        <v>21</v>
      </c>
      <c r="B10" s="17" t="s">
        <v>1982</v>
      </c>
      <c r="C10" s="17" t="s">
        <v>1983</v>
      </c>
      <c r="D10" s="17" t="s">
        <v>1984</v>
      </c>
      <c r="E10" s="17" t="s">
        <v>1985</v>
      </c>
      <c r="F10" s="17" t="s">
        <v>1986</v>
      </c>
      <c r="G10" s="17" t="s">
        <v>1941</v>
      </c>
      <c r="H10" s="17">
        <v>90045</v>
      </c>
      <c r="I10" t="s">
        <v>1951</v>
      </c>
    </row>
    <row r="11" spans="1:9" x14ac:dyDescent="0.25">
      <c r="A11" s="17" t="s">
        <v>24</v>
      </c>
      <c r="B11" s="17" t="s">
        <v>1987</v>
      </c>
      <c r="C11" s="17" t="s">
        <v>1988</v>
      </c>
      <c r="D11" s="17" t="s">
        <v>1989</v>
      </c>
      <c r="E11" s="17" t="s">
        <v>1990</v>
      </c>
      <c r="F11" s="17" t="s">
        <v>1986</v>
      </c>
      <c r="G11" s="17" t="s">
        <v>1941</v>
      </c>
      <c r="H11" s="17">
        <v>90065</v>
      </c>
      <c r="I11" t="s">
        <v>1951</v>
      </c>
    </row>
    <row r="12" spans="1:9" x14ac:dyDescent="0.25">
      <c r="A12" s="17" t="s">
        <v>26</v>
      </c>
      <c r="B12" s="17" t="s">
        <v>1991</v>
      </c>
      <c r="C12" s="17" t="s">
        <v>1992</v>
      </c>
      <c r="D12" s="17" t="s">
        <v>1993</v>
      </c>
      <c r="E12" s="17" t="s">
        <v>1994</v>
      </c>
      <c r="F12" s="17" t="s">
        <v>1995</v>
      </c>
      <c r="G12" s="17" t="s">
        <v>1941</v>
      </c>
      <c r="H12" s="17">
        <v>95160</v>
      </c>
      <c r="I12" t="s">
        <v>1951</v>
      </c>
    </row>
    <row r="13" spans="1:9" x14ac:dyDescent="0.25">
      <c r="A13" s="17" t="s">
        <v>29</v>
      </c>
      <c r="B13" s="17" t="s">
        <v>1996</v>
      </c>
      <c r="C13" s="17" t="s">
        <v>1997</v>
      </c>
      <c r="D13" s="17" t="s">
        <v>1998</v>
      </c>
      <c r="E13" s="17" t="s">
        <v>1999</v>
      </c>
      <c r="F13" s="17" t="s">
        <v>1995</v>
      </c>
      <c r="G13" s="17" t="s">
        <v>1941</v>
      </c>
      <c r="H13" s="17">
        <v>95194</v>
      </c>
      <c r="I13" t="s">
        <v>1942</v>
      </c>
    </row>
    <row r="14" spans="1:9" x14ac:dyDescent="0.25">
      <c r="A14" s="17" t="s">
        <v>32</v>
      </c>
      <c r="B14" s="17" t="s">
        <v>2000</v>
      </c>
      <c r="C14" s="17" t="s">
        <v>2001</v>
      </c>
      <c r="D14" s="17" t="s">
        <v>2002</v>
      </c>
      <c r="E14" s="17" t="s">
        <v>2003</v>
      </c>
      <c r="F14" s="17" t="s">
        <v>2004</v>
      </c>
      <c r="G14" s="17" t="s">
        <v>1941</v>
      </c>
      <c r="H14" s="17">
        <v>23285</v>
      </c>
      <c r="I14" t="s">
        <v>1951</v>
      </c>
    </row>
    <row r="15" spans="1:9" x14ac:dyDescent="0.25">
      <c r="A15" s="17" t="s">
        <v>34</v>
      </c>
      <c r="B15" s="17" t="s">
        <v>2005</v>
      </c>
      <c r="C15" s="17" t="s">
        <v>2006</v>
      </c>
      <c r="D15" s="17" t="s">
        <v>6197</v>
      </c>
      <c r="E15" s="17" t="s">
        <v>2007</v>
      </c>
      <c r="F15" s="17" t="s">
        <v>2008</v>
      </c>
      <c r="G15" s="17" t="s">
        <v>1941</v>
      </c>
      <c r="H15" s="17">
        <v>41905</v>
      </c>
      <c r="I15" t="s">
        <v>1951</v>
      </c>
    </row>
    <row r="16" spans="1:9" x14ac:dyDescent="0.25">
      <c r="A16" s="17" t="s">
        <v>37</v>
      </c>
      <c r="B16" s="17" t="s">
        <v>2009</v>
      </c>
      <c r="C16" s="17" t="s">
        <v>2010</v>
      </c>
      <c r="D16" s="17" t="s">
        <v>2011</v>
      </c>
      <c r="E16" s="17" t="s">
        <v>2012</v>
      </c>
      <c r="F16" s="17" t="s">
        <v>2013</v>
      </c>
      <c r="G16" s="17" t="s">
        <v>1941</v>
      </c>
      <c r="H16" s="17">
        <v>63131</v>
      </c>
      <c r="I16" t="s">
        <v>1942</v>
      </c>
    </row>
    <row r="17" spans="1:9" x14ac:dyDescent="0.25">
      <c r="A17" s="17" t="s">
        <v>40</v>
      </c>
      <c r="B17" s="17" t="s">
        <v>2014</v>
      </c>
      <c r="C17" s="17" t="s">
        <v>2015</v>
      </c>
      <c r="D17" s="17" t="s">
        <v>6197</v>
      </c>
      <c r="E17" s="17" t="s">
        <v>2016</v>
      </c>
      <c r="F17" s="17" t="s">
        <v>2017</v>
      </c>
      <c r="G17" s="17" t="s">
        <v>1941</v>
      </c>
      <c r="H17" s="17">
        <v>19172</v>
      </c>
      <c r="I17" t="s">
        <v>1951</v>
      </c>
    </row>
    <row r="18" spans="1:9" x14ac:dyDescent="0.25">
      <c r="A18" s="17" t="s">
        <v>43</v>
      </c>
      <c r="B18" s="17" t="s">
        <v>2018</v>
      </c>
      <c r="C18" s="17" t="s">
        <v>2019</v>
      </c>
      <c r="D18" s="17" t="s">
        <v>2020</v>
      </c>
      <c r="E18" s="17" t="s">
        <v>2021</v>
      </c>
      <c r="F18" s="17" t="s">
        <v>2022</v>
      </c>
      <c r="G18" s="17" t="s">
        <v>1941</v>
      </c>
      <c r="H18" s="17">
        <v>97271</v>
      </c>
      <c r="I18" t="s">
        <v>1951</v>
      </c>
    </row>
    <row r="19" spans="1:9" x14ac:dyDescent="0.25">
      <c r="A19" s="17" t="s">
        <v>46</v>
      </c>
      <c r="B19" s="17" t="s">
        <v>2023</v>
      </c>
      <c r="C19" s="17" t="s">
        <v>2024</v>
      </c>
      <c r="D19" s="17" t="s">
        <v>2025</v>
      </c>
      <c r="E19" s="17" t="s">
        <v>2026</v>
      </c>
      <c r="F19" s="17" t="s">
        <v>2027</v>
      </c>
      <c r="G19" s="17" t="s">
        <v>1941</v>
      </c>
      <c r="H19" s="17">
        <v>77240</v>
      </c>
      <c r="I19" t="s">
        <v>1951</v>
      </c>
    </row>
    <row r="20" spans="1:9" x14ac:dyDescent="0.25">
      <c r="A20" s="17" t="s">
        <v>48</v>
      </c>
      <c r="B20" s="17" t="s">
        <v>2028</v>
      </c>
      <c r="C20" s="17" t="s">
        <v>2029</v>
      </c>
      <c r="D20" s="17" t="s">
        <v>6197</v>
      </c>
      <c r="E20" s="17" t="s">
        <v>2030</v>
      </c>
      <c r="F20" s="17" t="s">
        <v>2031</v>
      </c>
      <c r="G20" s="17" t="s">
        <v>1949</v>
      </c>
      <c r="H20" s="17" t="s">
        <v>2032</v>
      </c>
      <c r="I20" t="s">
        <v>1942</v>
      </c>
    </row>
    <row r="21" spans="1:9" x14ac:dyDescent="0.25">
      <c r="A21" s="17" t="s">
        <v>50</v>
      </c>
      <c r="B21" s="17" t="s">
        <v>2033</v>
      </c>
      <c r="C21" s="17" t="s">
        <v>2034</v>
      </c>
      <c r="D21" s="17" t="s">
        <v>2035</v>
      </c>
      <c r="E21" s="17" t="s">
        <v>2036</v>
      </c>
      <c r="F21" s="17" t="s">
        <v>2037</v>
      </c>
      <c r="G21" s="17" t="s">
        <v>1941</v>
      </c>
      <c r="H21" s="17">
        <v>10060</v>
      </c>
      <c r="I21" t="s">
        <v>1942</v>
      </c>
    </row>
    <row r="22" spans="1:9" x14ac:dyDescent="0.25">
      <c r="A22" s="17" t="s">
        <v>2038</v>
      </c>
      <c r="B22" s="17" t="s">
        <v>2039</v>
      </c>
      <c r="C22" s="22" t="s">
        <v>6197</v>
      </c>
      <c r="D22" s="17" t="s">
        <v>2040</v>
      </c>
      <c r="E22" s="17" t="s">
        <v>2041</v>
      </c>
      <c r="F22" s="17" t="s">
        <v>2042</v>
      </c>
      <c r="G22" s="17" t="s">
        <v>1949</v>
      </c>
      <c r="H22" s="17" t="s">
        <v>2043</v>
      </c>
      <c r="I22" t="s">
        <v>1942</v>
      </c>
    </row>
    <row r="23" spans="1:9" x14ac:dyDescent="0.25">
      <c r="A23" s="17" t="s">
        <v>53</v>
      </c>
      <c r="B23" s="17" t="s">
        <v>2044</v>
      </c>
      <c r="C23" s="17" t="s">
        <v>2045</v>
      </c>
      <c r="D23" s="17" t="s">
        <v>2046</v>
      </c>
      <c r="E23" s="17" t="s">
        <v>2047</v>
      </c>
      <c r="F23" s="17" t="s">
        <v>2048</v>
      </c>
      <c r="G23" s="17" t="s">
        <v>1941</v>
      </c>
      <c r="H23" s="17">
        <v>49560</v>
      </c>
      <c r="I23" t="s">
        <v>1951</v>
      </c>
    </row>
    <row r="24" spans="1:9" x14ac:dyDescent="0.25">
      <c r="A24" s="17" t="s">
        <v>56</v>
      </c>
      <c r="B24" s="17" t="s">
        <v>2049</v>
      </c>
      <c r="C24" s="17" t="s">
        <v>2050</v>
      </c>
      <c r="D24" s="17" t="s">
        <v>2051</v>
      </c>
      <c r="E24" s="17" t="s">
        <v>2052</v>
      </c>
      <c r="F24" s="17" t="s">
        <v>2053</v>
      </c>
      <c r="G24" s="17" t="s">
        <v>1941</v>
      </c>
      <c r="H24" s="17">
        <v>33982</v>
      </c>
      <c r="I24" t="s">
        <v>1942</v>
      </c>
    </row>
    <row r="25" spans="1:9" x14ac:dyDescent="0.25">
      <c r="A25" s="17" t="s">
        <v>58</v>
      </c>
      <c r="B25" s="17" t="s">
        <v>2054</v>
      </c>
      <c r="C25" s="17" t="s">
        <v>2055</v>
      </c>
      <c r="D25" s="17" t="s">
        <v>2056</v>
      </c>
      <c r="E25" s="17" t="s">
        <v>2057</v>
      </c>
      <c r="F25" s="17" t="s">
        <v>2058</v>
      </c>
      <c r="G25" s="17" t="s">
        <v>1941</v>
      </c>
      <c r="H25" s="17">
        <v>98682</v>
      </c>
      <c r="I25" t="s">
        <v>1942</v>
      </c>
    </row>
    <row r="26" spans="1:9" x14ac:dyDescent="0.25">
      <c r="A26" s="17" t="s">
        <v>60</v>
      </c>
      <c r="B26" s="17" t="s">
        <v>2059</v>
      </c>
      <c r="C26" s="17" t="s">
        <v>2060</v>
      </c>
      <c r="D26" s="17" t="s">
        <v>2061</v>
      </c>
      <c r="E26" s="17" t="s">
        <v>2062</v>
      </c>
      <c r="F26" s="17" t="s">
        <v>2063</v>
      </c>
      <c r="G26" s="17" t="s">
        <v>1941</v>
      </c>
      <c r="H26" s="17">
        <v>80150</v>
      </c>
      <c r="I26" t="s">
        <v>1951</v>
      </c>
    </row>
    <row r="27" spans="1:9" x14ac:dyDescent="0.25">
      <c r="A27" s="17" t="s">
        <v>63</v>
      </c>
      <c r="B27" s="17" t="s">
        <v>2064</v>
      </c>
      <c r="C27" s="22" t="s">
        <v>6197</v>
      </c>
      <c r="D27" s="17" t="s">
        <v>2065</v>
      </c>
      <c r="E27" s="17" t="s">
        <v>2066</v>
      </c>
      <c r="F27" s="17" t="s">
        <v>2053</v>
      </c>
      <c r="G27" s="17" t="s">
        <v>1941</v>
      </c>
      <c r="H27" s="17">
        <v>33982</v>
      </c>
      <c r="I27" t="s">
        <v>1942</v>
      </c>
    </row>
    <row r="28" spans="1:9" x14ac:dyDescent="0.25">
      <c r="A28" s="17" t="s">
        <v>66</v>
      </c>
      <c r="B28" s="17" t="s">
        <v>2067</v>
      </c>
      <c r="C28" s="17" t="s">
        <v>2068</v>
      </c>
      <c r="D28" s="17" t="s">
        <v>2069</v>
      </c>
      <c r="E28" s="17" t="s">
        <v>2070</v>
      </c>
      <c r="F28" s="17" t="s">
        <v>2071</v>
      </c>
      <c r="G28" s="17" t="s">
        <v>1941</v>
      </c>
      <c r="H28" s="17">
        <v>94975</v>
      </c>
      <c r="I28" t="s">
        <v>1942</v>
      </c>
    </row>
    <row r="29" spans="1:9" x14ac:dyDescent="0.25">
      <c r="A29" s="17" t="s">
        <v>69</v>
      </c>
      <c r="B29" s="17" t="s">
        <v>2072</v>
      </c>
      <c r="C29" s="17" t="s">
        <v>2073</v>
      </c>
      <c r="D29" s="17" t="s">
        <v>2074</v>
      </c>
      <c r="E29" s="17" t="s">
        <v>2075</v>
      </c>
      <c r="F29" s="17" t="s">
        <v>2076</v>
      </c>
      <c r="G29" s="17" t="s">
        <v>1949</v>
      </c>
      <c r="H29" s="17" t="s">
        <v>2077</v>
      </c>
      <c r="I29" t="s">
        <v>1951</v>
      </c>
    </row>
    <row r="30" spans="1:9" x14ac:dyDescent="0.25">
      <c r="A30" s="17" t="s">
        <v>71</v>
      </c>
      <c r="B30" s="17" t="s">
        <v>2078</v>
      </c>
      <c r="C30" s="17" t="s">
        <v>2079</v>
      </c>
      <c r="D30" s="17" t="s">
        <v>2080</v>
      </c>
      <c r="E30" s="17" t="s">
        <v>2081</v>
      </c>
      <c r="F30" s="17" t="s">
        <v>2082</v>
      </c>
      <c r="G30" s="17" t="s">
        <v>1949</v>
      </c>
      <c r="H30" s="17" t="s">
        <v>2083</v>
      </c>
      <c r="I30" t="s">
        <v>1951</v>
      </c>
    </row>
    <row r="31" spans="1:9" x14ac:dyDescent="0.25">
      <c r="A31" s="17" t="s">
        <v>74</v>
      </c>
      <c r="B31" s="17" t="s">
        <v>2084</v>
      </c>
      <c r="C31" s="17" t="s">
        <v>2085</v>
      </c>
      <c r="D31" s="17" t="s">
        <v>2086</v>
      </c>
      <c r="E31" s="17" t="s">
        <v>2087</v>
      </c>
      <c r="F31" s="17" t="s">
        <v>2088</v>
      </c>
      <c r="G31" s="17" t="s">
        <v>1949</v>
      </c>
      <c r="H31" s="17" t="s">
        <v>2089</v>
      </c>
      <c r="I31" t="s">
        <v>1942</v>
      </c>
    </row>
    <row r="32" spans="1:9" x14ac:dyDescent="0.25">
      <c r="A32" s="17" t="s">
        <v>76</v>
      </c>
      <c r="B32" s="17" t="s">
        <v>2090</v>
      </c>
      <c r="C32" s="22" t="s">
        <v>6197</v>
      </c>
      <c r="D32" s="17" t="s">
        <v>2091</v>
      </c>
      <c r="E32" s="17" t="s">
        <v>2092</v>
      </c>
      <c r="F32" s="17" t="s">
        <v>2093</v>
      </c>
      <c r="G32" s="17" t="s">
        <v>1941</v>
      </c>
      <c r="H32" s="17">
        <v>80044</v>
      </c>
      <c r="I32" t="s">
        <v>1951</v>
      </c>
    </row>
    <row r="33" spans="1:9" x14ac:dyDescent="0.25">
      <c r="A33" s="17" t="s">
        <v>2094</v>
      </c>
      <c r="B33" s="17" t="s">
        <v>2095</v>
      </c>
      <c r="C33" s="17" t="s">
        <v>2096</v>
      </c>
      <c r="D33" s="17" t="s">
        <v>2097</v>
      </c>
      <c r="E33" s="17" t="s">
        <v>2098</v>
      </c>
      <c r="F33" s="17" t="s">
        <v>2099</v>
      </c>
      <c r="G33" s="17" t="s">
        <v>1941</v>
      </c>
      <c r="H33" s="17">
        <v>11407</v>
      </c>
      <c r="I33" t="s">
        <v>1951</v>
      </c>
    </row>
    <row r="34" spans="1:9" x14ac:dyDescent="0.25">
      <c r="A34" s="17" t="s">
        <v>2100</v>
      </c>
      <c r="B34" s="17" t="s">
        <v>2101</v>
      </c>
      <c r="C34" s="17" t="s">
        <v>2102</v>
      </c>
      <c r="D34" s="17" t="s">
        <v>2103</v>
      </c>
      <c r="E34" s="17" t="s">
        <v>2104</v>
      </c>
      <c r="F34" s="17" t="s">
        <v>2105</v>
      </c>
      <c r="G34" s="17" t="s">
        <v>1949</v>
      </c>
      <c r="H34" s="17" t="s">
        <v>2106</v>
      </c>
      <c r="I34" t="s">
        <v>1942</v>
      </c>
    </row>
    <row r="35" spans="1:9" x14ac:dyDescent="0.25">
      <c r="A35" s="17" t="s">
        <v>80</v>
      </c>
      <c r="B35" s="17" t="s">
        <v>2107</v>
      </c>
      <c r="C35" s="17" t="s">
        <v>2108</v>
      </c>
      <c r="D35" s="17" t="s">
        <v>6197</v>
      </c>
      <c r="E35" s="17" t="s">
        <v>2109</v>
      </c>
      <c r="F35" s="17" t="s">
        <v>2110</v>
      </c>
      <c r="G35" s="17" t="s">
        <v>1941</v>
      </c>
      <c r="H35" s="17">
        <v>58207</v>
      </c>
      <c r="I35" t="s">
        <v>1951</v>
      </c>
    </row>
    <row r="36" spans="1:9" x14ac:dyDescent="0.25">
      <c r="A36" s="17" t="s">
        <v>82</v>
      </c>
      <c r="B36" s="17" t="s">
        <v>2111</v>
      </c>
      <c r="C36" s="17" t="s">
        <v>2112</v>
      </c>
      <c r="D36" s="17" t="s">
        <v>2113</v>
      </c>
      <c r="E36" s="17" t="s">
        <v>2114</v>
      </c>
      <c r="F36" s="17" t="s">
        <v>2115</v>
      </c>
      <c r="G36" s="17" t="s">
        <v>2116</v>
      </c>
      <c r="H36" s="17" t="s">
        <v>2117</v>
      </c>
      <c r="I36" t="s">
        <v>1942</v>
      </c>
    </row>
    <row r="37" spans="1:9" x14ac:dyDescent="0.25">
      <c r="A37" s="17" t="s">
        <v>85</v>
      </c>
      <c r="B37" s="17" t="s">
        <v>2118</v>
      </c>
      <c r="C37" s="17" t="s">
        <v>2119</v>
      </c>
      <c r="D37" s="17" t="s">
        <v>2120</v>
      </c>
      <c r="E37" s="17" t="s">
        <v>2121</v>
      </c>
      <c r="F37" s="17" t="s">
        <v>2122</v>
      </c>
      <c r="G37" s="17" t="s">
        <v>1941</v>
      </c>
      <c r="H37" s="17">
        <v>25362</v>
      </c>
      <c r="I37" t="s">
        <v>1951</v>
      </c>
    </row>
    <row r="38" spans="1:9" x14ac:dyDescent="0.25">
      <c r="A38" s="17" t="s">
        <v>87</v>
      </c>
      <c r="B38" s="17" t="s">
        <v>2123</v>
      </c>
      <c r="C38" s="17" t="s">
        <v>2124</v>
      </c>
      <c r="D38" s="17" t="s">
        <v>2125</v>
      </c>
      <c r="E38" s="17" t="s">
        <v>2126</v>
      </c>
      <c r="F38" s="17" t="s">
        <v>2127</v>
      </c>
      <c r="G38" s="17" t="s">
        <v>1941</v>
      </c>
      <c r="H38" s="17">
        <v>72204</v>
      </c>
      <c r="I38" t="s">
        <v>1951</v>
      </c>
    </row>
    <row r="39" spans="1:9" x14ac:dyDescent="0.25">
      <c r="A39" s="17" t="s">
        <v>89</v>
      </c>
      <c r="B39" s="17" t="s">
        <v>2128</v>
      </c>
      <c r="C39" s="17" t="s">
        <v>2129</v>
      </c>
      <c r="D39" s="17" t="s">
        <v>2130</v>
      </c>
      <c r="E39" s="17" t="s">
        <v>2131</v>
      </c>
      <c r="F39" s="17" t="s">
        <v>2132</v>
      </c>
      <c r="G39" s="17" t="s">
        <v>1941</v>
      </c>
      <c r="H39" s="17">
        <v>80291</v>
      </c>
      <c r="I39" t="s">
        <v>1951</v>
      </c>
    </row>
    <row r="40" spans="1:9" x14ac:dyDescent="0.25">
      <c r="A40" s="17" t="s">
        <v>91</v>
      </c>
      <c r="B40" s="17" t="s">
        <v>2133</v>
      </c>
      <c r="C40" s="17" t="s">
        <v>2134</v>
      </c>
      <c r="D40" s="17" t="s">
        <v>2135</v>
      </c>
      <c r="E40" s="17" t="s">
        <v>2136</v>
      </c>
      <c r="F40" s="17" t="s">
        <v>2137</v>
      </c>
      <c r="G40" s="17" t="s">
        <v>1941</v>
      </c>
      <c r="H40" s="17">
        <v>55458</v>
      </c>
      <c r="I40" t="s">
        <v>1951</v>
      </c>
    </row>
    <row r="41" spans="1:9" x14ac:dyDescent="0.25">
      <c r="A41" s="17" t="s">
        <v>93</v>
      </c>
      <c r="B41" s="17" t="s">
        <v>2138</v>
      </c>
      <c r="C41" s="22" t="s">
        <v>6197</v>
      </c>
      <c r="D41" s="17" t="s">
        <v>6197</v>
      </c>
      <c r="E41" s="17" t="s">
        <v>2139</v>
      </c>
      <c r="F41" s="17" t="s">
        <v>2140</v>
      </c>
      <c r="G41" s="17" t="s">
        <v>1941</v>
      </c>
      <c r="H41" s="17">
        <v>85715</v>
      </c>
      <c r="I41" t="s">
        <v>1942</v>
      </c>
    </row>
    <row r="42" spans="1:9" x14ac:dyDescent="0.25">
      <c r="A42" s="17" t="s">
        <v>95</v>
      </c>
      <c r="B42" s="17" t="s">
        <v>2141</v>
      </c>
      <c r="C42" s="22" t="s">
        <v>6197</v>
      </c>
      <c r="D42" s="17" t="s">
        <v>2142</v>
      </c>
      <c r="E42" s="17" t="s">
        <v>2143</v>
      </c>
      <c r="F42" s="17" t="s">
        <v>2144</v>
      </c>
      <c r="G42" s="17" t="s">
        <v>1941</v>
      </c>
      <c r="H42" s="17">
        <v>70116</v>
      </c>
      <c r="I42" t="s">
        <v>1951</v>
      </c>
    </row>
    <row r="43" spans="1:9" x14ac:dyDescent="0.25">
      <c r="A43" s="17" t="s">
        <v>98</v>
      </c>
      <c r="B43" s="17" t="s">
        <v>2145</v>
      </c>
      <c r="C43" s="17" t="s">
        <v>2146</v>
      </c>
      <c r="D43" s="17" t="s">
        <v>2147</v>
      </c>
      <c r="E43" s="17" t="s">
        <v>2148</v>
      </c>
      <c r="F43" s="17" t="s">
        <v>2149</v>
      </c>
      <c r="G43" s="17" t="s">
        <v>1941</v>
      </c>
      <c r="H43" s="17">
        <v>6183</v>
      </c>
      <c r="I43" t="s">
        <v>1942</v>
      </c>
    </row>
    <row r="44" spans="1:9" x14ac:dyDescent="0.25">
      <c r="A44" s="17" t="s">
        <v>100</v>
      </c>
      <c r="B44" s="17" t="s">
        <v>2150</v>
      </c>
      <c r="C44" s="17" t="s">
        <v>2151</v>
      </c>
      <c r="D44" s="17" t="s">
        <v>2152</v>
      </c>
      <c r="E44" s="17" t="s">
        <v>2153</v>
      </c>
      <c r="F44" s="17" t="s">
        <v>2154</v>
      </c>
      <c r="G44" s="17" t="s">
        <v>1941</v>
      </c>
      <c r="H44" s="17">
        <v>84409</v>
      </c>
      <c r="I44" t="s">
        <v>1942</v>
      </c>
    </row>
    <row r="45" spans="1:9" x14ac:dyDescent="0.25">
      <c r="A45" s="17" t="s">
        <v>103</v>
      </c>
      <c r="B45" s="17" t="s">
        <v>2155</v>
      </c>
      <c r="C45" s="22" t="s">
        <v>6197</v>
      </c>
      <c r="D45" s="17" t="s">
        <v>2156</v>
      </c>
      <c r="E45" s="17" t="s">
        <v>2157</v>
      </c>
      <c r="F45" s="17" t="s">
        <v>2158</v>
      </c>
      <c r="G45" s="17" t="s">
        <v>1941</v>
      </c>
      <c r="H45" s="17">
        <v>2216</v>
      </c>
      <c r="I45" t="s">
        <v>1951</v>
      </c>
    </row>
    <row r="46" spans="1:9" x14ac:dyDescent="0.25">
      <c r="A46" s="17" t="s">
        <v>106</v>
      </c>
      <c r="B46" s="17" t="s">
        <v>2159</v>
      </c>
      <c r="C46" s="17" t="s">
        <v>2160</v>
      </c>
      <c r="D46" s="17" t="s">
        <v>2161</v>
      </c>
      <c r="E46" s="17" t="s">
        <v>2162</v>
      </c>
      <c r="F46" s="17" t="s">
        <v>2163</v>
      </c>
      <c r="G46" s="17" t="s">
        <v>1941</v>
      </c>
      <c r="H46" s="17">
        <v>14604</v>
      </c>
      <c r="I46" t="s">
        <v>1942</v>
      </c>
    </row>
    <row r="47" spans="1:9" x14ac:dyDescent="0.25">
      <c r="A47" s="17" t="s">
        <v>108</v>
      </c>
      <c r="B47" s="17" t="s">
        <v>2164</v>
      </c>
      <c r="C47" s="17" t="s">
        <v>2165</v>
      </c>
      <c r="D47" s="17" t="s">
        <v>2166</v>
      </c>
      <c r="E47" s="17" t="s">
        <v>2167</v>
      </c>
      <c r="F47" s="17" t="s">
        <v>2168</v>
      </c>
      <c r="G47" s="17" t="s">
        <v>1941</v>
      </c>
      <c r="H47" s="17">
        <v>10469</v>
      </c>
      <c r="I47" t="s">
        <v>1951</v>
      </c>
    </row>
    <row r="48" spans="1:9" x14ac:dyDescent="0.25">
      <c r="A48" s="17" t="s">
        <v>111</v>
      </c>
      <c r="B48" s="17" t="s">
        <v>2169</v>
      </c>
      <c r="C48" s="22" t="s">
        <v>6197</v>
      </c>
      <c r="D48" s="17" t="s">
        <v>2170</v>
      </c>
      <c r="E48" s="17" t="s">
        <v>2171</v>
      </c>
      <c r="F48" s="17" t="s">
        <v>2172</v>
      </c>
      <c r="G48" s="17" t="s">
        <v>1941</v>
      </c>
      <c r="H48" s="17">
        <v>35205</v>
      </c>
      <c r="I48" t="s">
        <v>1942</v>
      </c>
    </row>
    <row r="49" spans="1:9" x14ac:dyDescent="0.25">
      <c r="A49" s="17" t="s">
        <v>114</v>
      </c>
      <c r="B49" s="17" t="s">
        <v>2173</v>
      </c>
      <c r="C49" s="17" t="s">
        <v>2174</v>
      </c>
      <c r="D49" s="17" t="s">
        <v>2175</v>
      </c>
      <c r="E49" s="17" t="s">
        <v>2176</v>
      </c>
      <c r="F49" s="17" t="s">
        <v>2177</v>
      </c>
      <c r="G49" s="17" t="s">
        <v>1941</v>
      </c>
      <c r="H49" s="17">
        <v>92415</v>
      </c>
      <c r="I49" t="s">
        <v>1942</v>
      </c>
    </row>
    <row r="50" spans="1:9" x14ac:dyDescent="0.25">
      <c r="A50" s="17" t="s">
        <v>117</v>
      </c>
      <c r="B50" s="17" t="s">
        <v>2178</v>
      </c>
      <c r="C50" s="17" t="s">
        <v>2179</v>
      </c>
      <c r="D50" s="17" t="s">
        <v>6197</v>
      </c>
      <c r="E50" s="17" t="s">
        <v>2180</v>
      </c>
      <c r="F50" s="17" t="s">
        <v>2181</v>
      </c>
      <c r="G50" s="17" t="s">
        <v>1941</v>
      </c>
      <c r="H50" s="17">
        <v>23514</v>
      </c>
      <c r="I50" t="s">
        <v>1951</v>
      </c>
    </row>
    <row r="51" spans="1:9" x14ac:dyDescent="0.25">
      <c r="A51" s="17" t="s">
        <v>120</v>
      </c>
      <c r="B51" s="17" t="s">
        <v>2182</v>
      </c>
      <c r="C51" s="17" t="s">
        <v>2183</v>
      </c>
      <c r="D51" s="17" t="s">
        <v>2184</v>
      </c>
      <c r="E51" s="17" t="s">
        <v>2185</v>
      </c>
      <c r="F51" s="17" t="s">
        <v>2186</v>
      </c>
      <c r="G51" s="17" t="s">
        <v>1941</v>
      </c>
      <c r="H51" s="17">
        <v>20409</v>
      </c>
      <c r="I51" t="s">
        <v>1951</v>
      </c>
    </row>
    <row r="52" spans="1:9" x14ac:dyDescent="0.25">
      <c r="A52" s="17" t="s">
        <v>122</v>
      </c>
      <c r="B52" s="17" t="s">
        <v>2187</v>
      </c>
      <c r="C52" s="17" t="s">
        <v>2188</v>
      </c>
      <c r="D52" s="17" t="s">
        <v>2189</v>
      </c>
      <c r="E52" s="17" t="s">
        <v>2190</v>
      </c>
      <c r="F52" s="17" t="s">
        <v>2191</v>
      </c>
      <c r="G52" s="17" t="s">
        <v>1941</v>
      </c>
      <c r="H52" s="17">
        <v>33355</v>
      </c>
      <c r="I52" t="s">
        <v>1951</v>
      </c>
    </row>
    <row r="53" spans="1:9" x14ac:dyDescent="0.25">
      <c r="A53" s="17" t="s">
        <v>125</v>
      </c>
      <c r="B53" s="17" t="s">
        <v>2192</v>
      </c>
      <c r="C53" s="17" t="s">
        <v>2193</v>
      </c>
      <c r="D53" s="17" t="s">
        <v>2194</v>
      </c>
      <c r="E53" s="17" t="s">
        <v>2195</v>
      </c>
      <c r="F53" s="17" t="s">
        <v>1948</v>
      </c>
      <c r="G53" s="17" t="s">
        <v>1949</v>
      </c>
      <c r="H53" s="17" t="s">
        <v>1950</v>
      </c>
      <c r="I53" t="s">
        <v>1942</v>
      </c>
    </row>
    <row r="54" spans="1:9" x14ac:dyDescent="0.25">
      <c r="A54" s="17" t="s">
        <v>127</v>
      </c>
      <c r="B54" s="17" t="s">
        <v>2196</v>
      </c>
      <c r="C54" s="17" t="s">
        <v>2197</v>
      </c>
      <c r="D54" s="17" t="s">
        <v>6197</v>
      </c>
      <c r="E54" s="17" t="s">
        <v>2198</v>
      </c>
      <c r="F54" s="17" t="s">
        <v>2199</v>
      </c>
      <c r="G54" s="17" t="s">
        <v>2116</v>
      </c>
      <c r="H54" s="17" t="s">
        <v>2200</v>
      </c>
      <c r="I54" t="s">
        <v>1951</v>
      </c>
    </row>
    <row r="55" spans="1:9" x14ac:dyDescent="0.25">
      <c r="A55" s="17" t="s">
        <v>2201</v>
      </c>
      <c r="B55" s="17" t="s">
        <v>2202</v>
      </c>
      <c r="C55" s="17" t="s">
        <v>2203</v>
      </c>
      <c r="D55" s="17" t="s">
        <v>2204</v>
      </c>
      <c r="E55" s="17" t="s">
        <v>2205</v>
      </c>
      <c r="F55" s="17" t="s">
        <v>2206</v>
      </c>
      <c r="G55" s="17" t="s">
        <v>1941</v>
      </c>
      <c r="H55" s="17">
        <v>84605</v>
      </c>
      <c r="I55" t="s">
        <v>1951</v>
      </c>
    </row>
    <row r="56" spans="1:9" x14ac:dyDescent="0.25">
      <c r="A56" s="17" t="s">
        <v>129</v>
      </c>
      <c r="B56" s="17" t="s">
        <v>2207</v>
      </c>
      <c r="C56" s="17" t="s">
        <v>2208</v>
      </c>
      <c r="D56" s="17" t="s">
        <v>2209</v>
      </c>
      <c r="E56" s="17" t="s">
        <v>2210</v>
      </c>
      <c r="F56" s="17" t="s">
        <v>2211</v>
      </c>
      <c r="G56" s="17" t="s">
        <v>1941</v>
      </c>
      <c r="H56" s="17">
        <v>43666</v>
      </c>
      <c r="I56" t="s">
        <v>1951</v>
      </c>
    </row>
    <row r="57" spans="1:9" x14ac:dyDescent="0.25">
      <c r="A57" s="17" t="s">
        <v>131</v>
      </c>
      <c r="B57" s="17" t="s">
        <v>2212</v>
      </c>
      <c r="C57" s="22" t="s">
        <v>6197</v>
      </c>
      <c r="D57" s="17" t="s">
        <v>2213</v>
      </c>
      <c r="E57" s="17" t="s">
        <v>2214</v>
      </c>
      <c r="F57" s="17" t="s">
        <v>2215</v>
      </c>
      <c r="G57" s="17" t="s">
        <v>1941</v>
      </c>
      <c r="H57" s="17">
        <v>8650</v>
      </c>
      <c r="I57" t="s">
        <v>1951</v>
      </c>
    </row>
    <row r="58" spans="1:9" x14ac:dyDescent="0.25">
      <c r="A58" s="17" t="s">
        <v>134</v>
      </c>
      <c r="B58" s="17" t="s">
        <v>2216</v>
      </c>
      <c r="C58" s="17" t="s">
        <v>2217</v>
      </c>
      <c r="D58" s="17" t="s">
        <v>2218</v>
      </c>
      <c r="E58" s="17" t="s">
        <v>2219</v>
      </c>
      <c r="F58" s="17" t="s">
        <v>2220</v>
      </c>
      <c r="G58" s="17" t="s">
        <v>1941</v>
      </c>
      <c r="H58" s="17">
        <v>33686</v>
      </c>
      <c r="I58" t="s">
        <v>1942</v>
      </c>
    </row>
    <row r="59" spans="1:9" x14ac:dyDescent="0.25">
      <c r="A59" s="17" t="s">
        <v>136</v>
      </c>
      <c r="B59" s="17" t="s">
        <v>2221</v>
      </c>
      <c r="C59" s="17" t="s">
        <v>2222</v>
      </c>
      <c r="D59" s="17" t="s">
        <v>2223</v>
      </c>
      <c r="E59" s="17" t="s">
        <v>2224</v>
      </c>
      <c r="F59" s="17" t="s">
        <v>2225</v>
      </c>
      <c r="G59" s="17" t="s">
        <v>1941</v>
      </c>
      <c r="H59" s="17">
        <v>32590</v>
      </c>
      <c r="I59" t="s">
        <v>1951</v>
      </c>
    </row>
    <row r="60" spans="1:9" x14ac:dyDescent="0.25">
      <c r="A60" s="17" t="s">
        <v>139</v>
      </c>
      <c r="B60" s="17" t="s">
        <v>2226</v>
      </c>
      <c r="C60" s="22" t="s">
        <v>6197</v>
      </c>
      <c r="D60" s="17" t="s">
        <v>2227</v>
      </c>
      <c r="E60" s="17" t="s">
        <v>2228</v>
      </c>
      <c r="F60" s="17" t="s">
        <v>2229</v>
      </c>
      <c r="G60" s="17" t="s">
        <v>1941</v>
      </c>
      <c r="H60" s="17">
        <v>33543</v>
      </c>
      <c r="I60" t="s">
        <v>1942</v>
      </c>
    </row>
    <row r="61" spans="1:9" x14ac:dyDescent="0.25">
      <c r="A61" s="17" t="s">
        <v>141</v>
      </c>
      <c r="B61" s="17" t="s">
        <v>2230</v>
      </c>
      <c r="C61" s="17" t="s">
        <v>2231</v>
      </c>
      <c r="D61" s="17" t="s">
        <v>6197</v>
      </c>
      <c r="E61" s="17" t="s">
        <v>2232</v>
      </c>
      <c r="F61" s="17" t="s">
        <v>2233</v>
      </c>
      <c r="G61" s="17" t="s">
        <v>1941</v>
      </c>
      <c r="H61" s="17">
        <v>55123</v>
      </c>
      <c r="I61" t="s">
        <v>1942</v>
      </c>
    </row>
    <row r="62" spans="1:9" x14ac:dyDescent="0.25">
      <c r="A62" s="17" t="s">
        <v>143</v>
      </c>
      <c r="B62" s="17" t="s">
        <v>2234</v>
      </c>
      <c r="C62" s="17" t="s">
        <v>2235</v>
      </c>
      <c r="D62" s="17" t="s">
        <v>2236</v>
      </c>
      <c r="E62" s="17" t="s">
        <v>2237</v>
      </c>
      <c r="F62" s="17" t="s">
        <v>2238</v>
      </c>
      <c r="G62" s="17" t="s">
        <v>1941</v>
      </c>
      <c r="H62" s="17">
        <v>46862</v>
      </c>
      <c r="I62" t="s">
        <v>1951</v>
      </c>
    </row>
    <row r="63" spans="1:9" x14ac:dyDescent="0.25">
      <c r="A63" s="17" t="s">
        <v>145</v>
      </c>
      <c r="B63" s="17" t="s">
        <v>2239</v>
      </c>
      <c r="C63" s="22" t="s">
        <v>6197</v>
      </c>
      <c r="D63" s="17" t="s">
        <v>2240</v>
      </c>
      <c r="E63" s="17" t="s">
        <v>2241</v>
      </c>
      <c r="F63" s="17" t="s">
        <v>2242</v>
      </c>
      <c r="G63" s="17" t="s">
        <v>2116</v>
      </c>
      <c r="H63" s="17" t="s">
        <v>2243</v>
      </c>
      <c r="I63" t="s">
        <v>1942</v>
      </c>
    </row>
    <row r="64" spans="1:9" x14ac:dyDescent="0.25">
      <c r="A64" s="17" t="s">
        <v>148</v>
      </c>
      <c r="B64" s="17" t="s">
        <v>2244</v>
      </c>
      <c r="C64" s="22" t="s">
        <v>6197</v>
      </c>
      <c r="D64" s="17" t="s">
        <v>2245</v>
      </c>
      <c r="E64" s="17" t="s">
        <v>2246</v>
      </c>
      <c r="F64" s="17" t="s">
        <v>2247</v>
      </c>
      <c r="G64" s="17" t="s">
        <v>1941</v>
      </c>
      <c r="H64" s="17">
        <v>34114</v>
      </c>
      <c r="I64" t="s">
        <v>1942</v>
      </c>
    </row>
    <row r="65" spans="1:9" x14ac:dyDescent="0.25">
      <c r="A65" s="17" t="s">
        <v>150</v>
      </c>
      <c r="B65" s="17" t="s">
        <v>2248</v>
      </c>
      <c r="C65" s="17" t="s">
        <v>2249</v>
      </c>
      <c r="D65" s="17" t="s">
        <v>2250</v>
      </c>
      <c r="E65" s="17" t="s">
        <v>2251</v>
      </c>
      <c r="F65" s="17" t="s">
        <v>2252</v>
      </c>
      <c r="G65" s="17" t="s">
        <v>1941</v>
      </c>
      <c r="H65" s="17">
        <v>60681</v>
      </c>
      <c r="I65" t="s">
        <v>1951</v>
      </c>
    </row>
    <row r="66" spans="1:9" x14ac:dyDescent="0.25">
      <c r="A66" s="17" t="s">
        <v>152</v>
      </c>
      <c r="B66" s="17" t="s">
        <v>2253</v>
      </c>
      <c r="C66" s="22" t="s">
        <v>6197</v>
      </c>
      <c r="D66" s="17" t="s">
        <v>2254</v>
      </c>
      <c r="E66" s="17" t="s">
        <v>2255</v>
      </c>
      <c r="F66" s="17" t="s">
        <v>2256</v>
      </c>
      <c r="G66" s="17" t="s">
        <v>1941</v>
      </c>
      <c r="H66" s="17">
        <v>7104</v>
      </c>
      <c r="I66" t="s">
        <v>1942</v>
      </c>
    </row>
    <row r="67" spans="1:9" x14ac:dyDescent="0.25">
      <c r="A67" s="17" t="s">
        <v>154</v>
      </c>
      <c r="B67" s="17" t="s">
        <v>2257</v>
      </c>
      <c r="C67" s="17" t="s">
        <v>2258</v>
      </c>
      <c r="D67" s="17" t="s">
        <v>2259</v>
      </c>
      <c r="E67" s="17" t="s">
        <v>2260</v>
      </c>
      <c r="F67" s="17" t="s">
        <v>2261</v>
      </c>
      <c r="G67" s="17" t="s">
        <v>1941</v>
      </c>
      <c r="H67" s="17">
        <v>22184</v>
      </c>
      <c r="I67" t="s">
        <v>1942</v>
      </c>
    </row>
    <row r="68" spans="1:9" x14ac:dyDescent="0.25">
      <c r="A68" s="17" t="s">
        <v>156</v>
      </c>
      <c r="B68" s="17" t="s">
        <v>2262</v>
      </c>
      <c r="C68" s="17" t="s">
        <v>2263</v>
      </c>
      <c r="D68" s="17" t="s">
        <v>2264</v>
      </c>
      <c r="E68" s="17" t="s">
        <v>2265</v>
      </c>
      <c r="F68" s="17" t="s">
        <v>2266</v>
      </c>
      <c r="G68" s="17" t="s">
        <v>1941</v>
      </c>
      <c r="H68" s="17">
        <v>76178</v>
      </c>
      <c r="I68" t="s">
        <v>1942</v>
      </c>
    </row>
    <row r="69" spans="1:9" x14ac:dyDescent="0.25">
      <c r="A69" s="17" t="s">
        <v>159</v>
      </c>
      <c r="B69" s="17" t="s">
        <v>2267</v>
      </c>
      <c r="C69" s="17" t="s">
        <v>2268</v>
      </c>
      <c r="D69" s="17" t="s">
        <v>2269</v>
      </c>
      <c r="E69" s="17" t="s">
        <v>2270</v>
      </c>
      <c r="F69" s="17" t="s">
        <v>2271</v>
      </c>
      <c r="G69" s="17" t="s">
        <v>1941</v>
      </c>
      <c r="H69" s="17">
        <v>91505</v>
      </c>
      <c r="I69" t="s">
        <v>1951</v>
      </c>
    </row>
    <row r="70" spans="1:9" x14ac:dyDescent="0.25">
      <c r="A70" s="17" t="s">
        <v>161</v>
      </c>
      <c r="B70" s="17" t="s">
        <v>2272</v>
      </c>
      <c r="C70" s="17" t="s">
        <v>2273</v>
      </c>
      <c r="D70" s="17" t="s">
        <v>2274</v>
      </c>
      <c r="E70" s="17" t="s">
        <v>2275</v>
      </c>
      <c r="F70" s="17" t="s">
        <v>2276</v>
      </c>
      <c r="G70" s="17" t="s">
        <v>1941</v>
      </c>
      <c r="H70" s="17">
        <v>37665</v>
      </c>
      <c r="I70" t="s">
        <v>1951</v>
      </c>
    </row>
    <row r="71" spans="1:9" x14ac:dyDescent="0.25">
      <c r="A71" s="17" t="s">
        <v>164</v>
      </c>
      <c r="B71" s="17" t="s">
        <v>2277</v>
      </c>
      <c r="C71" s="17" t="s">
        <v>2278</v>
      </c>
      <c r="D71" s="17" t="s">
        <v>2279</v>
      </c>
      <c r="E71" s="17" t="s">
        <v>2280</v>
      </c>
      <c r="F71" s="17" t="s">
        <v>2281</v>
      </c>
      <c r="G71" s="17" t="s">
        <v>2116</v>
      </c>
      <c r="H71" s="17" t="s">
        <v>2282</v>
      </c>
      <c r="I71" t="s">
        <v>1942</v>
      </c>
    </row>
    <row r="72" spans="1:9" x14ac:dyDescent="0.25">
      <c r="A72" s="17" t="s">
        <v>166</v>
      </c>
      <c r="B72" s="17" t="s">
        <v>2283</v>
      </c>
      <c r="C72" s="17" t="s">
        <v>2284</v>
      </c>
      <c r="D72" s="17" t="s">
        <v>2285</v>
      </c>
      <c r="E72" s="17" t="s">
        <v>2286</v>
      </c>
      <c r="F72" s="17" t="s">
        <v>2287</v>
      </c>
      <c r="G72" s="17" t="s">
        <v>1941</v>
      </c>
      <c r="H72" s="17">
        <v>43231</v>
      </c>
      <c r="I72" t="s">
        <v>1951</v>
      </c>
    </row>
    <row r="73" spans="1:9" x14ac:dyDescent="0.25">
      <c r="A73" s="17" t="s">
        <v>168</v>
      </c>
      <c r="B73" s="17" t="s">
        <v>2288</v>
      </c>
      <c r="C73" s="17" t="s">
        <v>2289</v>
      </c>
      <c r="D73" s="17" t="s">
        <v>2290</v>
      </c>
      <c r="E73" s="17" t="s">
        <v>2291</v>
      </c>
      <c r="F73" s="17" t="s">
        <v>2292</v>
      </c>
      <c r="G73" s="17" t="s">
        <v>1949</v>
      </c>
      <c r="H73" s="17" t="s">
        <v>2293</v>
      </c>
      <c r="I73" t="s">
        <v>1951</v>
      </c>
    </row>
    <row r="74" spans="1:9" x14ac:dyDescent="0.25">
      <c r="A74" s="17" t="s">
        <v>170</v>
      </c>
      <c r="B74" s="17" t="s">
        <v>2294</v>
      </c>
      <c r="C74" s="22" t="s">
        <v>6197</v>
      </c>
      <c r="D74" s="17" t="s">
        <v>2295</v>
      </c>
      <c r="E74" s="17" t="s">
        <v>2296</v>
      </c>
      <c r="F74" s="17" t="s">
        <v>2144</v>
      </c>
      <c r="G74" s="17" t="s">
        <v>1941</v>
      </c>
      <c r="H74" s="17">
        <v>70183</v>
      </c>
      <c r="I74" t="s">
        <v>1951</v>
      </c>
    </row>
    <row r="75" spans="1:9" x14ac:dyDescent="0.25">
      <c r="A75" s="17" t="s">
        <v>173</v>
      </c>
      <c r="B75" s="17" t="s">
        <v>2297</v>
      </c>
      <c r="C75" s="22" t="s">
        <v>6197</v>
      </c>
      <c r="D75" s="17" t="s">
        <v>2298</v>
      </c>
      <c r="E75" s="17" t="s">
        <v>2299</v>
      </c>
      <c r="F75" s="17" t="s">
        <v>2300</v>
      </c>
      <c r="G75" s="17" t="s">
        <v>1941</v>
      </c>
      <c r="H75" s="17">
        <v>28230</v>
      </c>
      <c r="I75" t="s">
        <v>1942</v>
      </c>
    </row>
    <row r="76" spans="1:9" x14ac:dyDescent="0.25">
      <c r="A76" s="17" t="s">
        <v>175</v>
      </c>
      <c r="B76" s="17" t="s">
        <v>2301</v>
      </c>
      <c r="C76" s="17" t="s">
        <v>2302</v>
      </c>
      <c r="D76" s="17" t="s">
        <v>2303</v>
      </c>
      <c r="E76" s="17" t="s">
        <v>2304</v>
      </c>
      <c r="F76" s="17" t="s">
        <v>1962</v>
      </c>
      <c r="G76" s="17" t="s">
        <v>1941</v>
      </c>
      <c r="H76" s="17">
        <v>1114</v>
      </c>
      <c r="I76" t="s">
        <v>1942</v>
      </c>
    </row>
    <row r="77" spans="1:9" x14ac:dyDescent="0.25">
      <c r="A77" s="17" t="s">
        <v>178</v>
      </c>
      <c r="B77" s="17" t="s">
        <v>2305</v>
      </c>
      <c r="C77" s="17" t="s">
        <v>2306</v>
      </c>
      <c r="D77" s="17" t="s">
        <v>2307</v>
      </c>
      <c r="E77" s="17" t="s">
        <v>2308</v>
      </c>
      <c r="F77" s="17" t="s">
        <v>2309</v>
      </c>
      <c r="G77" s="17" t="s">
        <v>1949</v>
      </c>
      <c r="H77" s="17" t="s">
        <v>2310</v>
      </c>
      <c r="I77" t="s">
        <v>1942</v>
      </c>
    </row>
    <row r="78" spans="1:9" x14ac:dyDescent="0.25">
      <c r="A78" s="17" t="s">
        <v>181</v>
      </c>
      <c r="B78" s="17" t="s">
        <v>2311</v>
      </c>
      <c r="C78" s="22" t="s">
        <v>6197</v>
      </c>
      <c r="D78" s="17" t="s">
        <v>2312</v>
      </c>
      <c r="E78" s="17" t="s">
        <v>2313</v>
      </c>
      <c r="F78" s="17" t="s">
        <v>2314</v>
      </c>
      <c r="G78" s="17" t="s">
        <v>1949</v>
      </c>
      <c r="H78" s="17" t="s">
        <v>2315</v>
      </c>
      <c r="I78" t="s">
        <v>1942</v>
      </c>
    </row>
    <row r="79" spans="1:9" x14ac:dyDescent="0.25">
      <c r="A79" s="17" t="s">
        <v>184</v>
      </c>
      <c r="B79" s="17" t="s">
        <v>2316</v>
      </c>
      <c r="C79" s="17" t="s">
        <v>2317</v>
      </c>
      <c r="D79" s="17" t="s">
        <v>2318</v>
      </c>
      <c r="E79" s="17" t="s">
        <v>2319</v>
      </c>
      <c r="F79" s="17" t="s">
        <v>2320</v>
      </c>
      <c r="G79" s="17" t="s">
        <v>1941</v>
      </c>
      <c r="H79" s="17">
        <v>79705</v>
      </c>
      <c r="I79" t="s">
        <v>1951</v>
      </c>
    </row>
    <row r="80" spans="1:9" x14ac:dyDescent="0.25">
      <c r="A80" s="17" t="s">
        <v>186</v>
      </c>
      <c r="B80" s="17" t="s">
        <v>2321</v>
      </c>
      <c r="C80" s="17" t="s">
        <v>2322</v>
      </c>
      <c r="D80" s="17" t="s">
        <v>2323</v>
      </c>
      <c r="E80" s="17" t="s">
        <v>2324</v>
      </c>
      <c r="F80" s="17" t="s">
        <v>2325</v>
      </c>
      <c r="G80" s="17" t="s">
        <v>1941</v>
      </c>
      <c r="H80" s="17">
        <v>75323</v>
      </c>
      <c r="I80" t="s">
        <v>1942</v>
      </c>
    </row>
    <row r="81" spans="1:9" x14ac:dyDescent="0.25">
      <c r="A81" s="17" t="s">
        <v>188</v>
      </c>
      <c r="B81" s="17" t="s">
        <v>2326</v>
      </c>
      <c r="C81" s="17" t="s">
        <v>2327</v>
      </c>
      <c r="D81" s="17" t="s">
        <v>2328</v>
      </c>
      <c r="E81" s="17" t="s">
        <v>2329</v>
      </c>
      <c r="F81" s="17" t="s">
        <v>2330</v>
      </c>
      <c r="G81" s="17" t="s">
        <v>1941</v>
      </c>
      <c r="H81" s="17">
        <v>20189</v>
      </c>
      <c r="I81" t="s">
        <v>1951</v>
      </c>
    </row>
    <row r="82" spans="1:9" x14ac:dyDescent="0.25">
      <c r="A82" s="17" t="s">
        <v>191</v>
      </c>
      <c r="B82" s="17" t="s">
        <v>2331</v>
      </c>
      <c r="C82" s="17" t="s">
        <v>2332</v>
      </c>
      <c r="D82" s="17" t="s">
        <v>2333</v>
      </c>
      <c r="E82" s="17" t="s">
        <v>2334</v>
      </c>
      <c r="F82" s="17" t="s">
        <v>2335</v>
      </c>
      <c r="G82" s="17" t="s">
        <v>1941</v>
      </c>
      <c r="H82" s="17">
        <v>94627</v>
      </c>
      <c r="I82" t="s">
        <v>1942</v>
      </c>
    </row>
    <row r="83" spans="1:9" x14ac:dyDescent="0.25">
      <c r="A83" s="17" t="s">
        <v>194</v>
      </c>
      <c r="B83" s="17" t="s">
        <v>2336</v>
      </c>
      <c r="C83" s="17" t="s">
        <v>2337</v>
      </c>
      <c r="D83" s="17" t="s">
        <v>2338</v>
      </c>
      <c r="E83" s="17" t="s">
        <v>2339</v>
      </c>
      <c r="F83" s="17" t="s">
        <v>2340</v>
      </c>
      <c r="G83" s="17" t="s">
        <v>1941</v>
      </c>
      <c r="H83" s="17">
        <v>80930</v>
      </c>
      <c r="I83" t="s">
        <v>1942</v>
      </c>
    </row>
    <row r="84" spans="1:9" x14ac:dyDescent="0.25">
      <c r="A84" s="17" t="s">
        <v>196</v>
      </c>
      <c r="B84" s="17" t="s">
        <v>2341</v>
      </c>
      <c r="C84" s="17" t="s">
        <v>2342</v>
      </c>
      <c r="D84" s="17" t="s">
        <v>2343</v>
      </c>
      <c r="E84" s="17" t="s">
        <v>2344</v>
      </c>
      <c r="F84" s="17" t="s">
        <v>2345</v>
      </c>
      <c r="G84" s="17" t="s">
        <v>1949</v>
      </c>
      <c r="H84" s="17" t="s">
        <v>2346</v>
      </c>
      <c r="I84" t="s">
        <v>1942</v>
      </c>
    </row>
    <row r="85" spans="1:9" x14ac:dyDescent="0.25">
      <c r="A85" s="17" t="s">
        <v>199</v>
      </c>
      <c r="B85" s="17" t="s">
        <v>2347</v>
      </c>
      <c r="C85" s="22" t="s">
        <v>6197</v>
      </c>
      <c r="D85" s="17" t="s">
        <v>2348</v>
      </c>
      <c r="E85" s="17" t="s">
        <v>2349</v>
      </c>
      <c r="F85" s="17" t="s">
        <v>2350</v>
      </c>
      <c r="G85" s="17" t="s">
        <v>1941</v>
      </c>
      <c r="H85" s="17">
        <v>14205</v>
      </c>
      <c r="I85" t="s">
        <v>1942</v>
      </c>
    </row>
    <row r="86" spans="1:9" x14ac:dyDescent="0.25">
      <c r="A86" s="17" t="s">
        <v>201</v>
      </c>
      <c r="B86" s="17" t="s">
        <v>2351</v>
      </c>
      <c r="C86" s="17" t="s">
        <v>2352</v>
      </c>
      <c r="D86" s="17" t="s">
        <v>2353</v>
      </c>
      <c r="E86" s="17" t="s">
        <v>2354</v>
      </c>
      <c r="F86" s="17" t="s">
        <v>2355</v>
      </c>
      <c r="G86" s="17" t="s">
        <v>1941</v>
      </c>
      <c r="H86" s="17">
        <v>93715</v>
      </c>
      <c r="I86" t="s">
        <v>1951</v>
      </c>
    </row>
    <row r="87" spans="1:9" x14ac:dyDescent="0.25">
      <c r="A87" s="17" t="s">
        <v>203</v>
      </c>
      <c r="B87" s="17" t="s">
        <v>2356</v>
      </c>
      <c r="C87" s="17" t="s">
        <v>2357</v>
      </c>
      <c r="D87" s="17" t="s">
        <v>6197</v>
      </c>
      <c r="E87" s="17" t="s">
        <v>2358</v>
      </c>
      <c r="F87" s="17" t="s">
        <v>2266</v>
      </c>
      <c r="G87" s="17" t="s">
        <v>1941</v>
      </c>
      <c r="H87" s="17">
        <v>76121</v>
      </c>
      <c r="I87" t="s">
        <v>1951</v>
      </c>
    </row>
    <row r="88" spans="1:9" x14ac:dyDescent="0.25">
      <c r="A88" s="17" t="s">
        <v>300</v>
      </c>
      <c r="B88" s="17" t="s">
        <v>2359</v>
      </c>
      <c r="C88" s="17" t="s">
        <v>2360</v>
      </c>
      <c r="D88" s="17" t="s">
        <v>6197</v>
      </c>
      <c r="E88" s="17" t="s">
        <v>2361</v>
      </c>
      <c r="F88" s="17" t="s">
        <v>2362</v>
      </c>
      <c r="G88" s="17" t="s">
        <v>1941</v>
      </c>
      <c r="H88" s="17">
        <v>73179</v>
      </c>
      <c r="I88" t="s">
        <v>1942</v>
      </c>
    </row>
    <row r="89" spans="1:9" x14ac:dyDescent="0.25">
      <c r="A89" s="17" t="s">
        <v>206</v>
      </c>
      <c r="B89" s="17" t="s">
        <v>2363</v>
      </c>
      <c r="C89" s="17" t="s">
        <v>2364</v>
      </c>
      <c r="D89" s="17" t="s">
        <v>6197</v>
      </c>
      <c r="E89" s="17" t="s">
        <v>2365</v>
      </c>
      <c r="F89" s="17" t="s">
        <v>2366</v>
      </c>
      <c r="G89" s="17" t="s">
        <v>1941</v>
      </c>
      <c r="H89" s="17">
        <v>77705</v>
      </c>
      <c r="I89" t="s">
        <v>1951</v>
      </c>
    </row>
    <row r="90" spans="1:9" x14ac:dyDescent="0.25">
      <c r="A90" s="17" t="s">
        <v>208</v>
      </c>
      <c r="B90" s="17" t="s">
        <v>2367</v>
      </c>
      <c r="C90" s="17" t="s">
        <v>2368</v>
      </c>
      <c r="D90" s="17" t="s">
        <v>6197</v>
      </c>
      <c r="E90" s="17" t="s">
        <v>2369</v>
      </c>
      <c r="F90" s="17" t="s">
        <v>2370</v>
      </c>
      <c r="G90" s="17" t="s">
        <v>1941</v>
      </c>
      <c r="H90" s="17">
        <v>89519</v>
      </c>
      <c r="I90" t="s">
        <v>1951</v>
      </c>
    </row>
    <row r="91" spans="1:9" x14ac:dyDescent="0.25">
      <c r="A91" s="17" t="s">
        <v>210</v>
      </c>
      <c r="B91" s="17" t="s">
        <v>2371</v>
      </c>
      <c r="C91" s="17" t="s">
        <v>2372</v>
      </c>
      <c r="D91" s="17" t="s">
        <v>2373</v>
      </c>
      <c r="E91" s="17" t="s">
        <v>2374</v>
      </c>
      <c r="F91" s="17" t="s">
        <v>2375</v>
      </c>
      <c r="G91" s="17" t="s">
        <v>1941</v>
      </c>
      <c r="H91" s="17">
        <v>64136</v>
      </c>
      <c r="I91" t="s">
        <v>1951</v>
      </c>
    </row>
    <row r="92" spans="1:9" x14ac:dyDescent="0.25">
      <c r="A92" s="17" t="s">
        <v>212</v>
      </c>
      <c r="B92" s="17" t="s">
        <v>2376</v>
      </c>
      <c r="C92" s="22" t="s">
        <v>6197</v>
      </c>
      <c r="D92" s="17" t="s">
        <v>2377</v>
      </c>
      <c r="E92" s="17" t="s">
        <v>2378</v>
      </c>
      <c r="F92" s="17" t="s">
        <v>1948</v>
      </c>
      <c r="G92" s="17" t="s">
        <v>1949</v>
      </c>
      <c r="H92" s="17" t="s">
        <v>1950</v>
      </c>
      <c r="I92" t="s">
        <v>1942</v>
      </c>
    </row>
    <row r="93" spans="1:9" x14ac:dyDescent="0.25">
      <c r="A93" s="17" t="s">
        <v>214</v>
      </c>
      <c r="B93" s="17" t="s">
        <v>2379</v>
      </c>
      <c r="C93" s="17" t="s">
        <v>2380</v>
      </c>
      <c r="D93" s="17" t="s">
        <v>2381</v>
      </c>
      <c r="E93" s="17" t="s">
        <v>2382</v>
      </c>
      <c r="F93" s="17" t="s">
        <v>2383</v>
      </c>
      <c r="G93" s="17" t="s">
        <v>1941</v>
      </c>
      <c r="H93" s="17">
        <v>92878</v>
      </c>
      <c r="I93" t="s">
        <v>1951</v>
      </c>
    </row>
    <row r="94" spans="1:9" x14ac:dyDescent="0.25">
      <c r="A94" s="17" t="s">
        <v>216</v>
      </c>
      <c r="B94" s="17" t="s">
        <v>2384</v>
      </c>
      <c r="C94" s="22" t="s">
        <v>6197</v>
      </c>
      <c r="D94" s="17" t="s">
        <v>2385</v>
      </c>
      <c r="E94" s="17" t="s">
        <v>2386</v>
      </c>
      <c r="F94" s="17" t="s">
        <v>2387</v>
      </c>
      <c r="G94" s="17" t="s">
        <v>1941</v>
      </c>
      <c r="H94" s="17">
        <v>78759</v>
      </c>
      <c r="I94" t="s">
        <v>1942</v>
      </c>
    </row>
    <row r="95" spans="1:9" x14ac:dyDescent="0.25">
      <c r="A95" s="17" t="s">
        <v>218</v>
      </c>
      <c r="B95" s="17" t="s">
        <v>2388</v>
      </c>
      <c r="C95" s="17" t="s">
        <v>2389</v>
      </c>
      <c r="D95" s="17" t="s">
        <v>2390</v>
      </c>
      <c r="E95" s="17" t="s">
        <v>2391</v>
      </c>
      <c r="F95" s="17" t="s">
        <v>2392</v>
      </c>
      <c r="G95" s="17" t="s">
        <v>2116</v>
      </c>
      <c r="H95" s="17" t="s">
        <v>2393</v>
      </c>
      <c r="I95" t="s">
        <v>1942</v>
      </c>
    </row>
    <row r="96" spans="1:9" x14ac:dyDescent="0.25">
      <c r="A96" s="17" t="s">
        <v>220</v>
      </c>
      <c r="B96" s="17" t="s">
        <v>2394</v>
      </c>
      <c r="C96" s="22" t="s">
        <v>6197</v>
      </c>
      <c r="D96" s="17" t="s">
        <v>6197</v>
      </c>
      <c r="E96" s="17" t="s">
        <v>2395</v>
      </c>
      <c r="F96" s="17" t="s">
        <v>2396</v>
      </c>
      <c r="G96" s="17" t="s">
        <v>1949</v>
      </c>
      <c r="H96" s="17" t="s">
        <v>2397</v>
      </c>
      <c r="I96" t="s">
        <v>1942</v>
      </c>
    </row>
    <row r="97" spans="1:9" x14ac:dyDescent="0.25">
      <c r="A97" s="17" t="s">
        <v>222</v>
      </c>
      <c r="B97" s="17" t="s">
        <v>2398</v>
      </c>
      <c r="C97" s="17" t="s">
        <v>2399</v>
      </c>
      <c r="D97" s="17" t="s">
        <v>6197</v>
      </c>
      <c r="E97" s="17" t="s">
        <v>2400</v>
      </c>
      <c r="F97" s="17" t="s">
        <v>2355</v>
      </c>
      <c r="G97" s="17" t="s">
        <v>1941</v>
      </c>
      <c r="H97" s="17">
        <v>93762</v>
      </c>
      <c r="I97" t="s">
        <v>1951</v>
      </c>
    </row>
    <row r="98" spans="1:9" x14ac:dyDescent="0.25">
      <c r="A98" s="17" t="s">
        <v>224</v>
      </c>
      <c r="B98" s="17" t="s">
        <v>2401</v>
      </c>
      <c r="C98" s="17" t="s">
        <v>2402</v>
      </c>
      <c r="D98" s="17" t="s">
        <v>6197</v>
      </c>
      <c r="E98" s="17" t="s">
        <v>2403</v>
      </c>
      <c r="F98" s="17" t="s">
        <v>2013</v>
      </c>
      <c r="G98" s="17" t="s">
        <v>1941</v>
      </c>
      <c r="H98" s="17">
        <v>63150</v>
      </c>
      <c r="I98" t="s">
        <v>1951</v>
      </c>
    </row>
    <row r="99" spans="1:9" x14ac:dyDescent="0.25">
      <c r="A99" s="17" t="s">
        <v>226</v>
      </c>
      <c r="B99" s="17" t="s">
        <v>2404</v>
      </c>
      <c r="C99" s="17" t="s">
        <v>2405</v>
      </c>
      <c r="D99" s="17" t="s">
        <v>2406</v>
      </c>
      <c r="E99" s="17" t="s">
        <v>2407</v>
      </c>
      <c r="F99" s="17" t="s">
        <v>2355</v>
      </c>
      <c r="G99" s="17" t="s">
        <v>1941</v>
      </c>
      <c r="H99" s="17">
        <v>93726</v>
      </c>
      <c r="I99" t="s">
        <v>1951</v>
      </c>
    </row>
    <row r="100" spans="1:9" x14ac:dyDescent="0.25">
      <c r="A100" s="17" t="s">
        <v>228</v>
      </c>
      <c r="B100" s="17" t="s">
        <v>2408</v>
      </c>
      <c r="C100" s="22" t="s">
        <v>6197</v>
      </c>
      <c r="D100" s="17" t="s">
        <v>2409</v>
      </c>
      <c r="E100" s="17" t="s">
        <v>2410</v>
      </c>
      <c r="F100" s="17" t="s">
        <v>2411</v>
      </c>
      <c r="G100" s="17" t="s">
        <v>1949</v>
      </c>
      <c r="H100" s="17" t="s">
        <v>2412</v>
      </c>
      <c r="I100" t="s">
        <v>1951</v>
      </c>
    </row>
    <row r="101" spans="1:9" x14ac:dyDescent="0.25">
      <c r="A101" s="17" t="s">
        <v>230</v>
      </c>
      <c r="B101" s="17" t="s">
        <v>2413</v>
      </c>
      <c r="C101" s="22" t="s">
        <v>6197</v>
      </c>
      <c r="D101" s="17" t="s">
        <v>2414</v>
      </c>
      <c r="E101" s="17" t="s">
        <v>2415</v>
      </c>
      <c r="F101" s="17" t="s">
        <v>2287</v>
      </c>
      <c r="G101" s="17" t="s">
        <v>1941</v>
      </c>
      <c r="H101" s="17">
        <v>43210</v>
      </c>
      <c r="I101" t="s">
        <v>1942</v>
      </c>
    </row>
    <row r="102" spans="1:9" x14ac:dyDescent="0.25">
      <c r="A102" s="17" t="s">
        <v>232</v>
      </c>
      <c r="B102" s="17" t="s">
        <v>2416</v>
      </c>
      <c r="C102" s="22" t="s">
        <v>6197</v>
      </c>
      <c r="D102" s="17" t="s">
        <v>2417</v>
      </c>
      <c r="E102" s="17" t="s">
        <v>2418</v>
      </c>
      <c r="F102" s="17" t="s">
        <v>2419</v>
      </c>
      <c r="G102" s="17" t="s">
        <v>1941</v>
      </c>
      <c r="H102" s="17">
        <v>95205</v>
      </c>
      <c r="I102" t="s">
        <v>1942</v>
      </c>
    </row>
    <row r="103" spans="1:9" x14ac:dyDescent="0.25">
      <c r="A103" s="17" t="s">
        <v>234</v>
      </c>
      <c r="B103" s="17" t="s">
        <v>2420</v>
      </c>
      <c r="C103" s="17" t="s">
        <v>2421</v>
      </c>
      <c r="D103" s="17" t="s">
        <v>2422</v>
      </c>
      <c r="E103" s="17" t="s">
        <v>2423</v>
      </c>
      <c r="F103" s="17" t="s">
        <v>2424</v>
      </c>
      <c r="G103" s="17" t="s">
        <v>1949</v>
      </c>
      <c r="H103" s="17" t="s">
        <v>2425</v>
      </c>
      <c r="I103" t="s">
        <v>1942</v>
      </c>
    </row>
    <row r="104" spans="1:9" x14ac:dyDescent="0.25">
      <c r="A104" s="17" t="s">
        <v>236</v>
      </c>
      <c r="B104" s="17" t="s">
        <v>2426</v>
      </c>
      <c r="C104" s="17" t="s">
        <v>2427</v>
      </c>
      <c r="D104" s="17" t="s">
        <v>2428</v>
      </c>
      <c r="E104" s="17" t="s">
        <v>2429</v>
      </c>
      <c r="F104" s="17" t="s">
        <v>2430</v>
      </c>
      <c r="G104" s="17" t="s">
        <v>1949</v>
      </c>
      <c r="H104" s="17" t="s">
        <v>2412</v>
      </c>
      <c r="I104" t="s">
        <v>1942</v>
      </c>
    </row>
    <row r="105" spans="1:9" x14ac:dyDescent="0.25">
      <c r="A105" s="17" t="s">
        <v>238</v>
      </c>
      <c r="B105" s="17" t="s">
        <v>2431</v>
      </c>
      <c r="C105" s="17" t="s">
        <v>2432</v>
      </c>
      <c r="D105" s="17" t="s">
        <v>2433</v>
      </c>
      <c r="E105" s="17" t="s">
        <v>2434</v>
      </c>
      <c r="F105" s="17" t="s">
        <v>2163</v>
      </c>
      <c r="G105" s="17" t="s">
        <v>1941</v>
      </c>
      <c r="H105" s="17">
        <v>14652</v>
      </c>
      <c r="I105" t="s">
        <v>1951</v>
      </c>
    </row>
    <row r="106" spans="1:9" x14ac:dyDescent="0.25">
      <c r="A106" s="17" t="s">
        <v>240</v>
      </c>
      <c r="B106" s="17" t="s">
        <v>2435</v>
      </c>
      <c r="C106" s="17" t="s">
        <v>2436</v>
      </c>
      <c r="D106" s="17" t="s">
        <v>2437</v>
      </c>
      <c r="E106" s="17" t="s">
        <v>2438</v>
      </c>
      <c r="F106" s="17" t="s">
        <v>2439</v>
      </c>
      <c r="G106" s="17" t="s">
        <v>1941</v>
      </c>
      <c r="H106" s="17">
        <v>35487</v>
      </c>
      <c r="I106" t="s">
        <v>1951</v>
      </c>
    </row>
    <row r="107" spans="1:9" x14ac:dyDescent="0.25">
      <c r="A107" s="17" t="s">
        <v>242</v>
      </c>
      <c r="B107" s="17" t="s">
        <v>2440</v>
      </c>
      <c r="C107" s="17" t="s">
        <v>2441</v>
      </c>
      <c r="D107" s="17" t="s">
        <v>2442</v>
      </c>
      <c r="E107" s="17" t="s">
        <v>2443</v>
      </c>
      <c r="F107" s="17" t="s">
        <v>2027</v>
      </c>
      <c r="G107" s="17" t="s">
        <v>1941</v>
      </c>
      <c r="H107" s="17">
        <v>77260</v>
      </c>
      <c r="I107" t="s">
        <v>1942</v>
      </c>
    </row>
    <row r="108" spans="1:9" x14ac:dyDescent="0.25">
      <c r="A108" s="17" t="s">
        <v>244</v>
      </c>
      <c r="B108" s="17" t="s">
        <v>2444</v>
      </c>
      <c r="C108" s="17" t="s">
        <v>2445</v>
      </c>
      <c r="D108" s="17" t="s">
        <v>2446</v>
      </c>
      <c r="E108" s="17" t="s">
        <v>2447</v>
      </c>
      <c r="F108" s="17" t="s">
        <v>2448</v>
      </c>
      <c r="G108" s="17" t="s">
        <v>1941</v>
      </c>
      <c r="H108" s="17">
        <v>88514</v>
      </c>
      <c r="I108" t="s">
        <v>1951</v>
      </c>
    </row>
    <row r="109" spans="1:9" x14ac:dyDescent="0.25">
      <c r="A109" s="17" t="s">
        <v>247</v>
      </c>
      <c r="B109" s="17" t="s">
        <v>2449</v>
      </c>
      <c r="C109" s="17" t="s">
        <v>2450</v>
      </c>
      <c r="D109" s="17" t="s">
        <v>2451</v>
      </c>
      <c r="E109" s="17" t="s">
        <v>2452</v>
      </c>
      <c r="F109" s="17" t="s">
        <v>2340</v>
      </c>
      <c r="G109" s="17" t="s">
        <v>1941</v>
      </c>
      <c r="H109" s="17">
        <v>80935</v>
      </c>
      <c r="I109" t="s">
        <v>1942</v>
      </c>
    </row>
    <row r="110" spans="1:9" x14ac:dyDescent="0.25">
      <c r="A110" s="17" t="s">
        <v>249</v>
      </c>
      <c r="B110" s="17" t="s">
        <v>2453</v>
      </c>
      <c r="C110" s="22" t="s">
        <v>6197</v>
      </c>
      <c r="D110" s="17" t="s">
        <v>2454</v>
      </c>
      <c r="E110" s="17" t="s">
        <v>2455</v>
      </c>
      <c r="F110" s="17" t="s">
        <v>2238</v>
      </c>
      <c r="G110" s="17" t="s">
        <v>1941</v>
      </c>
      <c r="H110" s="17">
        <v>46862</v>
      </c>
      <c r="I110" t="s">
        <v>1951</v>
      </c>
    </row>
    <row r="111" spans="1:9" x14ac:dyDescent="0.25">
      <c r="A111" s="17" t="s">
        <v>251</v>
      </c>
      <c r="B111" s="17" t="s">
        <v>2456</v>
      </c>
      <c r="C111" s="17" t="s">
        <v>2457</v>
      </c>
      <c r="D111" s="17" t="s">
        <v>2458</v>
      </c>
      <c r="E111" s="17" t="s">
        <v>2459</v>
      </c>
      <c r="F111" s="17" t="s">
        <v>2460</v>
      </c>
      <c r="G111" s="17" t="s">
        <v>1941</v>
      </c>
      <c r="H111" s="17">
        <v>11054</v>
      </c>
      <c r="I111" t="s">
        <v>1942</v>
      </c>
    </row>
    <row r="112" spans="1:9" x14ac:dyDescent="0.25">
      <c r="A112" s="17" t="s">
        <v>253</v>
      </c>
      <c r="B112" s="17" t="s">
        <v>2461</v>
      </c>
      <c r="C112" s="17" t="s">
        <v>2462</v>
      </c>
      <c r="D112" s="17" t="s">
        <v>2463</v>
      </c>
      <c r="E112" s="17" t="s">
        <v>2464</v>
      </c>
      <c r="F112" s="17" t="s">
        <v>1962</v>
      </c>
      <c r="G112" s="17" t="s">
        <v>1941</v>
      </c>
      <c r="H112" s="17">
        <v>1105</v>
      </c>
      <c r="I112" t="s">
        <v>1942</v>
      </c>
    </row>
    <row r="113" spans="1:9" x14ac:dyDescent="0.25">
      <c r="A113" s="17" t="s">
        <v>256</v>
      </c>
      <c r="B113" s="17" t="s">
        <v>2465</v>
      </c>
      <c r="C113" s="17" t="s">
        <v>2466</v>
      </c>
      <c r="D113" s="17" t="s">
        <v>6197</v>
      </c>
      <c r="E113" s="17" t="s">
        <v>2467</v>
      </c>
      <c r="F113" s="17" t="s">
        <v>2225</v>
      </c>
      <c r="G113" s="17" t="s">
        <v>1941</v>
      </c>
      <c r="H113" s="17">
        <v>32575</v>
      </c>
      <c r="I113" t="s">
        <v>1951</v>
      </c>
    </row>
    <row r="114" spans="1:9" x14ac:dyDescent="0.25">
      <c r="A114" s="17" t="s">
        <v>258</v>
      </c>
      <c r="B114" s="17" t="s">
        <v>2468</v>
      </c>
      <c r="C114" s="17" t="s">
        <v>2469</v>
      </c>
      <c r="D114" s="17" t="s">
        <v>2470</v>
      </c>
      <c r="E114" s="17" t="s">
        <v>2471</v>
      </c>
      <c r="F114" s="17" t="s">
        <v>2004</v>
      </c>
      <c r="G114" s="17" t="s">
        <v>1941</v>
      </c>
      <c r="H114" s="17">
        <v>23242</v>
      </c>
      <c r="I114" t="s">
        <v>1951</v>
      </c>
    </row>
    <row r="115" spans="1:9" x14ac:dyDescent="0.25">
      <c r="A115" s="17" t="s">
        <v>260</v>
      </c>
      <c r="B115" s="17" t="s">
        <v>2472</v>
      </c>
      <c r="C115" s="17" t="s">
        <v>2473</v>
      </c>
      <c r="D115" s="17" t="s">
        <v>2474</v>
      </c>
      <c r="E115" s="17" t="s">
        <v>2475</v>
      </c>
      <c r="F115" s="17" t="s">
        <v>2476</v>
      </c>
      <c r="G115" s="17" t="s">
        <v>1949</v>
      </c>
      <c r="H115" s="17" t="s">
        <v>2477</v>
      </c>
      <c r="I115" t="s">
        <v>1951</v>
      </c>
    </row>
    <row r="116" spans="1:9" x14ac:dyDescent="0.25">
      <c r="A116" s="17" t="s">
        <v>262</v>
      </c>
      <c r="B116" s="17" t="s">
        <v>2478</v>
      </c>
      <c r="C116" s="22" t="s">
        <v>6197</v>
      </c>
      <c r="D116" s="17" t="s">
        <v>2479</v>
      </c>
      <c r="E116" s="17" t="s">
        <v>2480</v>
      </c>
      <c r="F116" s="17" t="s">
        <v>2481</v>
      </c>
      <c r="G116" s="17" t="s">
        <v>1941</v>
      </c>
      <c r="H116" s="17">
        <v>25705</v>
      </c>
      <c r="I116" t="s">
        <v>1951</v>
      </c>
    </row>
    <row r="117" spans="1:9" x14ac:dyDescent="0.25">
      <c r="A117" s="17" t="s">
        <v>264</v>
      </c>
      <c r="B117" s="17" t="s">
        <v>2482</v>
      </c>
      <c r="C117" s="17" t="s">
        <v>2483</v>
      </c>
      <c r="D117" s="17" t="s">
        <v>2484</v>
      </c>
      <c r="E117" s="17" t="s">
        <v>2485</v>
      </c>
      <c r="F117" s="17" t="s">
        <v>2172</v>
      </c>
      <c r="G117" s="17" t="s">
        <v>2116</v>
      </c>
      <c r="H117" s="17" t="s">
        <v>2486</v>
      </c>
      <c r="I117" t="s">
        <v>1951</v>
      </c>
    </row>
    <row r="118" spans="1:9" x14ac:dyDescent="0.25">
      <c r="A118" s="17" t="s">
        <v>266</v>
      </c>
      <c r="B118" s="17" t="s">
        <v>2487</v>
      </c>
      <c r="C118" s="17" t="s">
        <v>2488</v>
      </c>
      <c r="D118" s="17" t="s">
        <v>2489</v>
      </c>
      <c r="E118" s="17" t="s">
        <v>2490</v>
      </c>
      <c r="F118" s="17" t="s">
        <v>2491</v>
      </c>
      <c r="G118" s="17" t="s">
        <v>1949</v>
      </c>
      <c r="H118" s="17" t="s">
        <v>2492</v>
      </c>
      <c r="I118" t="s">
        <v>1942</v>
      </c>
    </row>
    <row r="119" spans="1:9" x14ac:dyDescent="0.25">
      <c r="A119" s="17" t="s">
        <v>268</v>
      </c>
      <c r="B119" s="17" t="s">
        <v>2493</v>
      </c>
      <c r="C119" s="17" t="s">
        <v>2494</v>
      </c>
      <c r="D119" s="17" t="s">
        <v>2495</v>
      </c>
      <c r="E119" s="17" t="s">
        <v>2496</v>
      </c>
      <c r="F119" s="17" t="s">
        <v>1976</v>
      </c>
      <c r="G119" s="17" t="s">
        <v>1941</v>
      </c>
      <c r="H119" s="17">
        <v>45432</v>
      </c>
      <c r="I119" t="s">
        <v>1951</v>
      </c>
    </row>
    <row r="120" spans="1:9" x14ac:dyDescent="0.25">
      <c r="A120" s="17" t="s">
        <v>270</v>
      </c>
      <c r="B120" s="17" t="s">
        <v>2497</v>
      </c>
      <c r="C120" s="17" t="s">
        <v>2498</v>
      </c>
      <c r="D120" s="17" t="s">
        <v>2499</v>
      </c>
      <c r="E120" s="17" t="s">
        <v>2500</v>
      </c>
      <c r="F120" s="17" t="s">
        <v>2501</v>
      </c>
      <c r="G120" s="17" t="s">
        <v>1941</v>
      </c>
      <c r="H120" s="17">
        <v>99507</v>
      </c>
      <c r="I120" t="s">
        <v>1942</v>
      </c>
    </row>
    <row r="121" spans="1:9" x14ac:dyDescent="0.25">
      <c r="A121" s="17" t="s">
        <v>272</v>
      </c>
      <c r="B121" s="17" t="s">
        <v>2502</v>
      </c>
      <c r="C121" s="17" t="s">
        <v>2503</v>
      </c>
      <c r="D121" s="17" t="s">
        <v>2504</v>
      </c>
      <c r="E121" s="17" t="s">
        <v>2505</v>
      </c>
      <c r="F121" s="17" t="s">
        <v>2506</v>
      </c>
      <c r="G121" s="17" t="s">
        <v>1941</v>
      </c>
      <c r="H121" s="17">
        <v>37215</v>
      </c>
      <c r="I121" t="s">
        <v>1951</v>
      </c>
    </row>
    <row r="122" spans="1:9" x14ac:dyDescent="0.25">
      <c r="A122" s="17" t="s">
        <v>2507</v>
      </c>
      <c r="B122" s="17" t="s">
        <v>2508</v>
      </c>
      <c r="C122" s="17" t="s">
        <v>2509</v>
      </c>
      <c r="D122" s="17" t="s">
        <v>2510</v>
      </c>
      <c r="E122" s="17" t="s">
        <v>2511</v>
      </c>
      <c r="F122" s="17" t="s">
        <v>1986</v>
      </c>
      <c r="G122" s="17" t="s">
        <v>1941</v>
      </c>
      <c r="H122" s="17">
        <v>90040</v>
      </c>
      <c r="I122" t="s">
        <v>1942</v>
      </c>
    </row>
    <row r="123" spans="1:9" x14ac:dyDescent="0.25">
      <c r="A123" s="17" t="s">
        <v>2512</v>
      </c>
      <c r="B123" s="17" t="s">
        <v>2513</v>
      </c>
      <c r="C123" s="17" t="s">
        <v>2514</v>
      </c>
      <c r="D123" s="17" t="s">
        <v>2515</v>
      </c>
      <c r="E123" s="17" t="s">
        <v>2516</v>
      </c>
      <c r="F123" s="17" t="s">
        <v>2300</v>
      </c>
      <c r="G123" s="17" t="s">
        <v>1941</v>
      </c>
      <c r="H123" s="17">
        <v>28289</v>
      </c>
      <c r="I123" t="s">
        <v>1951</v>
      </c>
    </row>
    <row r="124" spans="1:9" x14ac:dyDescent="0.25">
      <c r="A124" s="17" t="s">
        <v>274</v>
      </c>
      <c r="B124" s="17" t="s">
        <v>2517</v>
      </c>
      <c r="C124" s="17" t="s">
        <v>2518</v>
      </c>
      <c r="D124" s="17" t="s">
        <v>2519</v>
      </c>
      <c r="E124" s="17" t="s">
        <v>2520</v>
      </c>
      <c r="F124" s="17" t="s">
        <v>2132</v>
      </c>
      <c r="G124" s="17" t="s">
        <v>1941</v>
      </c>
      <c r="H124" s="17">
        <v>80217</v>
      </c>
      <c r="I124" t="s">
        <v>1942</v>
      </c>
    </row>
    <row r="125" spans="1:9" x14ac:dyDescent="0.25">
      <c r="A125" s="17" t="s">
        <v>276</v>
      </c>
      <c r="B125" s="17" t="s">
        <v>2521</v>
      </c>
      <c r="C125" s="17" t="s">
        <v>2522</v>
      </c>
      <c r="D125" s="17" t="s">
        <v>2523</v>
      </c>
      <c r="E125" s="17" t="s">
        <v>2524</v>
      </c>
      <c r="F125" s="17" t="s">
        <v>2525</v>
      </c>
      <c r="G125" s="17" t="s">
        <v>1941</v>
      </c>
      <c r="H125" s="17">
        <v>6912</v>
      </c>
      <c r="I125" t="s">
        <v>1951</v>
      </c>
    </row>
    <row r="126" spans="1:9" x14ac:dyDescent="0.25">
      <c r="A126" s="17" t="s">
        <v>278</v>
      </c>
      <c r="B126" s="17" t="s">
        <v>2526</v>
      </c>
      <c r="C126" s="17" t="s">
        <v>2527</v>
      </c>
      <c r="D126" s="17" t="s">
        <v>2528</v>
      </c>
      <c r="E126" s="17" t="s">
        <v>2529</v>
      </c>
      <c r="F126" s="17" t="s">
        <v>2530</v>
      </c>
      <c r="G126" s="17" t="s">
        <v>1941</v>
      </c>
      <c r="H126" s="17">
        <v>23605</v>
      </c>
      <c r="I126" t="s">
        <v>1942</v>
      </c>
    </row>
    <row r="127" spans="1:9" x14ac:dyDescent="0.25">
      <c r="A127" s="17" t="s">
        <v>280</v>
      </c>
      <c r="B127" s="17" t="s">
        <v>2531</v>
      </c>
      <c r="C127" s="17" t="s">
        <v>2532</v>
      </c>
      <c r="D127" s="17" t="s">
        <v>2533</v>
      </c>
      <c r="E127" s="17" t="s">
        <v>2534</v>
      </c>
      <c r="F127" s="17" t="s">
        <v>2535</v>
      </c>
      <c r="G127" s="17" t="s">
        <v>1949</v>
      </c>
      <c r="H127" s="17" t="s">
        <v>2536</v>
      </c>
      <c r="I127" t="s">
        <v>1942</v>
      </c>
    </row>
    <row r="128" spans="1:9" x14ac:dyDescent="0.25">
      <c r="A128" s="17" t="s">
        <v>282</v>
      </c>
      <c r="B128" s="17" t="s">
        <v>2537</v>
      </c>
      <c r="C128" s="17" t="s">
        <v>2538</v>
      </c>
      <c r="D128" s="17" t="s">
        <v>2539</v>
      </c>
      <c r="E128" s="17" t="s">
        <v>2540</v>
      </c>
      <c r="F128" s="17" t="s">
        <v>2501</v>
      </c>
      <c r="G128" s="17" t="s">
        <v>1941</v>
      </c>
      <c r="H128" s="17">
        <v>99599</v>
      </c>
      <c r="I128" t="s">
        <v>1951</v>
      </c>
    </row>
    <row r="129" spans="1:9" x14ac:dyDescent="0.25">
      <c r="A129" s="17" t="s">
        <v>284</v>
      </c>
      <c r="B129" s="17" t="s">
        <v>2541</v>
      </c>
      <c r="C129" s="17" t="s">
        <v>2542</v>
      </c>
      <c r="D129" s="17" t="s">
        <v>2543</v>
      </c>
      <c r="E129" s="17" t="s">
        <v>2544</v>
      </c>
      <c r="F129" s="17" t="s">
        <v>2366</v>
      </c>
      <c r="G129" s="17" t="s">
        <v>1949</v>
      </c>
      <c r="H129" s="17" t="s">
        <v>2545</v>
      </c>
      <c r="I129" t="s">
        <v>1951</v>
      </c>
    </row>
    <row r="130" spans="1:9" x14ac:dyDescent="0.25">
      <c r="A130" s="17" t="s">
        <v>286</v>
      </c>
      <c r="B130" s="17" t="s">
        <v>2546</v>
      </c>
      <c r="C130" s="17" t="s">
        <v>2547</v>
      </c>
      <c r="D130" s="17" t="s">
        <v>2548</v>
      </c>
      <c r="E130" s="17" t="s">
        <v>2549</v>
      </c>
      <c r="F130" s="17" t="s">
        <v>2550</v>
      </c>
      <c r="G130" s="17" t="s">
        <v>1941</v>
      </c>
      <c r="H130" s="17">
        <v>58122</v>
      </c>
      <c r="I130" t="s">
        <v>1951</v>
      </c>
    </row>
    <row r="131" spans="1:9" x14ac:dyDescent="0.25">
      <c r="A131" s="17" t="s">
        <v>288</v>
      </c>
      <c r="B131" s="17" t="s">
        <v>2551</v>
      </c>
      <c r="C131" s="17" t="s">
        <v>2552</v>
      </c>
      <c r="D131" s="17" t="s">
        <v>2553</v>
      </c>
      <c r="E131" s="17" t="s">
        <v>2554</v>
      </c>
      <c r="F131" s="17" t="s">
        <v>2555</v>
      </c>
      <c r="G131" s="17" t="s">
        <v>1941</v>
      </c>
      <c r="H131" s="17">
        <v>47737</v>
      </c>
      <c r="I131" t="s">
        <v>1942</v>
      </c>
    </row>
    <row r="132" spans="1:9" x14ac:dyDescent="0.25">
      <c r="A132" s="17" t="s">
        <v>290</v>
      </c>
      <c r="B132" s="17" t="s">
        <v>2556</v>
      </c>
      <c r="C132" s="22" t="s">
        <v>6197</v>
      </c>
      <c r="D132" s="17" t="s">
        <v>2557</v>
      </c>
      <c r="E132" s="17" t="s">
        <v>2558</v>
      </c>
      <c r="F132" s="17" t="s">
        <v>2476</v>
      </c>
      <c r="G132" s="17" t="s">
        <v>1949</v>
      </c>
      <c r="H132" s="17" t="s">
        <v>2477</v>
      </c>
      <c r="I132" t="s">
        <v>1942</v>
      </c>
    </row>
    <row r="133" spans="1:9" x14ac:dyDescent="0.25">
      <c r="A133" s="17" t="s">
        <v>292</v>
      </c>
      <c r="B133" s="17" t="s">
        <v>2559</v>
      </c>
      <c r="C133" s="17" t="s">
        <v>2560</v>
      </c>
      <c r="D133" s="17" t="s">
        <v>2561</v>
      </c>
      <c r="E133" s="17" t="s">
        <v>2562</v>
      </c>
      <c r="F133" s="17" t="s">
        <v>2300</v>
      </c>
      <c r="G133" s="17" t="s">
        <v>1941</v>
      </c>
      <c r="H133" s="17">
        <v>28210</v>
      </c>
      <c r="I133" t="s">
        <v>1942</v>
      </c>
    </row>
    <row r="134" spans="1:9" x14ac:dyDescent="0.25">
      <c r="A134" s="17" t="s">
        <v>294</v>
      </c>
      <c r="B134" s="17" t="s">
        <v>2563</v>
      </c>
      <c r="C134" s="17" t="s">
        <v>2564</v>
      </c>
      <c r="D134" s="17" t="s">
        <v>2565</v>
      </c>
      <c r="E134" s="17" t="s">
        <v>2566</v>
      </c>
      <c r="F134" s="17" t="s">
        <v>2567</v>
      </c>
      <c r="G134" s="17" t="s">
        <v>1941</v>
      </c>
      <c r="H134" s="17">
        <v>35815</v>
      </c>
      <c r="I134" t="s">
        <v>1942</v>
      </c>
    </row>
    <row r="135" spans="1:9" x14ac:dyDescent="0.25">
      <c r="A135" s="17" t="s">
        <v>296</v>
      </c>
      <c r="B135" s="17" t="s">
        <v>2568</v>
      </c>
      <c r="C135" s="17" t="s">
        <v>2569</v>
      </c>
      <c r="D135" s="17" t="s">
        <v>2570</v>
      </c>
      <c r="E135" s="17" t="s">
        <v>2571</v>
      </c>
      <c r="F135" s="17" t="s">
        <v>2572</v>
      </c>
      <c r="G135" s="17" t="s">
        <v>1941</v>
      </c>
      <c r="H135" s="17">
        <v>92725</v>
      </c>
      <c r="I135" t="s">
        <v>1951</v>
      </c>
    </row>
    <row r="136" spans="1:9" x14ac:dyDescent="0.25">
      <c r="A136" s="17" t="s">
        <v>298</v>
      </c>
      <c r="B136" s="17" t="s">
        <v>2573</v>
      </c>
      <c r="C136" s="22" t="s">
        <v>6197</v>
      </c>
      <c r="D136" s="17" t="s">
        <v>6197</v>
      </c>
      <c r="E136" s="17" t="s">
        <v>2574</v>
      </c>
      <c r="F136" s="17" t="s">
        <v>2186</v>
      </c>
      <c r="G136" s="17" t="s">
        <v>1941</v>
      </c>
      <c r="H136" s="17">
        <v>20520</v>
      </c>
      <c r="I136" t="s">
        <v>1942</v>
      </c>
    </row>
    <row r="137" spans="1:9" x14ac:dyDescent="0.25">
      <c r="A137" s="17" t="s">
        <v>2575</v>
      </c>
      <c r="B137" s="17" t="s">
        <v>2576</v>
      </c>
      <c r="C137" s="17" t="s">
        <v>2577</v>
      </c>
      <c r="D137" s="17" t="s">
        <v>2578</v>
      </c>
      <c r="E137" s="17" t="s">
        <v>2579</v>
      </c>
      <c r="F137" s="17" t="s">
        <v>2580</v>
      </c>
      <c r="G137" s="17" t="s">
        <v>1949</v>
      </c>
      <c r="H137" s="17" t="s">
        <v>2581</v>
      </c>
      <c r="I137" t="s">
        <v>1951</v>
      </c>
    </row>
    <row r="138" spans="1:9" x14ac:dyDescent="0.25">
      <c r="A138" s="17" t="s">
        <v>302</v>
      </c>
      <c r="B138" s="17" t="s">
        <v>2582</v>
      </c>
      <c r="C138" s="17" t="s">
        <v>2583</v>
      </c>
      <c r="D138" s="17" t="s">
        <v>2584</v>
      </c>
      <c r="E138" s="17" t="s">
        <v>2585</v>
      </c>
      <c r="F138" s="17" t="s">
        <v>2013</v>
      </c>
      <c r="G138" s="17" t="s">
        <v>1941</v>
      </c>
      <c r="H138" s="17">
        <v>63131</v>
      </c>
      <c r="I138" t="s">
        <v>1951</v>
      </c>
    </row>
    <row r="139" spans="1:9" x14ac:dyDescent="0.25">
      <c r="A139" s="17" t="s">
        <v>304</v>
      </c>
      <c r="B139" s="17" t="s">
        <v>2586</v>
      </c>
      <c r="C139" s="22" t="s">
        <v>6197</v>
      </c>
      <c r="D139" s="17" t="s">
        <v>2587</v>
      </c>
      <c r="E139" s="17" t="s">
        <v>2588</v>
      </c>
      <c r="F139" s="17" t="s">
        <v>2105</v>
      </c>
      <c r="G139" s="17" t="s">
        <v>1949</v>
      </c>
      <c r="H139" s="17" t="s">
        <v>2106</v>
      </c>
      <c r="I139" t="s">
        <v>1951</v>
      </c>
    </row>
    <row r="140" spans="1:9" x14ac:dyDescent="0.25">
      <c r="A140" s="17" t="s">
        <v>306</v>
      </c>
      <c r="B140" s="17" t="s">
        <v>2589</v>
      </c>
      <c r="C140" s="22" t="s">
        <v>6197</v>
      </c>
      <c r="D140" s="17" t="s">
        <v>2590</v>
      </c>
      <c r="E140" s="17" t="s">
        <v>2591</v>
      </c>
      <c r="F140" s="17" t="s">
        <v>2592</v>
      </c>
      <c r="G140" s="17" t="s">
        <v>1941</v>
      </c>
      <c r="H140" s="17">
        <v>96805</v>
      </c>
      <c r="I140" t="s">
        <v>1951</v>
      </c>
    </row>
    <row r="141" spans="1:9" x14ac:dyDescent="0.25">
      <c r="A141" s="17" t="s">
        <v>308</v>
      </c>
      <c r="B141" s="17" t="s">
        <v>2593</v>
      </c>
      <c r="C141" s="22" t="s">
        <v>6197</v>
      </c>
      <c r="D141" s="17" t="s">
        <v>2594</v>
      </c>
      <c r="E141" s="17" t="s">
        <v>2595</v>
      </c>
      <c r="F141" s="17" t="s">
        <v>2383</v>
      </c>
      <c r="G141" s="17" t="s">
        <v>1941</v>
      </c>
      <c r="H141" s="17">
        <v>92878</v>
      </c>
      <c r="I141" t="s">
        <v>1942</v>
      </c>
    </row>
    <row r="142" spans="1:9" x14ac:dyDescent="0.25">
      <c r="A142" s="17" t="s">
        <v>310</v>
      </c>
      <c r="B142" s="17" t="s">
        <v>2596</v>
      </c>
      <c r="C142" s="17" t="s">
        <v>2597</v>
      </c>
      <c r="D142" s="17" t="s">
        <v>2598</v>
      </c>
      <c r="E142" s="17" t="s">
        <v>2599</v>
      </c>
      <c r="F142" s="17" t="s">
        <v>2600</v>
      </c>
      <c r="G142" s="17" t="s">
        <v>1949</v>
      </c>
      <c r="H142" s="17" t="s">
        <v>2545</v>
      </c>
      <c r="I142" t="s">
        <v>1942</v>
      </c>
    </row>
    <row r="143" spans="1:9" x14ac:dyDescent="0.25">
      <c r="A143" s="17" t="s">
        <v>312</v>
      </c>
      <c r="B143" s="17" t="s">
        <v>2601</v>
      </c>
      <c r="C143" s="17" t="s">
        <v>2602</v>
      </c>
      <c r="D143" s="17" t="s">
        <v>2603</v>
      </c>
      <c r="E143" s="17" t="s">
        <v>2604</v>
      </c>
      <c r="F143" s="17" t="s">
        <v>2186</v>
      </c>
      <c r="G143" s="17" t="s">
        <v>1941</v>
      </c>
      <c r="H143" s="17">
        <v>20520</v>
      </c>
      <c r="I143" t="s">
        <v>1942</v>
      </c>
    </row>
    <row r="144" spans="1:9" x14ac:dyDescent="0.25">
      <c r="A144" s="17" t="s">
        <v>314</v>
      </c>
      <c r="B144" s="17" t="s">
        <v>2605</v>
      </c>
      <c r="C144" s="22" t="s">
        <v>6197</v>
      </c>
      <c r="D144" s="17" t="s">
        <v>6197</v>
      </c>
      <c r="E144" s="17" t="s">
        <v>2606</v>
      </c>
      <c r="F144" s="17" t="s">
        <v>2607</v>
      </c>
      <c r="G144" s="17" t="s">
        <v>1949</v>
      </c>
      <c r="H144" s="17" t="s">
        <v>2310</v>
      </c>
      <c r="I144" t="s">
        <v>1942</v>
      </c>
    </row>
    <row r="145" spans="1:9" x14ac:dyDescent="0.25">
      <c r="A145" s="17" t="s">
        <v>316</v>
      </c>
      <c r="B145" s="17" t="s">
        <v>2608</v>
      </c>
      <c r="C145" s="17" t="s">
        <v>2609</v>
      </c>
      <c r="D145" s="17" t="s">
        <v>2610</v>
      </c>
      <c r="E145" s="17" t="s">
        <v>2611</v>
      </c>
      <c r="F145" s="17" t="s">
        <v>2027</v>
      </c>
      <c r="G145" s="17" t="s">
        <v>1941</v>
      </c>
      <c r="H145" s="17">
        <v>77281</v>
      </c>
      <c r="I145" t="s">
        <v>1951</v>
      </c>
    </row>
    <row r="146" spans="1:9" x14ac:dyDescent="0.25">
      <c r="A146" s="17" t="s">
        <v>318</v>
      </c>
      <c r="B146" s="17" t="s">
        <v>2612</v>
      </c>
      <c r="C146" s="17" t="s">
        <v>2613</v>
      </c>
      <c r="D146" s="17" t="s">
        <v>2614</v>
      </c>
      <c r="E146" s="17" t="s">
        <v>2615</v>
      </c>
      <c r="F146" s="17" t="s">
        <v>2616</v>
      </c>
      <c r="G146" s="17" t="s">
        <v>1941</v>
      </c>
      <c r="H146" s="17">
        <v>92668</v>
      </c>
      <c r="I146" t="s">
        <v>1942</v>
      </c>
    </row>
    <row r="147" spans="1:9" x14ac:dyDescent="0.25">
      <c r="A147" s="17" t="s">
        <v>320</v>
      </c>
      <c r="B147" s="17" t="s">
        <v>2617</v>
      </c>
      <c r="C147" s="17" t="s">
        <v>2618</v>
      </c>
      <c r="D147" s="17" t="s">
        <v>2619</v>
      </c>
      <c r="E147" s="17" t="s">
        <v>2620</v>
      </c>
      <c r="F147" s="17" t="s">
        <v>2448</v>
      </c>
      <c r="G147" s="17" t="s">
        <v>1941</v>
      </c>
      <c r="H147" s="17">
        <v>88553</v>
      </c>
      <c r="I147" t="s">
        <v>1951</v>
      </c>
    </row>
    <row r="148" spans="1:9" x14ac:dyDescent="0.25">
      <c r="A148" s="17" t="s">
        <v>322</v>
      </c>
      <c r="B148" s="17" t="s">
        <v>2621</v>
      </c>
      <c r="C148" s="17" t="s">
        <v>2622</v>
      </c>
      <c r="D148" s="17" t="s">
        <v>2623</v>
      </c>
      <c r="E148" s="17" t="s">
        <v>2624</v>
      </c>
      <c r="F148" s="17" t="s">
        <v>2625</v>
      </c>
      <c r="G148" s="17" t="s">
        <v>1941</v>
      </c>
      <c r="H148" s="17">
        <v>89714</v>
      </c>
      <c r="I148" t="s">
        <v>1951</v>
      </c>
    </row>
    <row r="149" spans="1:9" x14ac:dyDescent="0.25">
      <c r="A149" s="17" t="s">
        <v>2626</v>
      </c>
      <c r="B149" s="17" t="s">
        <v>2627</v>
      </c>
      <c r="C149" s="17" t="s">
        <v>2628</v>
      </c>
      <c r="D149" s="17" t="s">
        <v>2629</v>
      </c>
      <c r="E149" s="17" t="s">
        <v>2630</v>
      </c>
      <c r="F149" s="17" t="s">
        <v>2266</v>
      </c>
      <c r="G149" s="17" t="s">
        <v>1941</v>
      </c>
      <c r="H149" s="17">
        <v>76105</v>
      </c>
      <c r="I149" t="s">
        <v>1942</v>
      </c>
    </row>
    <row r="150" spans="1:9" x14ac:dyDescent="0.25">
      <c r="A150" s="17" t="s">
        <v>324</v>
      </c>
      <c r="B150" s="17" t="s">
        <v>2631</v>
      </c>
      <c r="C150" s="17" t="s">
        <v>2632</v>
      </c>
      <c r="D150" s="17" t="s">
        <v>2633</v>
      </c>
      <c r="E150" s="17" t="s">
        <v>2634</v>
      </c>
      <c r="F150" s="17" t="s">
        <v>2206</v>
      </c>
      <c r="G150" s="17" t="s">
        <v>1941</v>
      </c>
      <c r="H150" s="17">
        <v>84605</v>
      </c>
      <c r="I150" t="s">
        <v>1942</v>
      </c>
    </row>
    <row r="151" spans="1:9" x14ac:dyDescent="0.25">
      <c r="A151" s="17" t="s">
        <v>326</v>
      </c>
      <c r="B151" s="17" t="s">
        <v>2635</v>
      </c>
      <c r="C151" s="22" t="s">
        <v>6197</v>
      </c>
      <c r="D151" s="17" t="s">
        <v>2636</v>
      </c>
      <c r="E151" s="17" t="s">
        <v>2637</v>
      </c>
      <c r="F151" s="17" t="s">
        <v>2638</v>
      </c>
      <c r="G151" s="17" t="s">
        <v>1941</v>
      </c>
      <c r="H151" s="17">
        <v>33487</v>
      </c>
      <c r="I151" t="s">
        <v>1942</v>
      </c>
    </row>
    <row r="152" spans="1:9" x14ac:dyDescent="0.25">
      <c r="A152" s="17" t="s">
        <v>328</v>
      </c>
      <c r="B152" s="17" t="s">
        <v>2639</v>
      </c>
      <c r="C152" s="17" t="s">
        <v>2640</v>
      </c>
      <c r="D152" s="17" t="s">
        <v>2641</v>
      </c>
      <c r="E152" s="17" t="s">
        <v>2642</v>
      </c>
      <c r="F152" s="17" t="s">
        <v>2643</v>
      </c>
      <c r="G152" s="17" t="s">
        <v>1941</v>
      </c>
      <c r="H152" s="17">
        <v>24040</v>
      </c>
      <c r="I152" t="s">
        <v>1942</v>
      </c>
    </row>
    <row r="153" spans="1:9" x14ac:dyDescent="0.25">
      <c r="A153" s="17" t="s">
        <v>330</v>
      </c>
      <c r="B153" s="17" t="s">
        <v>2644</v>
      </c>
      <c r="C153" s="22" t="s">
        <v>6197</v>
      </c>
      <c r="D153" s="17" t="s">
        <v>2645</v>
      </c>
      <c r="E153" s="17" t="s">
        <v>2646</v>
      </c>
      <c r="F153" s="17" t="s">
        <v>2647</v>
      </c>
      <c r="G153" s="17" t="s">
        <v>1941</v>
      </c>
      <c r="H153" s="17">
        <v>50369</v>
      </c>
      <c r="I153" t="s">
        <v>1942</v>
      </c>
    </row>
    <row r="154" spans="1:9" x14ac:dyDescent="0.25">
      <c r="A154" s="17" t="s">
        <v>332</v>
      </c>
      <c r="B154" s="17" t="s">
        <v>2648</v>
      </c>
      <c r="C154" s="17" t="s">
        <v>2649</v>
      </c>
      <c r="D154" s="17" t="s">
        <v>2650</v>
      </c>
      <c r="E154" s="17" t="s">
        <v>2651</v>
      </c>
      <c r="F154" s="17" t="s">
        <v>2592</v>
      </c>
      <c r="G154" s="17" t="s">
        <v>1941</v>
      </c>
      <c r="H154" s="17">
        <v>96805</v>
      </c>
      <c r="I154" t="s">
        <v>1942</v>
      </c>
    </row>
    <row r="155" spans="1:9" x14ac:dyDescent="0.25">
      <c r="A155" s="17" t="s">
        <v>334</v>
      </c>
      <c r="B155" s="17" t="s">
        <v>2652</v>
      </c>
      <c r="C155" s="22" t="s">
        <v>6197</v>
      </c>
      <c r="D155" s="17" t="s">
        <v>2653</v>
      </c>
      <c r="E155" s="17" t="s">
        <v>2654</v>
      </c>
      <c r="F155" s="17" t="s">
        <v>2191</v>
      </c>
      <c r="G155" s="17" t="s">
        <v>1941</v>
      </c>
      <c r="H155" s="17">
        <v>33345</v>
      </c>
      <c r="I155" t="s">
        <v>1951</v>
      </c>
    </row>
    <row r="156" spans="1:9" x14ac:dyDescent="0.25">
      <c r="A156" s="17" t="s">
        <v>336</v>
      </c>
      <c r="B156" s="17" t="s">
        <v>2655</v>
      </c>
      <c r="C156" s="17" t="s">
        <v>2656</v>
      </c>
      <c r="D156" s="17" t="s">
        <v>2657</v>
      </c>
      <c r="E156" s="17" t="s">
        <v>2658</v>
      </c>
      <c r="F156" s="17" t="s">
        <v>2017</v>
      </c>
      <c r="G156" s="17" t="s">
        <v>1941</v>
      </c>
      <c r="H156" s="17">
        <v>19172</v>
      </c>
      <c r="I156" t="s">
        <v>1951</v>
      </c>
    </row>
    <row r="157" spans="1:9" x14ac:dyDescent="0.25">
      <c r="A157" s="17" t="s">
        <v>338</v>
      </c>
      <c r="B157" s="17" t="s">
        <v>2659</v>
      </c>
      <c r="C157" s="17" t="s">
        <v>2660</v>
      </c>
      <c r="D157" s="17" t="s">
        <v>2661</v>
      </c>
      <c r="E157" s="17" t="s">
        <v>2662</v>
      </c>
      <c r="F157" s="17" t="s">
        <v>2663</v>
      </c>
      <c r="G157" s="17" t="s">
        <v>1941</v>
      </c>
      <c r="H157" s="17">
        <v>6854</v>
      </c>
      <c r="I157" t="s">
        <v>1942</v>
      </c>
    </row>
    <row r="158" spans="1:9" x14ac:dyDescent="0.25">
      <c r="A158" s="17" t="s">
        <v>340</v>
      </c>
      <c r="B158" s="17" t="s">
        <v>2664</v>
      </c>
      <c r="C158" s="17" t="s">
        <v>2665</v>
      </c>
      <c r="D158" s="17" t="s">
        <v>2666</v>
      </c>
      <c r="E158" s="17" t="s">
        <v>2667</v>
      </c>
      <c r="F158" s="17" t="s">
        <v>2668</v>
      </c>
      <c r="G158" s="17" t="s">
        <v>1941</v>
      </c>
      <c r="H158" s="17">
        <v>76011</v>
      </c>
      <c r="I158" t="s">
        <v>1942</v>
      </c>
    </row>
    <row r="159" spans="1:9" x14ac:dyDescent="0.25">
      <c r="A159" s="17" t="s">
        <v>342</v>
      </c>
      <c r="B159" s="17" t="s">
        <v>2669</v>
      </c>
      <c r="C159" s="17" t="s">
        <v>2670</v>
      </c>
      <c r="D159" s="17" t="s">
        <v>2671</v>
      </c>
      <c r="E159" s="17" t="s">
        <v>2672</v>
      </c>
      <c r="F159" s="17" t="s">
        <v>2673</v>
      </c>
      <c r="G159" s="17" t="s">
        <v>1949</v>
      </c>
      <c r="H159" s="17" t="s">
        <v>2674</v>
      </c>
      <c r="I159" t="s">
        <v>1951</v>
      </c>
    </row>
    <row r="160" spans="1:9" x14ac:dyDescent="0.25">
      <c r="A160" s="17" t="s">
        <v>344</v>
      </c>
      <c r="B160" s="17" t="s">
        <v>2675</v>
      </c>
      <c r="C160" s="22" t="s">
        <v>6197</v>
      </c>
      <c r="D160" s="17" t="s">
        <v>2676</v>
      </c>
      <c r="E160" s="17" t="s">
        <v>2677</v>
      </c>
      <c r="F160" s="17" t="s">
        <v>2678</v>
      </c>
      <c r="G160" s="17" t="s">
        <v>1941</v>
      </c>
      <c r="H160" s="17">
        <v>37416</v>
      </c>
      <c r="I160" t="s">
        <v>1942</v>
      </c>
    </row>
    <row r="161" spans="1:9" x14ac:dyDescent="0.25">
      <c r="A161" s="17" t="s">
        <v>346</v>
      </c>
      <c r="B161" s="17" t="s">
        <v>2679</v>
      </c>
      <c r="C161" s="22" t="s">
        <v>6197</v>
      </c>
      <c r="D161" s="17" t="s">
        <v>2680</v>
      </c>
      <c r="E161" s="17" t="s">
        <v>2681</v>
      </c>
      <c r="F161" s="17" t="s">
        <v>2022</v>
      </c>
      <c r="G161" s="17" t="s">
        <v>1941</v>
      </c>
      <c r="H161" s="17">
        <v>97296</v>
      </c>
      <c r="I161" t="s">
        <v>1951</v>
      </c>
    </row>
    <row r="162" spans="1:9" x14ac:dyDescent="0.25">
      <c r="A162" s="17" t="s">
        <v>348</v>
      </c>
      <c r="B162" s="17" t="s">
        <v>2682</v>
      </c>
      <c r="C162" s="17" t="s">
        <v>2683</v>
      </c>
      <c r="D162" s="17" t="s">
        <v>2684</v>
      </c>
      <c r="E162" s="17" t="s">
        <v>2685</v>
      </c>
      <c r="F162" s="17" t="s">
        <v>2362</v>
      </c>
      <c r="G162" s="17" t="s">
        <v>1941</v>
      </c>
      <c r="H162" s="17">
        <v>73135</v>
      </c>
      <c r="I162" t="s">
        <v>1951</v>
      </c>
    </row>
    <row r="163" spans="1:9" x14ac:dyDescent="0.25">
      <c r="A163" s="17" t="s">
        <v>350</v>
      </c>
      <c r="B163" s="17" t="s">
        <v>2686</v>
      </c>
      <c r="C163" s="17" t="s">
        <v>2687</v>
      </c>
      <c r="D163" s="17" t="s">
        <v>2688</v>
      </c>
      <c r="E163" s="17" t="s">
        <v>2689</v>
      </c>
      <c r="F163" s="17" t="s">
        <v>2186</v>
      </c>
      <c r="G163" s="17" t="s">
        <v>1941</v>
      </c>
      <c r="H163" s="17">
        <v>20520</v>
      </c>
      <c r="I163" t="s">
        <v>1951</v>
      </c>
    </row>
    <row r="164" spans="1:9" x14ac:dyDescent="0.25">
      <c r="A164" s="17" t="s">
        <v>352</v>
      </c>
      <c r="B164" s="17" t="s">
        <v>2690</v>
      </c>
      <c r="C164" s="17" t="s">
        <v>2691</v>
      </c>
      <c r="D164" s="17" t="s">
        <v>2692</v>
      </c>
      <c r="E164" s="17" t="s">
        <v>2693</v>
      </c>
      <c r="F164" s="17" t="s">
        <v>2694</v>
      </c>
      <c r="G164" s="17" t="s">
        <v>1941</v>
      </c>
      <c r="H164" s="17">
        <v>27415</v>
      </c>
      <c r="I164" t="s">
        <v>1942</v>
      </c>
    </row>
    <row r="165" spans="1:9" x14ac:dyDescent="0.25">
      <c r="A165" s="17" t="s">
        <v>354</v>
      </c>
      <c r="B165" s="17" t="s">
        <v>2695</v>
      </c>
      <c r="C165" s="17" t="s">
        <v>2696</v>
      </c>
      <c r="D165" s="17" t="s">
        <v>2697</v>
      </c>
      <c r="E165" s="17" t="s">
        <v>2698</v>
      </c>
      <c r="F165" s="17" t="s">
        <v>2699</v>
      </c>
      <c r="G165" s="17" t="s">
        <v>1941</v>
      </c>
      <c r="H165" s="17">
        <v>22313</v>
      </c>
      <c r="I165" t="s">
        <v>1951</v>
      </c>
    </row>
    <row r="166" spans="1:9" x14ac:dyDescent="0.25">
      <c r="A166" s="17" t="s">
        <v>356</v>
      </c>
      <c r="B166" s="17" t="s">
        <v>2700</v>
      </c>
      <c r="C166" s="17" t="s">
        <v>2701</v>
      </c>
      <c r="D166" s="17" t="s">
        <v>2702</v>
      </c>
      <c r="E166" s="17" t="s">
        <v>2703</v>
      </c>
      <c r="F166" s="17" t="s">
        <v>2704</v>
      </c>
      <c r="G166" s="17" t="s">
        <v>1949</v>
      </c>
      <c r="H166" s="17" t="s">
        <v>2705</v>
      </c>
      <c r="I166" t="s">
        <v>1951</v>
      </c>
    </row>
    <row r="167" spans="1:9" x14ac:dyDescent="0.25">
      <c r="A167" s="17" t="s">
        <v>358</v>
      </c>
      <c r="B167" s="17" t="s">
        <v>2706</v>
      </c>
      <c r="C167" s="22" t="s">
        <v>6197</v>
      </c>
      <c r="D167" s="17" t="s">
        <v>2707</v>
      </c>
      <c r="E167" s="17" t="s">
        <v>2708</v>
      </c>
      <c r="F167" s="17" t="s">
        <v>2709</v>
      </c>
      <c r="G167" s="17" t="s">
        <v>1941</v>
      </c>
      <c r="H167" s="17">
        <v>53405</v>
      </c>
      <c r="I167" t="s">
        <v>1942</v>
      </c>
    </row>
    <row r="168" spans="1:9" x14ac:dyDescent="0.25">
      <c r="A168" s="17" t="s">
        <v>360</v>
      </c>
      <c r="B168" s="17" t="s">
        <v>2710</v>
      </c>
      <c r="C168" s="22" t="s">
        <v>6197</v>
      </c>
      <c r="D168" s="17" t="s">
        <v>2711</v>
      </c>
      <c r="E168" s="17" t="s">
        <v>2712</v>
      </c>
      <c r="F168" s="17" t="s">
        <v>2713</v>
      </c>
      <c r="G168" s="17" t="s">
        <v>1941</v>
      </c>
      <c r="H168" s="17">
        <v>34629</v>
      </c>
      <c r="I168" t="s">
        <v>1942</v>
      </c>
    </row>
    <row r="169" spans="1:9" x14ac:dyDescent="0.25">
      <c r="A169" s="17" t="s">
        <v>362</v>
      </c>
      <c r="B169" s="17" t="s">
        <v>2714</v>
      </c>
      <c r="C169" s="17" t="s">
        <v>2715</v>
      </c>
      <c r="D169" s="17" t="s">
        <v>2716</v>
      </c>
      <c r="E169" s="17" t="s">
        <v>2717</v>
      </c>
      <c r="F169" s="17" t="s">
        <v>2709</v>
      </c>
      <c r="G169" s="17" t="s">
        <v>1941</v>
      </c>
      <c r="H169" s="17">
        <v>53405</v>
      </c>
      <c r="I169" t="s">
        <v>1942</v>
      </c>
    </row>
    <row r="170" spans="1:9" x14ac:dyDescent="0.25">
      <c r="A170" s="17" t="s">
        <v>364</v>
      </c>
      <c r="B170" s="17" t="s">
        <v>2718</v>
      </c>
      <c r="C170" s="22" t="s">
        <v>6197</v>
      </c>
      <c r="D170" s="17" t="s">
        <v>2719</v>
      </c>
      <c r="E170" s="17" t="s">
        <v>2720</v>
      </c>
      <c r="F170" s="17" t="s">
        <v>2704</v>
      </c>
      <c r="G170" s="17" t="s">
        <v>1949</v>
      </c>
      <c r="H170" s="17" t="s">
        <v>2705</v>
      </c>
      <c r="I170" t="s">
        <v>1951</v>
      </c>
    </row>
    <row r="171" spans="1:9" x14ac:dyDescent="0.25">
      <c r="A171" s="17" t="s">
        <v>366</v>
      </c>
      <c r="B171" s="17" t="s">
        <v>2721</v>
      </c>
      <c r="C171" s="17" t="s">
        <v>2722</v>
      </c>
      <c r="D171" s="17" t="s">
        <v>2723</v>
      </c>
      <c r="E171" s="17" t="s">
        <v>2724</v>
      </c>
      <c r="F171" s="17" t="s">
        <v>2725</v>
      </c>
      <c r="G171" s="17" t="s">
        <v>1949</v>
      </c>
      <c r="H171" s="17" t="s">
        <v>2726</v>
      </c>
      <c r="I171" t="s">
        <v>1951</v>
      </c>
    </row>
    <row r="172" spans="1:9" x14ac:dyDescent="0.25">
      <c r="A172" s="17" t="s">
        <v>368</v>
      </c>
      <c r="B172" s="17" t="s">
        <v>2727</v>
      </c>
      <c r="C172" s="17" t="s">
        <v>2728</v>
      </c>
      <c r="D172" s="17" t="s">
        <v>6197</v>
      </c>
      <c r="E172" s="17" t="s">
        <v>2729</v>
      </c>
      <c r="F172" s="17" t="s">
        <v>2730</v>
      </c>
      <c r="G172" s="17" t="s">
        <v>2116</v>
      </c>
      <c r="H172" s="17" t="s">
        <v>2731</v>
      </c>
      <c r="I172" t="s">
        <v>1951</v>
      </c>
    </row>
    <row r="173" spans="1:9" x14ac:dyDescent="0.25">
      <c r="A173" s="17" t="s">
        <v>370</v>
      </c>
      <c r="B173" s="17" t="s">
        <v>2732</v>
      </c>
      <c r="C173" s="17" t="s">
        <v>2733</v>
      </c>
      <c r="D173" s="17" t="s">
        <v>2734</v>
      </c>
      <c r="E173" s="17" t="s">
        <v>2735</v>
      </c>
      <c r="F173" s="17" t="s">
        <v>2220</v>
      </c>
      <c r="G173" s="17" t="s">
        <v>1941</v>
      </c>
      <c r="H173" s="17">
        <v>33686</v>
      </c>
      <c r="I173" t="s">
        <v>1942</v>
      </c>
    </row>
    <row r="174" spans="1:9" x14ac:dyDescent="0.25">
      <c r="A174" s="17" t="s">
        <v>372</v>
      </c>
      <c r="B174" s="17" t="s">
        <v>2736</v>
      </c>
      <c r="C174" s="17" t="s">
        <v>2737</v>
      </c>
      <c r="D174" s="17" t="s">
        <v>6197</v>
      </c>
      <c r="E174" s="17" t="s">
        <v>2738</v>
      </c>
      <c r="F174" s="17" t="s">
        <v>2739</v>
      </c>
      <c r="G174" s="17" t="s">
        <v>1949</v>
      </c>
      <c r="H174" s="17" t="s">
        <v>2412</v>
      </c>
      <c r="I174" t="s">
        <v>1951</v>
      </c>
    </row>
    <row r="175" spans="1:9" x14ac:dyDescent="0.25">
      <c r="A175" s="17" t="s">
        <v>374</v>
      </c>
      <c r="B175" s="17" t="s">
        <v>2740</v>
      </c>
      <c r="C175" s="17" t="s">
        <v>2741</v>
      </c>
      <c r="D175" s="17" t="s">
        <v>2742</v>
      </c>
      <c r="E175" s="17" t="s">
        <v>2743</v>
      </c>
      <c r="F175" s="17" t="s">
        <v>2744</v>
      </c>
      <c r="G175" s="17" t="s">
        <v>1941</v>
      </c>
      <c r="H175" s="17">
        <v>36195</v>
      </c>
      <c r="I175" t="s">
        <v>1951</v>
      </c>
    </row>
    <row r="176" spans="1:9" x14ac:dyDescent="0.25">
      <c r="A176" s="17" t="s">
        <v>376</v>
      </c>
      <c r="B176" s="17" t="s">
        <v>2745</v>
      </c>
      <c r="C176" s="22" t="s">
        <v>6197</v>
      </c>
      <c r="D176" s="17" t="s">
        <v>2746</v>
      </c>
      <c r="E176" s="17" t="s">
        <v>2747</v>
      </c>
      <c r="F176" s="17" t="s">
        <v>2748</v>
      </c>
      <c r="G176" s="17" t="s">
        <v>1941</v>
      </c>
      <c r="H176" s="17">
        <v>89436</v>
      </c>
      <c r="I176" t="s">
        <v>1942</v>
      </c>
    </row>
    <row r="177" spans="1:9" x14ac:dyDescent="0.25">
      <c r="A177" s="17" t="s">
        <v>378</v>
      </c>
      <c r="B177" s="17" t="s">
        <v>2749</v>
      </c>
      <c r="C177" s="17" t="s">
        <v>2750</v>
      </c>
      <c r="D177" s="17" t="s">
        <v>2751</v>
      </c>
      <c r="E177" s="17" t="s">
        <v>2752</v>
      </c>
      <c r="F177" s="17" t="s">
        <v>2753</v>
      </c>
      <c r="G177" s="17" t="s">
        <v>1941</v>
      </c>
      <c r="H177" s="17">
        <v>31205</v>
      </c>
      <c r="I177" t="s">
        <v>1942</v>
      </c>
    </row>
    <row r="178" spans="1:9" x14ac:dyDescent="0.25">
      <c r="A178" s="17" t="s">
        <v>380</v>
      </c>
      <c r="B178" s="17" t="s">
        <v>2754</v>
      </c>
      <c r="C178" s="17" t="s">
        <v>2755</v>
      </c>
      <c r="D178" s="17" t="s">
        <v>2756</v>
      </c>
      <c r="E178" s="17" t="s">
        <v>2757</v>
      </c>
      <c r="F178" s="17" t="s">
        <v>2758</v>
      </c>
      <c r="G178" s="17" t="s">
        <v>1941</v>
      </c>
      <c r="H178" s="17">
        <v>90605</v>
      </c>
      <c r="I178" t="s">
        <v>1942</v>
      </c>
    </row>
    <row r="179" spans="1:9" x14ac:dyDescent="0.25">
      <c r="A179" s="17" t="s">
        <v>382</v>
      </c>
      <c r="B179" s="17" t="s">
        <v>2759</v>
      </c>
      <c r="C179" s="17" t="s">
        <v>2760</v>
      </c>
      <c r="D179" s="17" t="s">
        <v>6197</v>
      </c>
      <c r="E179" s="17" t="s">
        <v>2761</v>
      </c>
      <c r="F179" s="17" t="s">
        <v>2762</v>
      </c>
      <c r="G179" s="17" t="s">
        <v>1941</v>
      </c>
      <c r="H179" s="17">
        <v>37605</v>
      </c>
      <c r="I179" t="s">
        <v>1942</v>
      </c>
    </row>
    <row r="180" spans="1:9" x14ac:dyDescent="0.25">
      <c r="A180" s="17" t="s">
        <v>384</v>
      </c>
      <c r="B180" s="17" t="s">
        <v>2763</v>
      </c>
      <c r="C180" s="17" t="s">
        <v>2764</v>
      </c>
      <c r="D180" s="17" t="s">
        <v>2765</v>
      </c>
      <c r="E180" s="17" t="s">
        <v>2766</v>
      </c>
      <c r="F180" s="17" t="s">
        <v>2163</v>
      </c>
      <c r="G180" s="17" t="s">
        <v>1941</v>
      </c>
      <c r="H180" s="17">
        <v>14614</v>
      </c>
      <c r="I180" t="s">
        <v>1951</v>
      </c>
    </row>
    <row r="181" spans="1:9" x14ac:dyDescent="0.25">
      <c r="A181" s="17" t="s">
        <v>386</v>
      </c>
      <c r="B181" s="17" t="s">
        <v>2767</v>
      </c>
      <c r="C181" s="22" t="s">
        <v>6197</v>
      </c>
      <c r="D181" s="17" t="s">
        <v>2768</v>
      </c>
      <c r="E181" s="17" t="s">
        <v>2769</v>
      </c>
      <c r="F181" s="17" t="s">
        <v>2770</v>
      </c>
      <c r="G181" s="17" t="s">
        <v>1949</v>
      </c>
      <c r="H181" s="17" t="s">
        <v>2771</v>
      </c>
      <c r="I181" t="s">
        <v>1951</v>
      </c>
    </row>
    <row r="182" spans="1:9" x14ac:dyDescent="0.25">
      <c r="A182" s="17" t="s">
        <v>388</v>
      </c>
      <c r="B182" s="17" t="s">
        <v>2772</v>
      </c>
      <c r="C182" s="17" t="s">
        <v>2773</v>
      </c>
      <c r="D182" s="17" t="s">
        <v>2774</v>
      </c>
      <c r="E182" s="17" t="s">
        <v>2775</v>
      </c>
      <c r="F182" s="17" t="s">
        <v>2776</v>
      </c>
      <c r="G182" s="17" t="s">
        <v>1941</v>
      </c>
      <c r="H182" s="17">
        <v>11254</v>
      </c>
      <c r="I182" t="s">
        <v>1951</v>
      </c>
    </row>
    <row r="183" spans="1:9" x14ac:dyDescent="0.25">
      <c r="A183" s="17" t="s">
        <v>2777</v>
      </c>
      <c r="B183" s="17" t="s">
        <v>2778</v>
      </c>
      <c r="C183" s="17" t="s">
        <v>2779</v>
      </c>
      <c r="D183" s="17" t="s">
        <v>2780</v>
      </c>
      <c r="E183" s="17" t="s">
        <v>2781</v>
      </c>
      <c r="F183" s="17" t="s">
        <v>1962</v>
      </c>
      <c r="G183" s="17" t="s">
        <v>1941</v>
      </c>
      <c r="H183" s="17">
        <v>1114</v>
      </c>
      <c r="I183" t="s">
        <v>1951</v>
      </c>
    </row>
    <row r="184" spans="1:9" x14ac:dyDescent="0.25">
      <c r="A184" s="17" t="s">
        <v>390</v>
      </c>
      <c r="B184" s="17" t="s">
        <v>2782</v>
      </c>
      <c r="C184" s="17" t="s">
        <v>2783</v>
      </c>
      <c r="D184" s="17" t="s">
        <v>2784</v>
      </c>
      <c r="E184" s="17" t="s">
        <v>2785</v>
      </c>
      <c r="F184" s="17" t="s">
        <v>2786</v>
      </c>
      <c r="G184" s="17" t="s">
        <v>1941</v>
      </c>
      <c r="H184" s="17">
        <v>22908</v>
      </c>
      <c r="I184" t="s">
        <v>1951</v>
      </c>
    </row>
    <row r="185" spans="1:9" x14ac:dyDescent="0.25">
      <c r="A185" s="17" t="s">
        <v>392</v>
      </c>
      <c r="B185" s="17" t="s">
        <v>2787</v>
      </c>
      <c r="C185" s="17" t="s">
        <v>2788</v>
      </c>
      <c r="D185" s="17" t="s">
        <v>2789</v>
      </c>
      <c r="E185" s="17" t="s">
        <v>2790</v>
      </c>
      <c r="F185" s="17" t="s">
        <v>2791</v>
      </c>
      <c r="G185" s="17" t="s">
        <v>1941</v>
      </c>
      <c r="H185" s="17">
        <v>75044</v>
      </c>
      <c r="I185" t="s">
        <v>1951</v>
      </c>
    </row>
    <row r="186" spans="1:9" x14ac:dyDescent="0.25">
      <c r="A186" s="17" t="s">
        <v>394</v>
      </c>
      <c r="B186" s="17" t="s">
        <v>2792</v>
      </c>
      <c r="C186" s="17" t="s">
        <v>2793</v>
      </c>
      <c r="D186" s="17" t="s">
        <v>2794</v>
      </c>
      <c r="E186" s="17" t="s">
        <v>2795</v>
      </c>
      <c r="F186" s="17" t="s">
        <v>2137</v>
      </c>
      <c r="G186" s="17" t="s">
        <v>1941</v>
      </c>
      <c r="H186" s="17">
        <v>55448</v>
      </c>
      <c r="I186" t="s">
        <v>1951</v>
      </c>
    </row>
    <row r="187" spans="1:9" x14ac:dyDescent="0.25">
      <c r="A187" s="17" t="s">
        <v>396</v>
      </c>
      <c r="B187" s="17" t="s">
        <v>2796</v>
      </c>
      <c r="C187" s="17" t="s">
        <v>2797</v>
      </c>
      <c r="D187" s="17" t="s">
        <v>2798</v>
      </c>
      <c r="E187" s="17" t="s">
        <v>2799</v>
      </c>
      <c r="F187" s="17" t="s">
        <v>2800</v>
      </c>
      <c r="G187" s="17" t="s">
        <v>1941</v>
      </c>
      <c r="H187" s="17">
        <v>48919</v>
      </c>
      <c r="I187" t="s">
        <v>1942</v>
      </c>
    </row>
    <row r="188" spans="1:9" x14ac:dyDescent="0.25">
      <c r="A188" s="17" t="s">
        <v>398</v>
      </c>
      <c r="B188" s="17" t="s">
        <v>2801</v>
      </c>
      <c r="C188" s="17" t="s">
        <v>2802</v>
      </c>
      <c r="D188" s="17" t="s">
        <v>2803</v>
      </c>
      <c r="E188" s="17" t="s">
        <v>2804</v>
      </c>
      <c r="F188" s="17" t="s">
        <v>2110</v>
      </c>
      <c r="G188" s="17" t="s">
        <v>1941</v>
      </c>
      <c r="H188" s="17">
        <v>58207</v>
      </c>
      <c r="I188" t="s">
        <v>1951</v>
      </c>
    </row>
    <row r="189" spans="1:9" x14ac:dyDescent="0.25">
      <c r="A189" s="17" t="s">
        <v>400</v>
      </c>
      <c r="B189" s="17" t="s">
        <v>2805</v>
      </c>
      <c r="C189" s="17" t="s">
        <v>2806</v>
      </c>
      <c r="D189" s="17" t="s">
        <v>6197</v>
      </c>
      <c r="E189" s="17" t="s">
        <v>2807</v>
      </c>
      <c r="F189" s="17" t="s">
        <v>2501</v>
      </c>
      <c r="G189" s="17" t="s">
        <v>1941</v>
      </c>
      <c r="H189" s="17">
        <v>99522</v>
      </c>
      <c r="I189" t="s">
        <v>1942</v>
      </c>
    </row>
    <row r="190" spans="1:9" x14ac:dyDescent="0.25">
      <c r="A190" s="17" t="s">
        <v>402</v>
      </c>
      <c r="B190" s="17" t="s">
        <v>2808</v>
      </c>
      <c r="C190" s="17" t="s">
        <v>2809</v>
      </c>
      <c r="D190" s="17" t="s">
        <v>2810</v>
      </c>
      <c r="E190" s="17" t="s">
        <v>2811</v>
      </c>
      <c r="F190" s="17" t="s">
        <v>2362</v>
      </c>
      <c r="G190" s="17" t="s">
        <v>1941</v>
      </c>
      <c r="H190" s="17">
        <v>73129</v>
      </c>
      <c r="I190" t="s">
        <v>1942</v>
      </c>
    </row>
    <row r="191" spans="1:9" x14ac:dyDescent="0.25">
      <c r="A191" s="17" t="s">
        <v>404</v>
      </c>
      <c r="B191" s="17" t="s">
        <v>2812</v>
      </c>
      <c r="C191" s="17" t="s">
        <v>2813</v>
      </c>
      <c r="D191" s="17" t="s">
        <v>2814</v>
      </c>
      <c r="E191" s="17" t="s">
        <v>2815</v>
      </c>
      <c r="F191" s="17" t="s">
        <v>2816</v>
      </c>
      <c r="G191" s="17" t="s">
        <v>1941</v>
      </c>
      <c r="H191" s="17">
        <v>74103</v>
      </c>
      <c r="I191" t="s">
        <v>1942</v>
      </c>
    </row>
    <row r="192" spans="1:9" x14ac:dyDescent="0.25">
      <c r="A192" s="17" t="s">
        <v>406</v>
      </c>
      <c r="B192" s="17" t="s">
        <v>2817</v>
      </c>
      <c r="C192" s="17" t="s">
        <v>2818</v>
      </c>
      <c r="D192" s="17" t="s">
        <v>2819</v>
      </c>
      <c r="E192" s="17" t="s">
        <v>2820</v>
      </c>
      <c r="F192" s="17" t="s">
        <v>2821</v>
      </c>
      <c r="G192" s="17" t="s">
        <v>1941</v>
      </c>
      <c r="H192" s="17">
        <v>48211</v>
      </c>
      <c r="I192" t="s">
        <v>1942</v>
      </c>
    </row>
    <row r="193" spans="1:9" x14ac:dyDescent="0.25">
      <c r="A193" s="17" t="s">
        <v>408</v>
      </c>
      <c r="B193" s="17" t="s">
        <v>2822</v>
      </c>
      <c r="C193" s="17" t="s">
        <v>2823</v>
      </c>
      <c r="D193" s="17" t="s">
        <v>2824</v>
      </c>
      <c r="E193" s="17" t="s">
        <v>2825</v>
      </c>
      <c r="F193" s="17" t="s">
        <v>2186</v>
      </c>
      <c r="G193" s="17" t="s">
        <v>1941</v>
      </c>
      <c r="H193" s="17">
        <v>20436</v>
      </c>
      <c r="I193" t="s">
        <v>1942</v>
      </c>
    </row>
    <row r="194" spans="1:9" x14ac:dyDescent="0.25">
      <c r="A194" s="17" t="s">
        <v>410</v>
      </c>
      <c r="B194" s="17" t="s">
        <v>2826</v>
      </c>
      <c r="C194" s="17" t="s">
        <v>2827</v>
      </c>
      <c r="D194" s="17" t="s">
        <v>2828</v>
      </c>
      <c r="E194" s="17" t="s">
        <v>2829</v>
      </c>
      <c r="F194" s="17" t="s">
        <v>2830</v>
      </c>
      <c r="G194" s="17" t="s">
        <v>1949</v>
      </c>
      <c r="H194" s="17" t="s">
        <v>2831</v>
      </c>
      <c r="I194" t="s">
        <v>1942</v>
      </c>
    </row>
    <row r="195" spans="1:9" x14ac:dyDescent="0.25">
      <c r="A195" s="17" t="s">
        <v>412</v>
      </c>
      <c r="B195" s="17" t="s">
        <v>2832</v>
      </c>
      <c r="C195" s="22" t="s">
        <v>6197</v>
      </c>
      <c r="D195" s="17" t="s">
        <v>2833</v>
      </c>
      <c r="E195" s="17" t="s">
        <v>2834</v>
      </c>
      <c r="F195" s="17" t="s">
        <v>2835</v>
      </c>
      <c r="G195" s="17" t="s">
        <v>1941</v>
      </c>
      <c r="H195" s="17">
        <v>85215</v>
      </c>
      <c r="I195" t="s">
        <v>1951</v>
      </c>
    </row>
    <row r="196" spans="1:9" x14ac:dyDescent="0.25">
      <c r="A196" s="17" t="s">
        <v>414</v>
      </c>
      <c r="B196" s="17" t="s">
        <v>2836</v>
      </c>
      <c r="C196" s="17" t="s">
        <v>2837</v>
      </c>
      <c r="D196" s="17" t="s">
        <v>2838</v>
      </c>
      <c r="E196" s="17" t="s">
        <v>2839</v>
      </c>
      <c r="F196" s="17" t="s">
        <v>2840</v>
      </c>
      <c r="G196" s="17" t="s">
        <v>1941</v>
      </c>
      <c r="H196" s="17">
        <v>44485</v>
      </c>
      <c r="I196" t="s">
        <v>1951</v>
      </c>
    </row>
    <row r="197" spans="1:9" x14ac:dyDescent="0.25">
      <c r="A197" s="17" t="s">
        <v>416</v>
      </c>
      <c r="B197" s="17" t="s">
        <v>2841</v>
      </c>
      <c r="C197" s="17" t="s">
        <v>2842</v>
      </c>
      <c r="D197" s="17" t="s">
        <v>2843</v>
      </c>
      <c r="E197" s="17" t="s">
        <v>2844</v>
      </c>
      <c r="F197" s="17" t="s">
        <v>2845</v>
      </c>
      <c r="G197" s="17" t="s">
        <v>1941</v>
      </c>
      <c r="H197" s="17">
        <v>38150</v>
      </c>
      <c r="I197" t="s">
        <v>1951</v>
      </c>
    </row>
    <row r="198" spans="1:9" x14ac:dyDescent="0.25">
      <c r="A198" s="17" t="s">
        <v>418</v>
      </c>
      <c r="B198" s="17" t="s">
        <v>2846</v>
      </c>
      <c r="C198" s="17" t="s">
        <v>2847</v>
      </c>
      <c r="D198" s="17" t="s">
        <v>6197</v>
      </c>
      <c r="E198" s="17" t="s">
        <v>2848</v>
      </c>
      <c r="F198" s="17" t="s">
        <v>2186</v>
      </c>
      <c r="G198" s="17" t="s">
        <v>1941</v>
      </c>
      <c r="H198" s="17">
        <v>20535</v>
      </c>
      <c r="I198" t="s">
        <v>1951</v>
      </c>
    </row>
    <row r="199" spans="1:9" x14ac:dyDescent="0.25">
      <c r="A199" s="17" t="s">
        <v>2849</v>
      </c>
      <c r="B199" s="17" t="s">
        <v>2850</v>
      </c>
      <c r="C199" s="17" t="s">
        <v>2851</v>
      </c>
      <c r="D199" s="17" t="s">
        <v>2852</v>
      </c>
      <c r="E199" s="17" t="s">
        <v>2853</v>
      </c>
      <c r="F199" s="17" t="s">
        <v>2854</v>
      </c>
      <c r="G199" s="17" t="s">
        <v>1949</v>
      </c>
      <c r="H199" s="17" t="s">
        <v>2855</v>
      </c>
      <c r="I199" t="s">
        <v>1942</v>
      </c>
    </row>
    <row r="200" spans="1:9" x14ac:dyDescent="0.25">
      <c r="A200" s="17" t="s">
        <v>2856</v>
      </c>
      <c r="B200" s="17" t="s">
        <v>2857</v>
      </c>
      <c r="C200" s="17" t="s">
        <v>2858</v>
      </c>
      <c r="D200" s="17" t="s">
        <v>2859</v>
      </c>
      <c r="E200" s="17" t="s">
        <v>2860</v>
      </c>
      <c r="F200" s="17" t="s">
        <v>2861</v>
      </c>
      <c r="G200" s="17" t="s">
        <v>1941</v>
      </c>
      <c r="H200" s="17">
        <v>33064</v>
      </c>
      <c r="I200" t="s">
        <v>1951</v>
      </c>
    </row>
    <row r="201" spans="1:9" x14ac:dyDescent="0.25">
      <c r="A201" s="17" t="s">
        <v>2862</v>
      </c>
      <c r="B201" s="17" t="s">
        <v>2863</v>
      </c>
      <c r="C201" s="17" t="s">
        <v>2864</v>
      </c>
      <c r="D201" s="17" t="s">
        <v>2865</v>
      </c>
      <c r="E201" s="17" t="s">
        <v>2866</v>
      </c>
      <c r="F201" s="17" t="s">
        <v>2252</v>
      </c>
      <c r="G201" s="17" t="s">
        <v>1941</v>
      </c>
      <c r="H201" s="17">
        <v>60604</v>
      </c>
      <c r="I201" t="s">
        <v>1951</v>
      </c>
    </row>
    <row r="202" spans="1:9" x14ac:dyDescent="0.25">
      <c r="A202" s="17" t="s">
        <v>2867</v>
      </c>
      <c r="B202" s="17" t="s">
        <v>2868</v>
      </c>
      <c r="C202" s="17" t="s">
        <v>2869</v>
      </c>
      <c r="D202" s="17" t="s">
        <v>2870</v>
      </c>
      <c r="E202" s="17" t="s">
        <v>2871</v>
      </c>
      <c r="F202" s="17" t="s">
        <v>2872</v>
      </c>
      <c r="G202" s="17" t="s">
        <v>2116</v>
      </c>
      <c r="H202" s="17" t="s">
        <v>2873</v>
      </c>
      <c r="I202" t="s">
        <v>1951</v>
      </c>
    </row>
    <row r="203" spans="1:9" x14ac:dyDescent="0.25">
      <c r="A203" s="17" t="s">
        <v>420</v>
      </c>
      <c r="B203" s="17" t="s">
        <v>2874</v>
      </c>
      <c r="C203" s="22" t="s">
        <v>6197</v>
      </c>
      <c r="D203" s="17" t="s">
        <v>2875</v>
      </c>
      <c r="E203" s="17" t="s">
        <v>2876</v>
      </c>
      <c r="F203" s="17" t="s">
        <v>2154</v>
      </c>
      <c r="G203" s="17" t="s">
        <v>1941</v>
      </c>
      <c r="H203" s="17">
        <v>84409</v>
      </c>
      <c r="I203" t="s">
        <v>1951</v>
      </c>
    </row>
    <row r="204" spans="1:9" x14ac:dyDescent="0.25">
      <c r="A204" s="17" t="s">
        <v>422</v>
      </c>
      <c r="B204" s="17" t="s">
        <v>2877</v>
      </c>
      <c r="C204" s="17" t="s">
        <v>2878</v>
      </c>
      <c r="D204" s="17" t="s">
        <v>2879</v>
      </c>
      <c r="E204" s="17" t="s">
        <v>2880</v>
      </c>
      <c r="F204" s="17" t="s">
        <v>2881</v>
      </c>
      <c r="G204" s="17" t="s">
        <v>1941</v>
      </c>
      <c r="H204" s="17">
        <v>12205</v>
      </c>
      <c r="I204" t="s">
        <v>1942</v>
      </c>
    </row>
    <row r="205" spans="1:9" x14ac:dyDescent="0.25">
      <c r="A205" s="17" t="s">
        <v>424</v>
      </c>
      <c r="B205" s="17" t="s">
        <v>2882</v>
      </c>
      <c r="C205" s="17" t="s">
        <v>2883</v>
      </c>
      <c r="D205" s="17" t="s">
        <v>2884</v>
      </c>
      <c r="E205" s="17" t="s">
        <v>2885</v>
      </c>
      <c r="F205" s="17" t="s">
        <v>2886</v>
      </c>
      <c r="G205" s="17" t="s">
        <v>1941</v>
      </c>
      <c r="H205" s="17">
        <v>29305</v>
      </c>
      <c r="I205" t="s">
        <v>1951</v>
      </c>
    </row>
    <row r="206" spans="1:9" x14ac:dyDescent="0.25">
      <c r="A206" s="17" t="s">
        <v>426</v>
      </c>
      <c r="B206" s="17" t="s">
        <v>2887</v>
      </c>
      <c r="C206" s="22" t="s">
        <v>6197</v>
      </c>
      <c r="D206" s="17" t="s">
        <v>2888</v>
      </c>
      <c r="E206" s="17" t="s">
        <v>2889</v>
      </c>
      <c r="F206" s="17" t="s">
        <v>2890</v>
      </c>
      <c r="G206" s="17" t="s">
        <v>1941</v>
      </c>
      <c r="H206" s="17">
        <v>10310</v>
      </c>
      <c r="I206" t="s">
        <v>1951</v>
      </c>
    </row>
    <row r="207" spans="1:9" x14ac:dyDescent="0.25">
      <c r="A207" s="17" t="s">
        <v>428</v>
      </c>
      <c r="B207" s="17" t="s">
        <v>2891</v>
      </c>
      <c r="C207" s="22" t="s">
        <v>6197</v>
      </c>
      <c r="D207" s="17" t="s">
        <v>2892</v>
      </c>
      <c r="E207" s="17" t="s">
        <v>2893</v>
      </c>
      <c r="F207" s="17" t="s">
        <v>2186</v>
      </c>
      <c r="G207" s="17" t="s">
        <v>1941</v>
      </c>
      <c r="H207" s="17">
        <v>20337</v>
      </c>
      <c r="I207" t="s">
        <v>1942</v>
      </c>
    </row>
    <row r="208" spans="1:9" x14ac:dyDescent="0.25">
      <c r="A208" s="17" t="s">
        <v>430</v>
      </c>
      <c r="B208" s="17" t="s">
        <v>2894</v>
      </c>
      <c r="C208" s="17" t="s">
        <v>2895</v>
      </c>
      <c r="D208" s="17" t="s">
        <v>6197</v>
      </c>
      <c r="E208" s="17" t="s">
        <v>2896</v>
      </c>
      <c r="F208" s="17" t="s">
        <v>2300</v>
      </c>
      <c r="G208" s="17" t="s">
        <v>1941</v>
      </c>
      <c r="H208" s="17">
        <v>28225</v>
      </c>
      <c r="I208" t="s">
        <v>1951</v>
      </c>
    </row>
    <row r="209" spans="1:9" x14ac:dyDescent="0.25">
      <c r="A209" s="17" t="s">
        <v>432</v>
      </c>
      <c r="B209" s="17" t="s">
        <v>2897</v>
      </c>
      <c r="C209" s="17" t="s">
        <v>2898</v>
      </c>
      <c r="D209" s="17" t="s">
        <v>2899</v>
      </c>
      <c r="E209" s="17" t="s">
        <v>2900</v>
      </c>
      <c r="F209" s="17" t="s">
        <v>2901</v>
      </c>
      <c r="G209" s="17" t="s">
        <v>1941</v>
      </c>
      <c r="H209" s="17">
        <v>79491</v>
      </c>
      <c r="I209" t="s">
        <v>1942</v>
      </c>
    </row>
    <row r="210" spans="1:9" x14ac:dyDescent="0.25">
      <c r="A210" s="17" t="s">
        <v>434</v>
      </c>
      <c r="B210" s="17" t="s">
        <v>2902</v>
      </c>
      <c r="C210" s="17" t="s">
        <v>2903</v>
      </c>
      <c r="D210" s="17" t="s">
        <v>2904</v>
      </c>
      <c r="E210" s="17" t="s">
        <v>2905</v>
      </c>
      <c r="F210" s="17" t="s">
        <v>2906</v>
      </c>
      <c r="G210" s="17" t="s">
        <v>1949</v>
      </c>
      <c r="H210" s="17" t="s">
        <v>2907</v>
      </c>
      <c r="I210" t="s">
        <v>1942</v>
      </c>
    </row>
    <row r="211" spans="1:9" x14ac:dyDescent="0.25">
      <c r="A211" s="17" t="s">
        <v>436</v>
      </c>
      <c r="B211" s="17" t="s">
        <v>2908</v>
      </c>
      <c r="C211" s="17" t="s">
        <v>2909</v>
      </c>
      <c r="D211" s="17" t="s">
        <v>2910</v>
      </c>
      <c r="E211" s="17" t="s">
        <v>2911</v>
      </c>
      <c r="F211" s="17" t="s">
        <v>2912</v>
      </c>
      <c r="G211" s="17" t="s">
        <v>2116</v>
      </c>
      <c r="H211" s="17" t="s">
        <v>2913</v>
      </c>
      <c r="I211" t="s">
        <v>1951</v>
      </c>
    </row>
    <row r="212" spans="1:9" x14ac:dyDescent="0.25">
      <c r="A212" s="17" t="s">
        <v>438</v>
      </c>
      <c r="B212" s="17" t="s">
        <v>2914</v>
      </c>
      <c r="C212" s="17" t="s">
        <v>2915</v>
      </c>
      <c r="D212" s="17" t="s">
        <v>2916</v>
      </c>
      <c r="E212" s="17" t="s">
        <v>2917</v>
      </c>
      <c r="F212" s="17" t="s">
        <v>2786</v>
      </c>
      <c r="G212" s="17" t="s">
        <v>1941</v>
      </c>
      <c r="H212" s="17">
        <v>22908</v>
      </c>
      <c r="I212" t="s">
        <v>1942</v>
      </c>
    </row>
    <row r="213" spans="1:9" x14ac:dyDescent="0.25">
      <c r="A213" s="17" t="s">
        <v>440</v>
      </c>
      <c r="B213" s="17" t="s">
        <v>2918</v>
      </c>
      <c r="C213" s="17" t="s">
        <v>2919</v>
      </c>
      <c r="D213" s="17" t="s">
        <v>6197</v>
      </c>
      <c r="E213" s="17" t="s">
        <v>2920</v>
      </c>
      <c r="F213" s="17" t="s">
        <v>2037</v>
      </c>
      <c r="G213" s="17" t="s">
        <v>1941</v>
      </c>
      <c r="H213" s="17">
        <v>10105</v>
      </c>
      <c r="I213" t="s">
        <v>1951</v>
      </c>
    </row>
    <row r="214" spans="1:9" x14ac:dyDescent="0.25">
      <c r="A214" s="17" t="s">
        <v>442</v>
      </c>
      <c r="B214" s="17" t="s">
        <v>2921</v>
      </c>
      <c r="C214" s="17" t="s">
        <v>2922</v>
      </c>
      <c r="D214" s="17" t="s">
        <v>2923</v>
      </c>
      <c r="E214" s="17" t="s">
        <v>2924</v>
      </c>
      <c r="F214" s="17" t="s">
        <v>2643</v>
      </c>
      <c r="G214" s="17" t="s">
        <v>1941</v>
      </c>
      <c r="H214" s="17">
        <v>24009</v>
      </c>
      <c r="I214" t="s">
        <v>1942</v>
      </c>
    </row>
    <row r="215" spans="1:9" x14ac:dyDescent="0.25">
      <c r="A215" s="17" t="s">
        <v>444</v>
      </c>
      <c r="B215" s="17" t="s">
        <v>2925</v>
      </c>
      <c r="C215" s="17" t="s">
        <v>2926</v>
      </c>
      <c r="D215" s="17" t="s">
        <v>2927</v>
      </c>
      <c r="E215" s="17" t="s">
        <v>2928</v>
      </c>
      <c r="F215" s="17" t="s">
        <v>2037</v>
      </c>
      <c r="G215" s="17" t="s">
        <v>1941</v>
      </c>
      <c r="H215" s="17">
        <v>10009</v>
      </c>
      <c r="I215" t="s">
        <v>1951</v>
      </c>
    </row>
    <row r="216" spans="1:9" x14ac:dyDescent="0.25">
      <c r="A216" s="17" t="s">
        <v>446</v>
      </c>
      <c r="B216" s="17" t="s">
        <v>2929</v>
      </c>
      <c r="C216" s="17" t="s">
        <v>2930</v>
      </c>
      <c r="D216" s="17" t="s">
        <v>2931</v>
      </c>
      <c r="E216" s="17" t="s">
        <v>2932</v>
      </c>
      <c r="F216" s="17" t="s">
        <v>2933</v>
      </c>
      <c r="G216" s="17" t="s">
        <v>1949</v>
      </c>
      <c r="H216" s="17" t="s">
        <v>2083</v>
      </c>
      <c r="I216" t="s">
        <v>1951</v>
      </c>
    </row>
    <row r="217" spans="1:9" x14ac:dyDescent="0.25">
      <c r="A217" s="17" t="s">
        <v>448</v>
      </c>
      <c r="B217" s="17" t="s">
        <v>2934</v>
      </c>
      <c r="C217" s="17" t="s">
        <v>2935</v>
      </c>
      <c r="D217" s="17" t="s">
        <v>2936</v>
      </c>
      <c r="E217" s="17" t="s">
        <v>2937</v>
      </c>
      <c r="F217" s="17" t="s">
        <v>2938</v>
      </c>
      <c r="G217" s="17" t="s">
        <v>1941</v>
      </c>
      <c r="H217" s="17">
        <v>84120</v>
      </c>
      <c r="I217" t="s">
        <v>1951</v>
      </c>
    </row>
    <row r="218" spans="1:9" x14ac:dyDescent="0.25">
      <c r="A218" s="17" t="s">
        <v>450</v>
      </c>
      <c r="B218" s="17" t="s">
        <v>2939</v>
      </c>
      <c r="C218" s="17" t="s">
        <v>2940</v>
      </c>
      <c r="D218" s="17" t="s">
        <v>2941</v>
      </c>
      <c r="E218" s="17" t="s">
        <v>2942</v>
      </c>
      <c r="F218" s="17" t="s">
        <v>2211</v>
      </c>
      <c r="G218" s="17" t="s">
        <v>1941</v>
      </c>
      <c r="H218" s="17">
        <v>43635</v>
      </c>
      <c r="I218" t="s">
        <v>1942</v>
      </c>
    </row>
    <row r="219" spans="1:9" x14ac:dyDescent="0.25">
      <c r="A219" s="17" t="s">
        <v>452</v>
      </c>
      <c r="B219" s="17" t="s">
        <v>2943</v>
      </c>
      <c r="C219" s="17" t="s">
        <v>2944</v>
      </c>
      <c r="D219" s="17" t="s">
        <v>2945</v>
      </c>
      <c r="E219" s="17" t="s">
        <v>2946</v>
      </c>
      <c r="F219" s="17" t="s">
        <v>2947</v>
      </c>
      <c r="G219" s="17" t="s">
        <v>1941</v>
      </c>
      <c r="H219" s="17">
        <v>91131</v>
      </c>
      <c r="I219" t="s">
        <v>1951</v>
      </c>
    </row>
    <row r="220" spans="1:9" x14ac:dyDescent="0.25">
      <c r="A220" s="17" t="s">
        <v>454</v>
      </c>
      <c r="B220" s="17" t="s">
        <v>2948</v>
      </c>
      <c r="C220" s="17" t="s">
        <v>2949</v>
      </c>
      <c r="D220" s="17" t="s">
        <v>2950</v>
      </c>
      <c r="E220" s="17" t="s">
        <v>2951</v>
      </c>
      <c r="F220" s="17" t="s">
        <v>2952</v>
      </c>
      <c r="G220" s="17" t="s">
        <v>1949</v>
      </c>
      <c r="H220" s="17" t="s">
        <v>2293</v>
      </c>
      <c r="I220" t="s">
        <v>1942</v>
      </c>
    </row>
    <row r="221" spans="1:9" x14ac:dyDescent="0.25">
      <c r="A221" s="17" t="s">
        <v>456</v>
      </c>
      <c r="B221" s="17" t="s">
        <v>2953</v>
      </c>
      <c r="C221" s="17" t="s">
        <v>2954</v>
      </c>
      <c r="D221" s="17" t="s">
        <v>2955</v>
      </c>
      <c r="E221" s="17" t="s">
        <v>2956</v>
      </c>
      <c r="F221" s="17" t="s">
        <v>2957</v>
      </c>
      <c r="G221" s="17" t="s">
        <v>1941</v>
      </c>
      <c r="H221" s="17">
        <v>64082</v>
      </c>
      <c r="I221" t="s">
        <v>1951</v>
      </c>
    </row>
    <row r="222" spans="1:9" x14ac:dyDescent="0.25">
      <c r="A222" s="17" t="s">
        <v>2958</v>
      </c>
      <c r="B222" s="17" t="s">
        <v>2959</v>
      </c>
      <c r="C222" s="17" t="s">
        <v>2960</v>
      </c>
      <c r="D222" s="17" t="s">
        <v>2961</v>
      </c>
      <c r="E222" s="17" t="s">
        <v>2962</v>
      </c>
      <c r="F222" s="17" t="s">
        <v>2266</v>
      </c>
      <c r="G222" s="17" t="s">
        <v>1941</v>
      </c>
      <c r="H222" s="17">
        <v>76121</v>
      </c>
      <c r="I222" t="s">
        <v>1951</v>
      </c>
    </row>
    <row r="223" spans="1:9" x14ac:dyDescent="0.25">
      <c r="A223" s="17" t="s">
        <v>458</v>
      </c>
      <c r="B223" s="17" t="s">
        <v>2963</v>
      </c>
      <c r="C223" s="17" t="s">
        <v>2964</v>
      </c>
      <c r="D223" s="17" t="s">
        <v>2965</v>
      </c>
      <c r="E223" s="17" t="s">
        <v>2966</v>
      </c>
      <c r="F223" s="17" t="s">
        <v>2967</v>
      </c>
      <c r="G223" s="17" t="s">
        <v>1941</v>
      </c>
      <c r="H223" s="17">
        <v>92619</v>
      </c>
      <c r="I223" t="s">
        <v>1942</v>
      </c>
    </row>
    <row r="224" spans="1:9" x14ac:dyDescent="0.25">
      <c r="A224" s="17" t="s">
        <v>460</v>
      </c>
      <c r="B224" s="17" t="s">
        <v>2968</v>
      </c>
      <c r="C224" s="17" t="s">
        <v>2969</v>
      </c>
      <c r="D224" s="17" t="s">
        <v>2970</v>
      </c>
      <c r="E224" s="17" t="s">
        <v>2971</v>
      </c>
      <c r="F224" s="17" t="s">
        <v>2972</v>
      </c>
      <c r="G224" s="17" t="s">
        <v>1941</v>
      </c>
      <c r="H224" s="17">
        <v>11854</v>
      </c>
      <c r="I224" t="s">
        <v>1951</v>
      </c>
    </row>
    <row r="225" spans="1:9" x14ac:dyDescent="0.25">
      <c r="A225" s="17" t="s">
        <v>462</v>
      </c>
      <c r="B225" s="17" t="s">
        <v>2973</v>
      </c>
      <c r="C225" s="22" t="s">
        <v>6197</v>
      </c>
      <c r="D225" s="17" t="s">
        <v>2974</v>
      </c>
      <c r="E225" s="17" t="s">
        <v>2975</v>
      </c>
      <c r="F225" s="17" t="s">
        <v>2186</v>
      </c>
      <c r="G225" s="17" t="s">
        <v>1941</v>
      </c>
      <c r="H225" s="17">
        <v>20546</v>
      </c>
      <c r="I225" t="s">
        <v>1942</v>
      </c>
    </row>
    <row r="226" spans="1:9" x14ac:dyDescent="0.25">
      <c r="A226" s="17" t="s">
        <v>464</v>
      </c>
      <c r="B226" s="17" t="s">
        <v>2976</v>
      </c>
      <c r="C226" s="17" t="s">
        <v>2977</v>
      </c>
      <c r="D226" s="17" t="s">
        <v>2978</v>
      </c>
      <c r="E226" s="17" t="s">
        <v>2979</v>
      </c>
      <c r="F226" s="17" t="s">
        <v>2037</v>
      </c>
      <c r="G226" s="17" t="s">
        <v>1941</v>
      </c>
      <c r="H226" s="17">
        <v>10060</v>
      </c>
      <c r="I226" t="s">
        <v>1942</v>
      </c>
    </row>
    <row r="227" spans="1:9" x14ac:dyDescent="0.25">
      <c r="A227" s="17" t="s">
        <v>466</v>
      </c>
      <c r="B227" s="17" t="s">
        <v>2980</v>
      </c>
      <c r="C227" s="17" t="s">
        <v>2981</v>
      </c>
      <c r="D227" s="17" t="s">
        <v>2982</v>
      </c>
      <c r="E227" s="17" t="s">
        <v>2983</v>
      </c>
      <c r="F227" s="17" t="s">
        <v>2292</v>
      </c>
      <c r="G227" s="17" t="s">
        <v>1949</v>
      </c>
      <c r="H227" s="17" t="s">
        <v>2293</v>
      </c>
      <c r="I227" t="s">
        <v>1951</v>
      </c>
    </row>
    <row r="228" spans="1:9" x14ac:dyDescent="0.25">
      <c r="A228" s="17" t="s">
        <v>468</v>
      </c>
      <c r="B228" s="17" t="s">
        <v>2984</v>
      </c>
      <c r="C228" s="17" t="s">
        <v>2985</v>
      </c>
      <c r="D228" s="17" t="s">
        <v>2986</v>
      </c>
      <c r="E228" s="17" t="s">
        <v>2987</v>
      </c>
      <c r="F228" s="17" t="s">
        <v>2988</v>
      </c>
      <c r="G228" s="17" t="s">
        <v>1941</v>
      </c>
      <c r="H228" s="17">
        <v>66276</v>
      </c>
      <c r="I228" t="s">
        <v>1951</v>
      </c>
    </row>
    <row r="229" spans="1:9" x14ac:dyDescent="0.25">
      <c r="A229" s="17" t="s">
        <v>470</v>
      </c>
      <c r="B229" s="17" t="s">
        <v>2989</v>
      </c>
      <c r="C229" s="17" t="s">
        <v>2990</v>
      </c>
      <c r="D229" s="17" t="s">
        <v>2991</v>
      </c>
      <c r="E229" s="17" t="s">
        <v>2992</v>
      </c>
      <c r="F229" s="17" t="s">
        <v>2993</v>
      </c>
      <c r="G229" s="17" t="s">
        <v>2116</v>
      </c>
      <c r="H229" s="17" t="s">
        <v>2994</v>
      </c>
      <c r="I229" t="s">
        <v>1942</v>
      </c>
    </row>
    <row r="230" spans="1:9" x14ac:dyDescent="0.25">
      <c r="A230" s="17" t="s">
        <v>472</v>
      </c>
      <c r="B230" s="17" t="s">
        <v>2995</v>
      </c>
      <c r="C230" s="17" t="s">
        <v>2996</v>
      </c>
      <c r="D230" s="17" t="s">
        <v>2997</v>
      </c>
      <c r="E230" s="17" t="s">
        <v>2998</v>
      </c>
      <c r="F230" s="17" t="s">
        <v>2999</v>
      </c>
      <c r="G230" s="17" t="s">
        <v>1941</v>
      </c>
      <c r="H230" s="17">
        <v>94291</v>
      </c>
      <c r="I230" t="s">
        <v>1951</v>
      </c>
    </row>
    <row r="231" spans="1:9" x14ac:dyDescent="0.25">
      <c r="A231" s="17" t="s">
        <v>474</v>
      </c>
      <c r="B231" s="17" t="s">
        <v>3000</v>
      </c>
      <c r="C231" s="17" t="s">
        <v>3001</v>
      </c>
      <c r="D231" s="17" t="s">
        <v>3002</v>
      </c>
      <c r="E231" s="17" t="s">
        <v>3003</v>
      </c>
      <c r="F231" s="17" t="s">
        <v>3004</v>
      </c>
      <c r="G231" s="17" t="s">
        <v>1941</v>
      </c>
      <c r="H231" s="17">
        <v>18706</v>
      </c>
      <c r="I231" t="s">
        <v>1951</v>
      </c>
    </row>
    <row r="232" spans="1:9" x14ac:dyDescent="0.25">
      <c r="A232" s="17" t="s">
        <v>476</v>
      </c>
      <c r="B232" s="17" t="s">
        <v>3005</v>
      </c>
      <c r="C232" s="17" t="s">
        <v>3006</v>
      </c>
      <c r="D232" s="17" t="s">
        <v>3007</v>
      </c>
      <c r="E232" s="17" t="s">
        <v>3008</v>
      </c>
      <c r="F232" s="17" t="s">
        <v>2694</v>
      </c>
      <c r="G232" s="17" t="s">
        <v>1941</v>
      </c>
      <c r="H232" s="17">
        <v>27499</v>
      </c>
      <c r="I232" t="s">
        <v>1951</v>
      </c>
    </row>
    <row r="233" spans="1:9" x14ac:dyDescent="0.25">
      <c r="A233" s="17" t="s">
        <v>478</v>
      </c>
      <c r="B233" s="17" t="s">
        <v>3009</v>
      </c>
      <c r="C233" s="22" t="s">
        <v>6197</v>
      </c>
      <c r="D233" s="17" t="s">
        <v>3010</v>
      </c>
      <c r="E233" s="17" t="s">
        <v>3011</v>
      </c>
      <c r="F233" s="17" t="s">
        <v>2256</v>
      </c>
      <c r="G233" s="17" t="s">
        <v>1941</v>
      </c>
      <c r="H233" s="17">
        <v>19725</v>
      </c>
      <c r="I233" t="s">
        <v>1942</v>
      </c>
    </row>
    <row r="234" spans="1:9" x14ac:dyDescent="0.25">
      <c r="A234" s="17" t="s">
        <v>480</v>
      </c>
      <c r="B234" s="17" t="s">
        <v>3012</v>
      </c>
      <c r="C234" s="17" t="s">
        <v>3013</v>
      </c>
      <c r="D234" s="17" t="s">
        <v>3014</v>
      </c>
      <c r="E234" s="17" t="s">
        <v>3015</v>
      </c>
      <c r="F234" s="17" t="s">
        <v>2199</v>
      </c>
      <c r="G234" s="17" t="s">
        <v>2116</v>
      </c>
      <c r="H234" s="17" t="s">
        <v>2200</v>
      </c>
      <c r="I234" t="s">
        <v>1951</v>
      </c>
    </row>
    <row r="235" spans="1:9" x14ac:dyDescent="0.25">
      <c r="A235" s="17" t="s">
        <v>482</v>
      </c>
      <c r="B235" s="17" t="s">
        <v>3016</v>
      </c>
      <c r="C235" s="17" t="s">
        <v>3017</v>
      </c>
      <c r="D235" s="17" t="s">
        <v>3018</v>
      </c>
      <c r="E235" s="17" t="s">
        <v>3019</v>
      </c>
      <c r="F235" s="17" t="s">
        <v>2592</v>
      </c>
      <c r="G235" s="17" t="s">
        <v>1941</v>
      </c>
      <c r="H235" s="17">
        <v>96825</v>
      </c>
      <c r="I235" t="s">
        <v>1951</v>
      </c>
    </row>
    <row r="236" spans="1:9" x14ac:dyDescent="0.25">
      <c r="A236" s="17" t="s">
        <v>484</v>
      </c>
      <c r="B236" s="17" t="s">
        <v>3020</v>
      </c>
      <c r="C236" s="17" t="s">
        <v>3021</v>
      </c>
      <c r="D236" s="17" t="s">
        <v>3022</v>
      </c>
      <c r="E236" s="17" t="s">
        <v>3023</v>
      </c>
      <c r="F236" s="17" t="s">
        <v>2037</v>
      </c>
      <c r="G236" s="17" t="s">
        <v>1941</v>
      </c>
      <c r="H236" s="17">
        <v>10150</v>
      </c>
      <c r="I236" t="s">
        <v>1951</v>
      </c>
    </row>
    <row r="237" spans="1:9" x14ac:dyDescent="0.25">
      <c r="A237" s="17" t="s">
        <v>486</v>
      </c>
      <c r="B237" s="17" t="s">
        <v>3024</v>
      </c>
      <c r="C237" s="22" t="s">
        <v>6197</v>
      </c>
      <c r="D237" s="17" t="s">
        <v>6197</v>
      </c>
      <c r="E237" s="17" t="s">
        <v>3025</v>
      </c>
      <c r="F237" s="17" t="s">
        <v>3026</v>
      </c>
      <c r="G237" s="17" t="s">
        <v>1949</v>
      </c>
      <c r="H237" s="17" t="s">
        <v>3027</v>
      </c>
      <c r="I237" t="s">
        <v>1951</v>
      </c>
    </row>
    <row r="238" spans="1:9" x14ac:dyDescent="0.25">
      <c r="A238" s="17" t="s">
        <v>488</v>
      </c>
      <c r="B238" s="17" t="s">
        <v>3028</v>
      </c>
      <c r="C238" s="17" t="s">
        <v>3029</v>
      </c>
      <c r="D238" s="17" t="s">
        <v>3030</v>
      </c>
      <c r="E238" s="17" t="s">
        <v>3031</v>
      </c>
      <c r="F238" s="17" t="s">
        <v>3032</v>
      </c>
      <c r="G238" s="17" t="s">
        <v>1949</v>
      </c>
      <c r="H238" s="17" t="s">
        <v>3033</v>
      </c>
      <c r="I238" t="s">
        <v>1951</v>
      </c>
    </row>
    <row r="239" spans="1:9" x14ac:dyDescent="0.25">
      <c r="A239" s="17" t="s">
        <v>490</v>
      </c>
      <c r="B239" s="17" t="s">
        <v>3034</v>
      </c>
      <c r="C239" s="22" t="s">
        <v>6197</v>
      </c>
      <c r="D239" s="17" t="s">
        <v>3035</v>
      </c>
      <c r="E239" s="17" t="s">
        <v>3036</v>
      </c>
      <c r="F239" s="17" t="s">
        <v>3037</v>
      </c>
      <c r="G239" s="17" t="s">
        <v>1941</v>
      </c>
      <c r="H239" s="17">
        <v>45218</v>
      </c>
      <c r="I239" t="s">
        <v>1942</v>
      </c>
    </row>
    <row r="240" spans="1:9" x14ac:dyDescent="0.25">
      <c r="A240" s="17" t="s">
        <v>492</v>
      </c>
      <c r="B240" s="17" t="s">
        <v>3038</v>
      </c>
      <c r="C240" s="17" t="s">
        <v>3039</v>
      </c>
      <c r="D240" s="17" t="s">
        <v>3040</v>
      </c>
      <c r="E240" s="17" t="s">
        <v>3041</v>
      </c>
      <c r="F240" s="17" t="s">
        <v>2320</v>
      </c>
      <c r="G240" s="17" t="s">
        <v>1941</v>
      </c>
      <c r="H240" s="17">
        <v>48670</v>
      </c>
      <c r="I240" t="s">
        <v>1942</v>
      </c>
    </row>
    <row r="241" spans="1:9" x14ac:dyDescent="0.25">
      <c r="A241" s="17" t="s">
        <v>494</v>
      </c>
      <c r="B241" s="17" t="s">
        <v>3042</v>
      </c>
      <c r="C241" s="17" t="s">
        <v>3043</v>
      </c>
      <c r="D241" s="17" t="s">
        <v>3044</v>
      </c>
      <c r="E241" s="17" t="s">
        <v>3045</v>
      </c>
      <c r="F241" s="17" t="s">
        <v>3046</v>
      </c>
      <c r="G241" s="17" t="s">
        <v>1941</v>
      </c>
      <c r="H241" s="17">
        <v>82007</v>
      </c>
      <c r="I241" t="s">
        <v>1951</v>
      </c>
    </row>
    <row r="242" spans="1:9" x14ac:dyDescent="0.25">
      <c r="A242" s="17" t="s">
        <v>496</v>
      </c>
      <c r="B242" s="17" t="s">
        <v>3047</v>
      </c>
      <c r="C242" s="22" t="s">
        <v>6197</v>
      </c>
      <c r="D242" s="17" t="s">
        <v>6197</v>
      </c>
      <c r="E242" s="17" t="s">
        <v>3048</v>
      </c>
      <c r="F242" s="17" t="s">
        <v>3049</v>
      </c>
      <c r="G242" s="17" t="s">
        <v>1941</v>
      </c>
      <c r="H242" s="17">
        <v>31119</v>
      </c>
      <c r="I242" t="s">
        <v>1942</v>
      </c>
    </row>
    <row r="243" spans="1:9" x14ac:dyDescent="0.25">
      <c r="A243" s="17" t="s">
        <v>498</v>
      </c>
      <c r="B243" s="17" t="s">
        <v>3050</v>
      </c>
      <c r="C243" s="22" t="s">
        <v>6197</v>
      </c>
      <c r="D243" s="17" t="s">
        <v>3051</v>
      </c>
      <c r="E243" s="17" t="s">
        <v>3052</v>
      </c>
      <c r="F243" s="17" t="s">
        <v>3053</v>
      </c>
      <c r="G243" s="17" t="s">
        <v>1941</v>
      </c>
      <c r="H243" s="17">
        <v>30096</v>
      </c>
      <c r="I243" t="s">
        <v>1951</v>
      </c>
    </row>
    <row r="244" spans="1:9" x14ac:dyDescent="0.25">
      <c r="A244" s="17" t="s">
        <v>500</v>
      </c>
      <c r="B244" s="17" t="s">
        <v>3054</v>
      </c>
      <c r="C244" s="17" t="s">
        <v>3055</v>
      </c>
      <c r="D244" s="17" t="s">
        <v>3056</v>
      </c>
      <c r="E244" s="17" t="s">
        <v>3057</v>
      </c>
      <c r="F244" s="17" t="s">
        <v>2999</v>
      </c>
      <c r="G244" s="17" t="s">
        <v>1941</v>
      </c>
      <c r="H244" s="17">
        <v>94250</v>
      </c>
      <c r="I244" t="s">
        <v>1942</v>
      </c>
    </row>
    <row r="245" spans="1:9" x14ac:dyDescent="0.25">
      <c r="A245" s="17" t="s">
        <v>502</v>
      </c>
      <c r="B245" s="17" t="s">
        <v>3058</v>
      </c>
      <c r="C245" s="17" t="s">
        <v>3059</v>
      </c>
      <c r="D245" s="17" t="s">
        <v>3060</v>
      </c>
      <c r="E245" s="17" t="s">
        <v>3061</v>
      </c>
      <c r="F245" s="17" t="s">
        <v>2220</v>
      </c>
      <c r="G245" s="17" t="s">
        <v>1941</v>
      </c>
      <c r="H245" s="17">
        <v>33661</v>
      </c>
      <c r="I245" t="s">
        <v>1942</v>
      </c>
    </row>
    <row r="246" spans="1:9" x14ac:dyDescent="0.25">
      <c r="A246" s="17" t="s">
        <v>504</v>
      </c>
      <c r="B246" s="17" t="s">
        <v>3062</v>
      </c>
      <c r="C246" s="17" t="s">
        <v>3063</v>
      </c>
      <c r="D246" s="17" t="s">
        <v>3064</v>
      </c>
      <c r="E246" s="17" t="s">
        <v>3065</v>
      </c>
      <c r="F246" s="17" t="s">
        <v>2592</v>
      </c>
      <c r="G246" s="17" t="s">
        <v>1941</v>
      </c>
      <c r="H246" s="17">
        <v>96805</v>
      </c>
      <c r="I246" t="s">
        <v>1951</v>
      </c>
    </row>
    <row r="247" spans="1:9" x14ac:dyDescent="0.25">
      <c r="A247" s="17" t="s">
        <v>506</v>
      </c>
      <c r="B247" s="17" t="s">
        <v>3066</v>
      </c>
      <c r="C247" s="17" t="s">
        <v>3067</v>
      </c>
      <c r="D247" s="17" t="s">
        <v>3068</v>
      </c>
      <c r="E247" s="17" t="s">
        <v>3069</v>
      </c>
      <c r="F247" s="17" t="s">
        <v>3070</v>
      </c>
      <c r="G247" s="17" t="s">
        <v>1941</v>
      </c>
      <c r="H247" s="17">
        <v>70820</v>
      </c>
      <c r="I247" t="s">
        <v>1942</v>
      </c>
    </row>
    <row r="248" spans="1:9" x14ac:dyDescent="0.25">
      <c r="A248" s="17" t="s">
        <v>508</v>
      </c>
      <c r="B248" s="17" t="s">
        <v>3071</v>
      </c>
      <c r="C248" s="17" t="s">
        <v>3072</v>
      </c>
      <c r="D248" s="17" t="s">
        <v>3073</v>
      </c>
      <c r="E248" s="17" t="s">
        <v>3074</v>
      </c>
      <c r="F248" s="17" t="s">
        <v>3075</v>
      </c>
      <c r="G248" s="17" t="s">
        <v>2116</v>
      </c>
      <c r="H248" s="17" t="s">
        <v>3076</v>
      </c>
      <c r="I248" t="s">
        <v>1951</v>
      </c>
    </row>
    <row r="249" spans="1:9" x14ac:dyDescent="0.25">
      <c r="A249" s="17" t="s">
        <v>510</v>
      </c>
      <c r="B249" s="17" t="s">
        <v>3077</v>
      </c>
      <c r="C249" s="22" t="s">
        <v>6197</v>
      </c>
      <c r="D249" s="17" t="s">
        <v>3078</v>
      </c>
      <c r="E249" s="17" t="s">
        <v>3079</v>
      </c>
      <c r="F249" s="17" t="s">
        <v>3080</v>
      </c>
      <c r="G249" s="17" t="s">
        <v>1949</v>
      </c>
      <c r="H249" s="17" t="s">
        <v>3081</v>
      </c>
      <c r="I249" t="s">
        <v>1942</v>
      </c>
    </row>
    <row r="250" spans="1:9" x14ac:dyDescent="0.25">
      <c r="A250" s="17" t="s">
        <v>512</v>
      </c>
      <c r="B250" s="17" t="s">
        <v>3082</v>
      </c>
      <c r="C250" s="17" t="s">
        <v>3083</v>
      </c>
      <c r="D250" s="17" t="s">
        <v>3084</v>
      </c>
      <c r="E250" s="17" t="s">
        <v>3085</v>
      </c>
      <c r="F250" s="17" t="s">
        <v>2137</v>
      </c>
      <c r="G250" s="17" t="s">
        <v>1941</v>
      </c>
      <c r="H250" s="17">
        <v>55458</v>
      </c>
      <c r="I250" t="s">
        <v>1942</v>
      </c>
    </row>
    <row r="251" spans="1:9" x14ac:dyDescent="0.25">
      <c r="A251" s="17" t="s">
        <v>3086</v>
      </c>
      <c r="B251" s="17" t="s">
        <v>3087</v>
      </c>
      <c r="C251" s="22" t="s">
        <v>6197</v>
      </c>
      <c r="D251" s="17" t="s">
        <v>3088</v>
      </c>
      <c r="E251" s="17" t="s">
        <v>3089</v>
      </c>
      <c r="F251" s="17" t="s">
        <v>3090</v>
      </c>
      <c r="G251" s="17" t="s">
        <v>1941</v>
      </c>
      <c r="H251" s="17">
        <v>94159</v>
      </c>
      <c r="I251" t="s">
        <v>1951</v>
      </c>
    </row>
    <row r="252" spans="1:9" x14ac:dyDescent="0.25">
      <c r="A252" s="17" t="s">
        <v>516</v>
      </c>
      <c r="B252" s="17" t="s">
        <v>3091</v>
      </c>
      <c r="C252" s="17" t="s">
        <v>3092</v>
      </c>
      <c r="D252" s="17" t="s">
        <v>3093</v>
      </c>
      <c r="E252" s="17" t="s">
        <v>3094</v>
      </c>
      <c r="F252" s="17" t="s">
        <v>2300</v>
      </c>
      <c r="G252" s="17" t="s">
        <v>1941</v>
      </c>
      <c r="H252" s="17">
        <v>28225</v>
      </c>
      <c r="I252" t="s">
        <v>1942</v>
      </c>
    </row>
    <row r="253" spans="1:9" x14ac:dyDescent="0.25">
      <c r="A253" s="17" t="s">
        <v>518</v>
      </c>
      <c r="B253" s="17" t="s">
        <v>3095</v>
      </c>
      <c r="C253" s="17" t="s">
        <v>3096</v>
      </c>
      <c r="D253" s="17" t="s">
        <v>3097</v>
      </c>
      <c r="E253" s="17" t="s">
        <v>3098</v>
      </c>
      <c r="F253" s="17" t="s">
        <v>3099</v>
      </c>
      <c r="G253" s="17" t="s">
        <v>1941</v>
      </c>
      <c r="H253" s="17">
        <v>85099</v>
      </c>
      <c r="I253" t="s">
        <v>1942</v>
      </c>
    </row>
    <row r="254" spans="1:9" x14ac:dyDescent="0.25">
      <c r="A254" s="17" t="s">
        <v>520</v>
      </c>
      <c r="B254" s="17" t="s">
        <v>3100</v>
      </c>
      <c r="C254" s="22" t="s">
        <v>6197</v>
      </c>
      <c r="D254" s="17" t="s">
        <v>3101</v>
      </c>
      <c r="E254" s="17" t="s">
        <v>3102</v>
      </c>
      <c r="F254" s="17" t="s">
        <v>2099</v>
      </c>
      <c r="G254" s="17" t="s">
        <v>1941</v>
      </c>
      <c r="H254" s="17">
        <v>11407</v>
      </c>
      <c r="I254" t="s">
        <v>1951</v>
      </c>
    </row>
    <row r="255" spans="1:9" x14ac:dyDescent="0.25">
      <c r="A255" s="17" t="s">
        <v>522</v>
      </c>
      <c r="B255" s="17" t="s">
        <v>3103</v>
      </c>
      <c r="C255" s="17" t="s">
        <v>3104</v>
      </c>
      <c r="D255" s="17" t="s">
        <v>3105</v>
      </c>
      <c r="E255" s="17" t="s">
        <v>3106</v>
      </c>
      <c r="F255" s="17" t="s">
        <v>3107</v>
      </c>
      <c r="G255" s="17" t="s">
        <v>1941</v>
      </c>
      <c r="H255" s="17">
        <v>61825</v>
      </c>
      <c r="I255" t="s">
        <v>1951</v>
      </c>
    </row>
    <row r="256" spans="1:9" x14ac:dyDescent="0.25">
      <c r="A256" s="17" t="s">
        <v>524</v>
      </c>
      <c r="B256" s="17" t="s">
        <v>3108</v>
      </c>
      <c r="C256" s="17" t="s">
        <v>3109</v>
      </c>
      <c r="D256" s="17" t="s">
        <v>6197</v>
      </c>
      <c r="E256" s="17" t="s">
        <v>3110</v>
      </c>
      <c r="F256" s="17" t="s">
        <v>3111</v>
      </c>
      <c r="G256" s="17" t="s">
        <v>2116</v>
      </c>
      <c r="H256" s="17" t="s">
        <v>3112</v>
      </c>
      <c r="I256" t="s">
        <v>1951</v>
      </c>
    </row>
    <row r="257" spans="1:9" x14ac:dyDescent="0.25">
      <c r="A257" s="17" t="s">
        <v>526</v>
      </c>
      <c r="B257" s="17" t="s">
        <v>3113</v>
      </c>
      <c r="C257" s="17" t="s">
        <v>3114</v>
      </c>
      <c r="D257" s="17" t="s">
        <v>3115</v>
      </c>
      <c r="E257" s="17" t="s">
        <v>3116</v>
      </c>
      <c r="F257" s="17" t="s">
        <v>2140</v>
      </c>
      <c r="G257" s="17" t="s">
        <v>1941</v>
      </c>
      <c r="H257" s="17">
        <v>85715</v>
      </c>
      <c r="I257" t="s">
        <v>1951</v>
      </c>
    </row>
    <row r="258" spans="1:9" x14ac:dyDescent="0.25">
      <c r="A258" s="17" t="s">
        <v>514</v>
      </c>
      <c r="B258" s="17" t="s">
        <v>3117</v>
      </c>
      <c r="C258" s="17" t="s">
        <v>3118</v>
      </c>
      <c r="D258" s="17" t="s">
        <v>3119</v>
      </c>
      <c r="E258" s="17" t="s">
        <v>3120</v>
      </c>
      <c r="F258" s="17" t="s">
        <v>3121</v>
      </c>
      <c r="G258" s="17" t="s">
        <v>1941</v>
      </c>
      <c r="H258" s="17">
        <v>53205</v>
      </c>
      <c r="I258" t="s">
        <v>1942</v>
      </c>
    </row>
    <row r="259" spans="1:9" x14ac:dyDescent="0.25">
      <c r="A259" s="17" t="s">
        <v>529</v>
      </c>
      <c r="B259" s="17" t="s">
        <v>3122</v>
      </c>
      <c r="C259" s="17" t="s">
        <v>3123</v>
      </c>
      <c r="D259" s="17" t="s">
        <v>3124</v>
      </c>
      <c r="E259" s="17" t="s">
        <v>3125</v>
      </c>
      <c r="F259" s="17" t="s">
        <v>2861</v>
      </c>
      <c r="G259" s="17" t="s">
        <v>1941</v>
      </c>
      <c r="H259" s="17">
        <v>33064</v>
      </c>
      <c r="I259" t="s">
        <v>1942</v>
      </c>
    </row>
    <row r="260" spans="1:9" x14ac:dyDescent="0.25">
      <c r="A260" s="17" t="s">
        <v>532</v>
      </c>
      <c r="B260" s="17" t="s">
        <v>3126</v>
      </c>
      <c r="C260" s="17" t="s">
        <v>3127</v>
      </c>
      <c r="D260" s="17" t="s">
        <v>3128</v>
      </c>
      <c r="E260" s="17" t="s">
        <v>3129</v>
      </c>
      <c r="F260" s="17" t="s">
        <v>2758</v>
      </c>
      <c r="G260" s="17" t="s">
        <v>1941</v>
      </c>
      <c r="H260" s="17">
        <v>90610</v>
      </c>
      <c r="I260" t="s">
        <v>1951</v>
      </c>
    </row>
    <row r="261" spans="1:9" x14ac:dyDescent="0.25">
      <c r="A261" s="17" t="s">
        <v>534</v>
      </c>
      <c r="B261" s="17" t="s">
        <v>3130</v>
      </c>
      <c r="C261" s="17" t="s">
        <v>3131</v>
      </c>
      <c r="D261" s="17" t="s">
        <v>3132</v>
      </c>
      <c r="E261" s="17" t="s">
        <v>3133</v>
      </c>
      <c r="F261" s="17" t="s">
        <v>3134</v>
      </c>
      <c r="G261" s="17" t="s">
        <v>2116</v>
      </c>
      <c r="H261" s="17" t="s">
        <v>3135</v>
      </c>
      <c r="I261" t="s">
        <v>1951</v>
      </c>
    </row>
    <row r="262" spans="1:9" x14ac:dyDescent="0.25">
      <c r="A262" s="17" t="s">
        <v>536</v>
      </c>
      <c r="B262" s="17" t="s">
        <v>3136</v>
      </c>
      <c r="C262" s="17" t="s">
        <v>3137</v>
      </c>
      <c r="D262" s="17" t="s">
        <v>6197</v>
      </c>
      <c r="E262" s="17" t="s">
        <v>3138</v>
      </c>
      <c r="F262" s="17" t="s">
        <v>2013</v>
      </c>
      <c r="G262" s="17" t="s">
        <v>1941</v>
      </c>
      <c r="H262" s="17">
        <v>63180</v>
      </c>
      <c r="I262" t="s">
        <v>1942</v>
      </c>
    </row>
    <row r="263" spans="1:9" x14ac:dyDescent="0.25">
      <c r="A263" s="17" t="s">
        <v>538</v>
      </c>
      <c r="B263" s="17" t="s">
        <v>3139</v>
      </c>
      <c r="C263" s="17" t="s">
        <v>3140</v>
      </c>
      <c r="D263" s="17" t="s">
        <v>3141</v>
      </c>
      <c r="E263" s="17" t="s">
        <v>3142</v>
      </c>
      <c r="F263" s="17" t="s">
        <v>3143</v>
      </c>
      <c r="G263" s="17" t="s">
        <v>1941</v>
      </c>
      <c r="H263" s="17">
        <v>16522</v>
      </c>
      <c r="I263" t="s">
        <v>1942</v>
      </c>
    </row>
    <row r="264" spans="1:9" x14ac:dyDescent="0.25">
      <c r="A264" s="17" t="s">
        <v>540</v>
      </c>
      <c r="B264" s="17" t="s">
        <v>3144</v>
      </c>
      <c r="C264" s="17" t="s">
        <v>3145</v>
      </c>
      <c r="D264" s="17" t="s">
        <v>3146</v>
      </c>
      <c r="E264" s="17" t="s">
        <v>3147</v>
      </c>
      <c r="F264" s="17" t="s">
        <v>3148</v>
      </c>
      <c r="G264" s="17" t="s">
        <v>1941</v>
      </c>
      <c r="H264" s="17">
        <v>98464</v>
      </c>
      <c r="I264" t="s">
        <v>1951</v>
      </c>
    </row>
    <row r="265" spans="1:9" x14ac:dyDescent="0.25">
      <c r="A265" s="17" t="s">
        <v>542</v>
      </c>
      <c r="B265" s="17" t="s">
        <v>3149</v>
      </c>
      <c r="C265" s="22" t="s">
        <v>6197</v>
      </c>
      <c r="D265" s="17" t="s">
        <v>3150</v>
      </c>
      <c r="E265" s="17" t="s">
        <v>3151</v>
      </c>
      <c r="F265" s="17" t="s">
        <v>2004</v>
      </c>
      <c r="G265" s="17" t="s">
        <v>1941</v>
      </c>
      <c r="H265" s="17">
        <v>23277</v>
      </c>
      <c r="I265" t="s">
        <v>1951</v>
      </c>
    </row>
    <row r="266" spans="1:9" x14ac:dyDescent="0.25">
      <c r="A266" s="17" t="s">
        <v>544</v>
      </c>
      <c r="B266" s="17" t="s">
        <v>3152</v>
      </c>
      <c r="C266" s="22" t="s">
        <v>6197</v>
      </c>
      <c r="D266" s="17" t="s">
        <v>3153</v>
      </c>
      <c r="E266" s="17" t="s">
        <v>3154</v>
      </c>
      <c r="F266" s="17" t="s">
        <v>3155</v>
      </c>
      <c r="G266" s="17" t="s">
        <v>1949</v>
      </c>
      <c r="H266" s="17" t="s">
        <v>2545</v>
      </c>
      <c r="I266" t="s">
        <v>1942</v>
      </c>
    </row>
    <row r="267" spans="1:9" x14ac:dyDescent="0.25">
      <c r="A267" s="17" t="s">
        <v>546</v>
      </c>
      <c r="B267" s="17" t="s">
        <v>3156</v>
      </c>
      <c r="C267" s="17" t="s">
        <v>3157</v>
      </c>
      <c r="D267" s="17" t="s">
        <v>3158</v>
      </c>
      <c r="E267" s="17" t="s">
        <v>3159</v>
      </c>
      <c r="F267" s="17" t="s">
        <v>2127</v>
      </c>
      <c r="G267" s="17" t="s">
        <v>1941</v>
      </c>
      <c r="H267" s="17">
        <v>72204</v>
      </c>
      <c r="I267" t="s">
        <v>1942</v>
      </c>
    </row>
    <row r="268" spans="1:9" x14ac:dyDescent="0.25">
      <c r="A268" s="17" t="s">
        <v>548</v>
      </c>
      <c r="B268" s="17" t="s">
        <v>3160</v>
      </c>
      <c r="C268" s="17" t="s">
        <v>3161</v>
      </c>
      <c r="D268" s="17" t="s">
        <v>3162</v>
      </c>
      <c r="E268" s="17" t="s">
        <v>3163</v>
      </c>
      <c r="F268" s="17" t="s">
        <v>3164</v>
      </c>
      <c r="G268" s="17" t="s">
        <v>2116</v>
      </c>
      <c r="H268" s="17" t="s">
        <v>3165</v>
      </c>
      <c r="I268" t="s">
        <v>1951</v>
      </c>
    </row>
    <row r="269" spans="1:9" x14ac:dyDescent="0.25">
      <c r="A269" s="17" t="s">
        <v>550</v>
      </c>
      <c r="B269" s="17" t="s">
        <v>3166</v>
      </c>
      <c r="C269" s="17" t="s">
        <v>3167</v>
      </c>
      <c r="D269" s="17" t="s">
        <v>3168</v>
      </c>
      <c r="E269" s="17" t="s">
        <v>3169</v>
      </c>
      <c r="F269" s="17" t="s">
        <v>2748</v>
      </c>
      <c r="G269" s="17" t="s">
        <v>1941</v>
      </c>
      <c r="H269" s="17">
        <v>89436</v>
      </c>
      <c r="I269" t="s">
        <v>1942</v>
      </c>
    </row>
    <row r="270" spans="1:9" x14ac:dyDescent="0.25">
      <c r="A270" s="17" t="s">
        <v>3170</v>
      </c>
      <c r="B270" s="17" t="s">
        <v>3171</v>
      </c>
      <c r="C270" s="22" t="s">
        <v>6197</v>
      </c>
      <c r="D270" s="17" t="s">
        <v>3172</v>
      </c>
      <c r="E270" s="17" t="s">
        <v>3173</v>
      </c>
      <c r="F270" s="17" t="s">
        <v>3174</v>
      </c>
      <c r="G270" s="17" t="s">
        <v>1941</v>
      </c>
      <c r="H270" s="17">
        <v>77806</v>
      </c>
      <c r="I270" t="s">
        <v>1942</v>
      </c>
    </row>
    <row r="271" spans="1:9" x14ac:dyDescent="0.25">
      <c r="A271" s="17" t="s">
        <v>553</v>
      </c>
      <c r="B271" s="17" t="s">
        <v>3175</v>
      </c>
      <c r="C271" s="17" t="s">
        <v>3176</v>
      </c>
      <c r="D271" s="17" t="s">
        <v>3177</v>
      </c>
      <c r="E271" s="17" t="s">
        <v>3178</v>
      </c>
      <c r="F271" s="17" t="s">
        <v>3179</v>
      </c>
      <c r="G271" s="17" t="s">
        <v>1941</v>
      </c>
      <c r="H271" s="17">
        <v>76210</v>
      </c>
      <c r="I271" t="s">
        <v>1951</v>
      </c>
    </row>
    <row r="272" spans="1:9" x14ac:dyDescent="0.25">
      <c r="A272" s="17" t="s">
        <v>555</v>
      </c>
      <c r="B272" s="17" t="s">
        <v>3180</v>
      </c>
      <c r="C272" s="22" t="s">
        <v>6197</v>
      </c>
      <c r="D272" s="17" t="s">
        <v>6197</v>
      </c>
      <c r="E272" s="17" t="s">
        <v>3181</v>
      </c>
      <c r="F272" s="17" t="s">
        <v>3182</v>
      </c>
      <c r="G272" s="17" t="s">
        <v>1949</v>
      </c>
      <c r="H272" s="17" t="s">
        <v>3183</v>
      </c>
      <c r="I272" t="s">
        <v>1942</v>
      </c>
    </row>
    <row r="273" spans="1:9" x14ac:dyDescent="0.25">
      <c r="A273" s="17" t="s">
        <v>557</v>
      </c>
      <c r="B273" s="17" t="s">
        <v>3184</v>
      </c>
      <c r="C273" s="17" t="s">
        <v>3185</v>
      </c>
      <c r="D273" s="17" t="s">
        <v>3186</v>
      </c>
      <c r="E273" s="17" t="s">
        <v>3187</v>
      </c>
      <c r="F273" s="17" t="s">
        <v>3188</v>
      </c>
      <c r="G273" s="17" t="s">
        <v>1941</v>
      </c>
      <c r="H273" s="17">
        <v>27635</v>
      </c>
      <c r="I273" t="s">
        <v>1942</v>
      </c>
    </row>
    <row r="274" spans="1:9" x14ac:dyDescent="0.25">
      <c r="A274" s="17" t="s">
        <v>559</v>
      </c>
      <c r="B274" s="17" t="s">
        <v>3189</v>
      </c>
      <c r="C274" s="17" t="s">
        <v>3190</v>
      </c>
      <c r="D274" s="17" t="s">
        <v>3191</v>
      </c>
      <c r="E274" s="17" t="s">
        <v>3192</v>
      </c>
      <c r="F274" s="17" t="s">
        <v>3193</v>
      </c>
      <c r="G274" s="17" t="s">
        <v>1949</v>
      </c>
      <c r="H274" s="17" t="s">
        <v>3194</v>
      </c>
      <c r="I274" t="s">
        <v>1942</v>
      </c>
    </row>
    <row r="275" spans="1:9" x14ac:dyDescent="0.25">
      <c r="A275" s="17" t="s">
        <v>561</v>
      </c>
      <c r="B275" s="17" t="s">
        <v>3195</v>
      </c>
      <c r="C275" s="17" t="s">
        <v>3196</v>
      </c>
      <c r="D275" s="17" t="s">
        <v>3197</v>
      </c>
      <c r="E275" s="17" t="s">
        <v>3198</v>
      </c>
      <c r="F275" s="17" t="s">
        <v>2037</v>
      </c>
      <c r="G275" s="17" t="s">
        <v>1941</v>
      </c>
      <c r="H275" s="17">
        <v>10105</v>
      </c>
      <c r="I275" t="s">
        <v>1951</v>
      </c>
    </row>
    <row r="276" spans="1:9" x14ac:dyDescent="0.25">
      <c r="A276" s="17" t="s">
        <v>563</v>
      </c>
      <c r="B276" s="17" t="s">
        <v>3199</v>
      </c>
      <c r="C276" s="17" t="s">
        <v>3200</v>
      </c>
      <c r="D276" s="17" t="s">
        <v>3201</v>
      </c>
      <c r="E276" s="17" t="s">
        <v>3202</v>
      </c>
      <c r="F276" s="17" t="s">
        <v>2525</v>
      </c>
      <c r="G276" s="17" t="s">
        <v>1941</v>
      </c>
      <c r="H276" s="17">
        <v>6905</v>
      </c>
      <c r="I276" t="s">
        <v>1951</v>
      </c>
    </row>
    <row r="277" spans="1:9" x14ac:dyDescent="0.25">
      <c r="A277" s="17" t="s">
        <v>565</v>
      </c>
      <c r="B277" s="17" t="s">
        <v>3203</v>
      </c>
      <c r="C277" s="17" t="s">
        <v>3204</v>
      </c>
      <c r="D277" s="17" t="s">
        <v>3205</v>
      </c>
      <c r="E277" s="17" t="s">
        <v>3206</v>
      </c>
      <c r="F277" s="17" t="s">
        <v>2211</v>
      </c>
      <c r="G277" s="17" t="s">
        <v>1941</v>
      </c>
      <c r="H277" s="17">
        <v>43666</v>
      </c>
      <c r="I277" t="s">
        <v>1951</v>
      </c>
    </row>
    <row r="278" spans="1:9" x14ac:dyDescent="0.25">
      <c r="A278" s="17" t="s">
        <v>567</v>
      </c>
      <c r="B278" s="17" t="s">
        <v>3207</v>
      </c>
      <c r="C278" s="17" t="s">
        <v>3208</v>
      </c>
      <c r="D278" s="17" t="s">
        <v>3209</v>
      </c>
      <c r="E278" s="17" t="s">
        <v>3210</v>
      </c>
      <c r="F278" s="17" t="s">
        <v>3211</v>
      </c>
      <c r="G278" s="17" t="s">
        <v>1949</v>
      </c>
      <c r="H278" s="17" t="s">
        <v>3212</v>
      </c>
      <c r="I278" t="s">
        <v>1942</v>
      </c>
    </row>
    <row r="279" spans="1:9" x14ac:dyDescent="0.25">
      <c r="A279" s="17" t="s">
        <v>569</v>
      </c>
      <c r="B279" s="17" t="s">
        <v>3213</v>
      </c>
      <c r="C279" s="17" t="s">
        <v>3214</v>
      </c>
      <c r="D279" s="17" t="s">
        <v>3215</v>
      </c>
      <c r="E279" s="17" t="s">
        <v>3216</v>
      </c>
      <c r="F279" s="17" t="s">
        <v>3217</v>
      </c>
      <c r="G279" s="17" t="s">
        <v>1941</v>
      </c>
      <c r="H279" s="17">
        <v>65211</v>
      </c>
      <c r="I279" t="s">
        <v>1951</v>
      </c>
    </row>
    <row r="280" spans="1:9" x14ac:dyDescent="0.25">
      <c r="A280" s="17" t="s">
        <v>571</v>
      </c>
      <c r="B280" s="17" t="s">
        <v>3218</v>
      </c>
      <c r="C280" s="17" t="s">
        <v>3219</v>
      </c>
      <c r="D280" s="17" t="s">
        <v>3220</v>
      </c>
      <c r="E280" s="17" t="s">
        <v>3221</v>
      </c>
      <c r="F280" s="17" t="s">
        <v>2238</v>
      </c>
      <c r="G280" s="17" t="s">
        <v>1941</v>
      </c>
      <c r="H280" s="17">
        <v>46852</v>
      </c>
      <c r="I280" t="s">
        <v>1942</v>
      </c>
    </row>
    <row r="281" spans="1:9" x14ac:dyDescent="0.25">
      <c r="A281" s="17" t="s">
        <v>573</v>
      </c>
      <c r="B281" s="17" t="s">
        <v>3222</v>
      </c>
      <c r="C281" s="17" t="s">
        <v>3223</v>
      </c>
      <c r="D281" s="17" t="s">
        <v>3224</v>
      </c>
      <c r="E281" s="17" t="s">
        <v>3225</v>
      </c>
      <c r="F281" s="17" t="s">
        <v>2013</v>
      </c>
      <c r="G281" s="17" t="s">
        <v>1941</v>
      </c>
      <c r="H281" s="17">
        <v>63143</v>
      </c>
      <c r="I281" t="s">
        <v>1942</v>
      </c>
    </row>
    <row r="282" spans="1:9" x14ac:dyDescent="0.25">
      <c r="A282" s="17" t="s">
        <v>575</v>
      </c>
      <c r="B282" s="17" t="s">
        <v>3226</v>
      </c>
      <c r="C282" s="22" t="s">
        <v>6197</v>
      </c>
      <c r="D282" s="17" t="s">
        <v>3227</v>
      </c>
      <c r="E282" s="17" t="s">
        <v>3228</v>
      </c>
      <c r="F282" s="17" t="s">
        <v>2022</v>
      </c>
      <c r="G282" s="17" t="s">
        <v>1941</v>
      </c>
      <c r="H282" s="17">
        <v>97211</v>
      </c>
      <c r="I282" t="s">
        <v>1942</v>
      </c>
    </row>
    <row r="283" spans="1:9" x14ac:dyDescent="0.25">
      <c r="A283" s="17" t="s">
        <v>577</v>
      </c>
      <c r="B283" s="17" t="s">
        <v>3229</v>
      </c>
      <c r="C283" s="17" t="s">
        <v>3230</v>
      </c>
      <c r="D283" s="17" t="s">
        <v>3231</v>
      </c>
      <c r="E283" s="17" t="s">
        <v>3232</v>
      </c>
      <c r="F283" s="17" t="s">
        <v>3233</v>
      </c>
      <c r="G283" s="17" t="s">
        <v>1941</v>
      </c>
      <c r="H283" s="17">
        <v>80305</v>
      </c>
      <c r="I283" t="s">
        <v>1942</v>
      </c>
    </row>
    <row r="284" spans="1:9" x14ac:dyDescent="0.25">
      <c r="A284" s="17" t="s">
        <v>579</v>
      </c>
      <c r="B284" s="17" t="s">
        <v>3234</v>
      </c>
      <c r="C284" s="17" t="s">
        <v>3235</v>
      </c>
      <c r="D284" s="17" t="s">
        <v>3236</v>
      </c>
      <c r="E284" s="17" t="s">
        <v>3237</v>
      </c>
      <c r="F284" s="17" t="s">
        <v>3238</v>
      </c>
      <c r="G284" s="17" t="s">
        <v>2116</v>
      </c>
      <c r="H284" s="17" t="s">
        <v>3239</v>
      </c>
      <c r="I284" t="s">
        <v>1951</v>
      </c>
    </row>
    <row r="285" spans="1:9" x14ac:dyDescent="0.25">
      <c r="A285" s="17" t="s">
        <v>581</v>
      </c>
      <c r="B285" s="17" t="s">
        <v>3240</v>
      </c>
      <c r="C285" s="17" t="s">
        <v>3241</v>
      </c>
      <c r="D285" s="17" t="s">
        <v>3242</v>
      </c>
      <c r="E285" s="17" t="s">
        <v>3243</v>
      </c>
      <c r="F285" s="17" t="s">
        <v>3134</v>
      </c>
      <c r="G285" s="17" t="s">
        <v>2116</v>
      </c>
      <c r="H285" s="17" t="s">
        <v>3135</v>
      </c>
      <c r="I285" t="s">
        <v>1942</v>
      </c>
    </row>
    <row r="286" spans="1:9" x14ac:dyDescent="0.25">
      <c r="A286" s="17" t="s">
        <v>583</v>
      </c>
      <c r="B286" s="17" t="s">
        <v>3244</v>
      </c>
      <c r="C286" s="22" t="s">
        <v>6197</v>
      </c>
      <c r="D286" s="17" t="s">
        <v>3245</v>
      </c>
      <c r="E286" s="17" t="s">
        <v>3246</v>
      </c>
      <c r="F286" s="17" t="s">
        <v>3247</v>
      </c>
      <c r="G286" s="17" t="s">
        <v>1941</v>
      </c>
      <c r="H286" s="17">
        <v>40298</v>
      </c>
      <c r="I286" t="s">
        <v>1951</v>
      </c>
    </row>
    <row r="287" spans="1:9" x14ac:dyDescent="0.25">
      <c r="A287" s="17" t="s">
        <v>585</v>
      </c>
      <c r="B287" s="17" t="s">
        <v>3248</v>
      </c>
      <c r="C287" s="22" t="s">
        <v>6197</v>
      </c>
      <c r="D287" s="17" t="s">
        <v>3249</v>
      </c>
      <c r="E287" s="17" t="s">
        <v>3250</v>
      </c>
      <c r="F287" s="17" t="s">
        <v>2350</v>
      </c>
      <c r="G287" s="17" t="s">
        <v>1941</v>
      </c>
      <c r="H287" s="17">
        <v>14276</v>
      </c>
      <c r="I287" t="s">
        <v>1951</v>
      </c>
    </row>
    <row r="288" spans="1:9" x14ac:dyDescent="0.25">
      <c r="A288" s="17" t="s">
        <v>587</v>
      </c>
      <c r="B288" s="17" t="s">
        <v>3251</v>
      </c>
      <c r="C288" s="17" t="s">
        <v>3252</v>
      </c>
      <c r="D288" s="17" t="s">
        <v>6197</v>
      </c>
      <c r="E288" s="17" t="s">
        <v>3253</v>
      </c>
      <c r="F288" s="17" t="s">
        <v>3254</v>
      </c>
      <c r="G288" s="17" t="s">
        <v>1941</v>
      </c>
      <c r="H288" s="17">
        <v>44710</v>
      </c>
      <c r="I288" t="s">
        <v>1942</v>
      </c>
    </row>
    <row r="289" spans="1:9" x14ac:dyDescent="0.25">
      <c r="A289" s="17" t="s">
        <v>589</v>
      </c>
      <c r="B289" s="17" t="s">
        <v>3255</v>
      </c>
      <c r="C289" s="17" t="s">
        <v>3256</v>
      </c>
      <c r="D289" s="17" t="s">
        <v>3257</v>
      </c>
      <c r="E289" s="17" t="s">
        <v>3258</v>
      </c>
      <c r="F289" s="17" t="s">
        <v>2158</v>
      </c>
      <c r="G289" s="17" t="s">
        <v>1941</v>
      </c>
      <c r="H289" s="17">
        <v>2114</v>
      </c>
      <c r="I289" t="s">
        <v>1951</v>
      </c>
    </row>
    <row r="290" spans="1:9" x14ac:dyDescent="0.25">
      <c r="A290" s="17" t="s">
        <v>591</v>
      </c>
      <c r="B290" s="17" t="s">
        <v>3259</v>
      </c>
      <c r="C290" s="22" t="s">
        <v>6197</v>
      </c>
      <c r="D290" s="17" t="s">
        <v>3260</v>
      </c>
      <c r="E290" s="17" t="s">
        <v>3261</v>
      </c>
      <c r="F290" s="17" t="s">
        <v>3262</v>
      </c>
      <c r="G290" s="17" t="s">
        <v>1949</v>
      </c>
      <c r="H290" s="17" t="s">
        <v>3263</v>
      </c>
      <c r="I290" t="s">
        <v>1942</v>
      </c>
    </row>
    <row r="291" spans="1:9" x14ac:dyDescent="0.25">
      <c r="A291" s="17" t="s">
        <v>593</v>
      </c>
      <c r="B291" s="17" t="s">
        <v>3264</v>
      </c>
      <c r="C291" s="22" t="s">
        <v>6197</v>
      </c>
      <c r="D291" s="17" t="s">
        <v>6197</v>
      </c>
      <c r="E291" s="17" t="s">
        <v>3265</v>
      </c>
      <c r="F291" s="17" t="s">
        <v>3266</v>
      </c>
      <c r="G291" s="17" t="s">
        <v>1941</v>
      </c>
      <c r="H291" s="17">
        <v>24515</v>
      </c>
      <c r="I291" t="s">
        <v>1942</v>
      </c>
    </row>
    <row r="292" spans="1:9" x14ac:dyDescent="0.25">
      <c r="A292" s="17" t="s">
        <v>595</v>
      </c>
      <c r="B292" s="17" t="s">
        <v>3267</v>
      </c>
      <c r="C292" s="17" t="s">
        <v>3268</v>
      </c>
      <c r="D292" s="17" t="s">
        <v>3269</v>
      </c>
      <c r="E292" s="17" t="s">
        <v>3270</v>
      </c>
      <c r="F292" s="17" t="s">
        <v>1986</v>
      </c>
      <c r="G292" s="17" t="s">
        <v>1941</v>
      </c>
      <c r="H292" s="17">
        <v>90071</v>
      </c>
      <c r="I292" t="s">
        <v>1951</v>
      </c>
    </row>
    <row r="293" spans="1:9" x14ac:dyDescent="0.25">
      <c r="A293" s="17" t="s">
        <v>597</v>
      </c>
      <c r="B293" s="17" t="s">
        <v>3271</v>
      </c>
      <c r="C293" s="22" t="s">
        <v>6197</v>
      </c>
      <c r="D293" s="17" t="s">
        <v>6197</v>
      </c>
      <c r="E293" s="17" t="s">
        <v>3272</v>
      </c>
      <c r="F293" s="17" t="s">
        <v>2535</v>
      </c>
      <c r="G293" s="17" t="s">
        <v>1949</v>
      </c>
      <c r="H293" s="17" t="s">
        <v>2536</v>
      </c>
      <c r="I293" t="s">
        <v>1951</v>
      </c>
    </row>
    <row r="294" spans="1:9" x14ac:dyDescent="0.25">
      <c r="A294" s="17" t="s">
        <v>599</v>
      </c>
      <c r="B294" s="17" t="s">
        <v>3273</v>
      </c>
      <c r="C294" s="17" t="s">
        <v>3274</v>
      </c>
      <c r="D294" s="17" t="s">
        <v>6197</v>
      </c>
      <c r="E294" s="17" t="s">
        <v>3275</v>
      </c>
      <c r="F294" s="17" t="s">
        <v>2172</v>
      </c>
      <c r="G294" s="17" t="s">
        <v>1941</v>
      </c>
      <c r="H294" s="17">
        <v>35236</v>
      </c>
      <c r="I294" t="s">
        <v>1951</v>
      </c>
    </row>
    <row r="295" spans="1:9" x14ac:dyDescent="0.25">
      <c r="A295" s="17" t="s">
        <v>601</v>
      </c>
      <c r="B295" s="17" t="s">
        <v>3276</v>
      </c>
      <c r="C295" s="17" t="s">
        <v>3277</v>
      </c>
      <c r="D295" s="17" t="s">
        <v>3278</v>
      </c>
      <c r="E295" s="17" t="s">
        <v>3279</v>
      </c>
      <c r="F295" s="17" t="s">
        <v>2699</v>
      </c>
      <c r="G295" s="17" t="s">
        <v>1941</v>
      </c>
      <c r="H295" s="17">
        <v>22309</v>
      </c>
      <c r="I295" t="s">
        <v>1951</v>
      </c>
    </row>
    <row r="296" spans="1:9" x14ac:dyDescent="0.25">
      <c r="A296" s="17" t="s">
        <v>603</v>
      </c>
      <c r="B296" s="17" t="s">
        <v>3280</v>
      </c>
      <c r="C296" s="22" t="s">
        <v>6197</v>
      </c>
      <c r="D296" s="17" t="s">
        <v>3281</v>
      </c>
      <c r="E296" s="17" t="s">
        <v>3282</v>
      </c>
      <c r="F296" s="17" t="s">
        <v>3283</v>
      </c>
      <c r="G296" s="17" t="s">
        <v>1941</v>
      </c>
      <c r="H296" s="17">
        <v>6816</v>
      </c>
      <c r="I296" t="s">
        <v>1951</v>
      </c>
    </row>
    <row r="297" spans="1:9" x14ac:dyDescent="0.25">
      <c r="A297" s="17" t="s">
        <v>605</v>
      </c>
      <c r="B297" s="17" t="s">
        <v>3284</v>
      </c>
      <c r="C297" s="22" t="s">
        <v>6197</v>
      </c>
      <c r="D297" s="17" t="s">
        <v>6197</v>
      </c>
      <c r="E297" s="17" t="s">
        <v>3285</v>
      </c>
      <c r="F297" s="17" t="s">
        <v>2881</v>
      </c>
      <c r="G297" s="17" t="s">
        <v>1941</v>
      </c>
      <c r="H297" s="17">
        <v>12205</v>
      </c>
      <c r="I297" t="s">
        <v>1951</v>
      </c>
    </row>
    <row r="298" spans="1:9" x14ac:dyDescent="0.25">
      <c r="A298" s="17" t="s">
        <v>607</v>
      </c>
      <c r="B298" s="17" t="s">
        <v>3286</v>
      </c>
      <c r="C298" s="17" t="s">
        <v>3287</v>
      </c>
      <c r="D298" s="17" t="s">
        <v>3288</v>
      </c>
      <c r="E298" s="17" t="s">
        <v>3289</v>
      </c>
      <c r="F298" s="17" t="s">
        <v>2247</v>
      </c>
      <c r="G298" s="17" t="s">
        <v>1941</v>
      </c>
      <c r="H298" s="17">
        <v>34108</v>
      </c>
      <c r="I298" t="s">
        <v>1942</v>
      </c>
    </row>
    <row r="299" spans="1:9" x14ac:dyDescent="0.25">
      <c r="A299" s="17" t="s">
        <v>609</v>
      </c>
      <c r="B299" s="17" t="s">
        <v>3290</v>
      </c>
      <c r="C299" s="17" t="s">
        <v>3291</v>
      </c>
      <c r="D299" s="17" t="s">
        <v>3292</v>
      </c>
      <c r="E299" s="17" t="s">
        <v>3293</v>
      </c>
      <c r="F299" s="17" t="s">
        <v>3294</v>
      </c>
      <c r="G299" s="17" t="s">
        <v>1941</v>
      </c>
      <c r="H299" s="17">
        <v>33141</v>
      </c>
      <c r="I299" t="s">
        <v>1942</v>
      </c>
    </row>
    <row r="300" spans="1:9" x14ac:dyDescent="0.25">
      <c r="A300" s="17" t="s">
        <v>611</v>
      </c>
      <c r="B300" s="17" t="s">
        <v>3295</v>
      </c>
      <c r="C300" s="17" t="s">
        <v>3296</v>
      </c>
      <c r="D300" s="17" t="s">
        <v>3297</v>
      </c>
      <c r="E300" s="17" t="s">
        <v>3298</v>
      </c>
      <c r="F300" s="17" t="s">
        <v>3049</v>
      </c>
      <c r="G300" s="17" t="s">
        <v>1941</v>
      </c>
      <c r="H300" s="17">
        <v>30358</v>
      </c>
      <c r="I300" t="s">
        <v>1942</v>
      </c>
    </row>
    <row r="301" spans="1:9" x14ac:dyDescent="0.25">
      <c r="A301" s="17" t="s">
        <v>613</v>
      </c>
      <c r="B301" s="17" t="s">
        <v>3299</v>
      </c>
      <c r="C301" s="17" t="s">
        <v>3300</v>
      </c>
      <c r="D301" s="17" t="s">
        <v>3301</v>
      </c>
      <c r="E301" s="17" t="s">
        <v>3302</v>
      </c>
      <c r="F301" s="17" t="s">
        <v>3303</v>
      </c>
      <c r="G301" s="17" t="s">
        <v>1941</v>
      </c>
      <c r="H301" s="17">
        <v>78405</v>
      </c>
      <c r="I301" t="s">
        <v>1942</v>
      </c>
    </row>
    <row r="302" spans="1:9" x14ac:dyDescent="0.25">
      <c r="A302" s="17" t="s">
        <v>615</v>
      </c>
      <c r="B302" s="17" t="s">
        <v>3304</v>
      </c>
      <c r="C302" s="17" t="s">
        <v>3305</v>
      </c>
      <c r="D302" s="17" t="s">
        <v>3306</v>
      </c>
      <c r="E302" s="17" t="s">
        <v>3307</v>
      </c>
      <c r="F302" s="17" t="s">
        <v>2592</v>
      </c>
      <c r="G302" s="17" t="s">
        <v>1941</v>
      </c>
      <c r="H302" s="17">
        <v>96835</v>
      </c>
      <c r="I302" t="s">
        <v>1942</v>
      </c>
    </row>
    <row r="303" spans="1:9" x14ac:dyDescent="0.25">
      <c r="A303" s="17" t="s">
        <v>617</v>
      </c>
      <c r="B303" s="17" t="s">
        <v>3308</v>
      </c>
      <c r="C303" s="17" t="s">
        <v>3309</v>
      </c>
      <c r="D303" s="17" t="s">
        <v>3310</v>
      </c>
      <c r="E303" s="17" t="s">
        <v>3311</v>
      </c>
      <c r="F303" s="17" t="s">
        <v>2387</v>
      </c>
      <c r="G303" s="17" t="s">
        <v>1941</v>
      </c>
      <c r="H303" s="17">
        <v>78737</v>
      </c>
      <c r="I303" t="s">
        <v>1942</v>
      </c>
    </row>
    <row r="304" spans="1:9" x14ac:dyDescent="0.25">
      <c r="A304" s="17" t="s">
        <v>619</v>
      </c>
      <c r="B304" s="17" t="s">
        <v>3312</v>
      </c>
      <c r="C304" s="17" t="s">
        <v>3313</v>
      </c>
      <c r="D304" s="17" t="s">
        <v>3314</v>
      </c>
      <c r="E304" s="17" t="s">
        <v>3315</v>
      </c>
      <c r="F304" s="17" t="s">
        <v>3316</v>
      </c>
      <c r="G304" s="17" t="s">
        <v>1941</v>
      </c>
      <c r="H304" s="17">
        <v>21290</v>
      </c>
      <c r="I304" t="s">
        <v>1951</v>
      </c>
    </row>
    <row r="305" spans="1:9" x14ac:dyDescent="0.25">
      <c r="A305" s="17" t="s">
        <v>621</v>
      </c>
      <c r="B305" s="17" t="s">
        <v>3317</v>
      </c>
      <c r="C305" s="17" t="s">
        <v>3318</v>
      </c>
      <c r="D305" s="17" t="s">
        <v>6197</v>
      </c>
      <c r="E305" s="17" t="s">
        <v>3319</v>
      </c>
      <c r="F305" s="17" t="s">
        <v>3320</v>
      </c>
      <c r="G305" s="17" t="s">
        <v>1941</v>
      </c>
      <c r="H305" s="17">
        <v>40596</v>
      </c>
      <c r="I305" t="s">
        <v>1942</v>
      </c>
    </row>
    <row r="306" spans="1:9" x14ac:dyDescent="0.25">
      <c r="A306" s="17" t="s">
        <v>3321</v>
      </c>
      <c r="B306" s="17" t="s">
        <v>3322</v>
      </c>
      <c r="C306" s="17" t="s">
        <v>3323</v>
      </c>
      <c r="D306" s="17" t="s">
        <v>6197</v>
      </c>
      <c r="E306" s="17" t="s">
        <v>3324</v>
      </c>
      <c r="F306" s="17" t="s">
        <v>3325</v>
      </c>
      <c r="G306" s="17" t="s">
        <v>1941</v>
      </c>
      <c r="H306" s="17">
        <v>60435</v>
      </c>
      <c r="I306" t="s">
        <v>1942</v>
      </c>
    </row>
    <row r="307" spans="1:9" x14ac:dyDescent="0.25">
      <c r="A307" s="17" t="s">
        <v>625</v>
      </c>
      <c r="B307" s="17" t="s">
        <v>3326</v>
      </c>
      <c r="C307" s="17" t="s">
        <v>3327</v>
      </c>
      <c r="D307" s="17" t="s">
        <v>3328</v>
      </c>
      <c r="E307" s="17" t="s">
        <v>3329</v>
      </c>
      <c r="F307" s="17" t="s">
        <v>3330</v>
      </c>
      <c r="G307" s="17" t="s">
        <v>2116</v>
      </c>
      <c r="H307" s="17" t="s">
        <v>3331</v>
      </c>
      <c r="I307" t="s">
        <v>1951</v>
      </c>
    </row>
    <row r="308" spans="1:9" x14ac:dyDescent="0.25">
      <c r="A308" s="17" t="s">
        <v>627</v>
      </c>
      <c r="B308" s="17" t="s">
        <v>3332</v>
      </c>
      <c r="C308" s="17" t="s">
        <v>3333</v>
      </c>
      <c r="D308" s="17" t="s">
        <v>3334</v>
      </c>
      <c r="E308" s="17" t="s">
        <v>3335</v>
      </c>
      <c r="F308" s="17" t="s">
        <v>3336</v>
      </c>
      <c r="G308" s="17" t="s">
        <v>1941</v>
      </c>
      <c r="H308" s="17">
        <v>68505</v>
      </c>
      <c r="I308" t="s">
        <v>1951</v>
      </c>
    </row>
    <row r="309" spans="1:9" x14ac:dyDescent="0.25">
      <c r="A309" s="17" t="s">
        <v>629</v>
      </c>
      <c r="B309" s="17" t="s">
        <v>3337</v>
      </c>
      <c r="C309" s="17" t="s">
        <v>3338</v>
      </c>
      <c r="D309" s="17" t="s">
        <v>3339</v>
      </c>
      <c r="E309" s="17" t="s">
        <v>3340</v>
      </c>
      <c r="F309" s="17" t="s">
        <v>3037</v>
      </c>
      <c r="G309" s="17" t="s">
        <v>1941</v>
      </c>
      <c r="H309" s="17">
        <v>45254</v>
      </c>
      <c r="I309" t="s">
        <v>1942</v>
      </c>
    </row>
    <row r="310" spans="1:9" x14ac:dyDescent="0.25">
      <c r="A310" s="17" t="s">
        <v>631</v>
      </c>
      <c r="B310" s="17" t="s">
        <v>3341</v>
      </c>
      <c r="C310" s="17" t="s">
        <v>3342</v>
      </c>
      <c r="D310" s="17" t="s">
        <v>6197</v>
      </c>
      <c r="E310" s="17" t="s">
        <v>3343</v>
      </c>
      <c r="F310" s="17" t="s">
        <v>3134</v>
      </c>
      <c r="G310" s="17" t="s">
        <v>2116</v>
      </c>
      <c r="H310" s="17" t="s">
        <v>3135</v>
      </c>
      <c r="I310" t="s">
        <v>1951</v>
      </c>
    </row>
    <row r="311" spans="1:9" x14ac:dyDescent="0.25">
      <c r="A311" s="17" t="s">
        <v>633</v>
      </c>
      <c r="B311" s="17" t="s">
        <v>3344</v>
      </c>
      <c r="C311" s="17" t="s">
        <v>3345</v>
      </c>
      <c r="D311" s="17" t="s">
        <v>3346</v>
      </c>
      <c r="E311" s="17" t="s">
        <v>3347</v>
      </c>
      <c r="F311" s="17" t="s">
        <v>3348</v>
      </c>
      <c r="G311" s="17" t="s">
        <v>1941</v>
      </c>
      <c r="H311" s="17">
        <v>6127</v>
      </c>
      <c r="I311" t="s">
        <v>1942</v>
      </c>
    </row>
    <row r="312" spans="1:9" x14ac:dyDescent="0.25">
      <c r="A312" s="17" t="s">
        <v>635</v>
      </c>
      <c r="B312" s="17" t="s">
        <v>3349</v>
      </c>
      <c r="C312" s="17" t="s">
        <v>3350</v>
      </c>
      <c r="D312" s="17" t="s">
        <v>3351</v>
      </c>
      <c r="E312" s="17" t="s">
        <v>3352</v>
      </c>
      <c r="F312" s="17" t="s">
        <v>2309</v>
      </c>
      <c r="G312" s="17" t="s">
        <v>1949</v>
      </c>
      <c r="H312" s="17" t="s">
        <v>2310</v>
      </c>
      <c r="I312" t="s">
        <v>1951</v>
      </c>
    </row>
    <row r="313" spans="1:9" x14ac:dyDescent="0.25">
      <c r="A313" s="17" t="s">
        <v>623</v>
      </c>
      <c r="B313" s="17" t="s">
        <v>3353</v>
      </c>
      <c r="C313" s="17" t="s">
        <v>3354</v>
      </c>
      <c r="D313" s="17" t="s">
        <v>3355</v>
      </c>
      <c r="E313" s="17" t="s">
        <v>3356</v>
      </c>
      <c r="F313" s="17" t="s">
        <v>2300</v>
      </c>
      <c r="G313" s="17" t="s">
        <v>1941</v>
      </c>
      <c r="H313" s="17">
        <v>28299</v>
      </c>
      <c r="I313" t="s">
        <v>1942</v>
      </c>
    </row>
    <row r="314" spans="1:9" x14ac:dyDescent="0.25">
      <c r="A314" s="17" t="s">
        <v>638</v>
      </c>
      <c r="B314" s="17" t="s">
        <v>3357</v>
      </c>
      <c r="C314" s="17" t="s">
        <v>3358</v>
      </c>
      <c r="D314" s="17" t="s">
        <v>3359</v>
      </c>
      <c r="E314" s="17" t="s">
        <v>3360</v>
      </c>
      <c r="F314" s="17" t="s">
        <v>2699</v>
      </c>
      <c r="G314" s="17" t="s">
        <v>1941</v>
      </c>
      <c r="H314" s="17">
        <v>71307</v>
      </c>
      <c r="I314" t="s">
        <v>1942</v>
      </c>
    </row>
    <row r="315" spans="1:9" x14ac:dyDescent="0.25">
      <c r="A315" s="17" t="s">
        <v>640</v>
      </c>
      <c r="B315" s="17" t="s">
        <v>3361</v>
      </c>
      <c r="C315" s="17" t="s">
        <v>3362</v>
      </c>
      <c r="D315" s="17" t="s">
        <v>3363</v>
      </c>
      <c r="E315" s="17" t="s">
        <v>3364</v>
      </c>
      <c r="F315" s="17" t="s">
        <v>3365</v>
      </c>
      <c r="G315" s="17" t="s">
        <v>2116</v>
      </c>
      <c r="H315" s="17" t="s">
        <v>3366</v>
      </c>
      <c r="I315" t="s">
        <v>1942</v>
      </c>
    </row>
    <row r="316" spans="1:9" x14ac:dyDescent="0.25">
      <c r="A316" s="17" t="s">
        <v>642</v>
      </c>
      <c r="B316" s="17" t="s">
        <v>3367</v>
      </c>
      <c r="C316" s="22" t="s">
        <v>6197</v>
      </c>
      <c r="D316" s="17" t="s">
        <v>3368</v>
      </c>
      <c r="E316" s="17" t="s">
        <v>3369</v>
      </c>
      <c r="F316" s="17" t="s">
        <v>3370</v>
      </c>
      <c r="G316" s="17" t="s">
        <v>1941</v>
      </c>
      <c r="H316" s="17">
        <v>89115</v>
      </c>
      <c r="I316" t="s">
        <v>1951</v>
      </c>
    </row>
    <row r="317" spans="1:9" x14ac:dyDescent="0.25">
      <c r="A317" s="17" t="s">
        <v>644</v>
      </c>
      <c r="B317" s="17" t="s">
        <v>3371</v>
      </c>
      <c r="C317" s="17" t="s">
        <v>3372</v>
      </c>
      <c r="D317" s="17" t="s">
        <v>3373</v>
      </c>
      <c r="E317" s="17" t="s">
        <v>3374</v>
      </c>
      <c r="F317" s="17" t="s">
        <v>2647</v>
      </c>
      <c r="G317" s="17" t="s">
        <v>1941</v>
      </c>
      <c r="H317" s="17">
        <v>50369</v>
      </c>
      <c r="I317" t="s">
        <v>1942</v>
      </c>
    </row>
    <row r="318" spans="1:9" x14ac:dyDescent="0.25">
      <c r="A318" s="17" t="s">
        <v>646</v>
      </c>
      <c r="B318" s="17" t="s">
        <v>3375</v>
      </c>
      <c r="C318" s="17" t="s">
        <v>3376</v>
      </c>
      <c r="D318" s="17" t="s">
        <v>3377</v>
      </c>
      <c r="E318" s="17" t="s">
        <v>3378</v>
      </c>
      <c r="F318" s="17" t="s">
        <v>2600</v>
      </c>
      <c r="G318" s="17" t="s">
        <v>1949</v>
      </c>
      <c r="H318" s="17" t="s">
        <v>2545</v>
      </c>
      <c r="I318" t="s">
        <v>1951</v>
      </c>
    </row>
    <row r="319" spans="1:9" x14ac:dyDescent="0.25">
      <c r="A319" s="17" t="s">
        <v>648</v>
      </c>
      <c r="B319" s="17" t="s">
        <v>3379</v>
      </c>
      <c r="C319" s="17" t="s">
        <v>3380</v>
      </c>
      <c r="D319" s="17" t="s">
        <v>3381</v>
      </c>
      <c r="E319" s="17" t="s">
        <v>3382</v>
      </c>
      <c r="F319" s="17" t="s">
        <v>3383</v>
      </c>
      <c r="G319" s="17" t="s">
        <v>1941</v>
      </c>
      <c r="H319" s="17">
        <v>44315</v>
      </c>
      <c r="I319" t="s">
        <v>1951</v>
      </c>
    </row>
    <row r="320" spans="1:9" x14ac:dyDescent="0.25">
      <c r="A320" s="17" t="s">
        <v>650</v>
      </c>
      <c r="B320" s="17" t="s">
        <v>3384</v>
      </c>
      <c r="C320" s="17" t="s">
        <v>3385</v>
      </c>
      <c r="D320" s="17" t="s">
        <v>3386</v>
      </c>
      <c r="E320" s="17" t="s">
        <v>3387</v>
      </c>
      <c r="F320" s="17" t="s">
        <v>3388</v>
      </c>
      <c r="G320" s="17" t="s">
        <v>1941</v>
      </c>
      <c r="H320" s="17">
        <v>33405</v>
      </c>
      <c r="I320" t="s">
        <v>1942</v>
      </c>
    </row>
    <row r="321" spans="1:9" x14ac:dyDescent="0.25">
      <c r="A321" s="17" t="s">
        <v>652</v>
      </c>
      <c r="B321" s="17" t="s">
        <v>3389</v>
      </c>
      <c r="C321" s="17" t="s">
        <v>3390</v>
      </c>
      <c r="D321" s="17" t="s">
        <v>6197</v>
      </c>
      <c r="E321" s="17" t="s">
        <v>3391</v>
      </c>
      <c r="F321" s="17" t="s">
        <v>2355</v>
      </c>
      <c r="G321" s="17" t="s">
        <v>1941</v>
      </c>
      <c r="H321" s="17">
        <v>93715</v>
      </c>
      <c r="I321" t="s">
        <v>1942</v>
      </c>
    </row>
    <row r="322" spans="1:9" x14ac:dyDescent="0.25">
      <c r="A322" s="17" t="s">
        <v>3392</v>
      </c>
      <c r="B322" s="17" t="s">
        <v>3393</v>
      </c>
      <c r="C322" s="17" t="s">
        <v>3394</v>
      </c>
      <c r="D322" s="17" t="s">
        <v>3395</v>
      </c>
      <c r="E322" s="17" t="s">
        <v>3396</v>
      </c>
      <c r="F322" s="17" t="s">
        <v>3397</v>
      </c>
      <c r="G322" s="17" t="s">
        <v>1941</v>
      </c>
      <c r="H322" s="17">
        <v>52245</v>
      </c>
      <c r="I322" t="s">
        <v>1942</v>
      </c>
    </row>
    <row r="323" spans="1:9" x14ac:dyDescent="0.25">
      <c r="A323" s="17" t="s">
        <v>654</v>
      </c>
      <c r="B323" s="17" t="s">
        <v>3398</v>
      </c>
      <c r="C323" s="17" t="s">
        <v>3399</v>
      </c>
      <c r="D323" s="17" t="s">
        <v>3400</v>
      </c>
      <c r="E323" s="17" t="s">
        <v>3401</v>
      </c>
      <c r="F323" s="17" t="s">
        <v>3402</v>
      </c>
      <c r="G323" s="17" t="s">
        <v>1949</v>
      </c>
      <c r="H323" s="17" t="s">
        <v>2083</v>
      </c>
      <c r="I323" t="s">
        <v>1942</v>
      </c>
    </row>
    <row r="324" spans="1:9" x14ac:dyDescent="0.25">
      <c r="A324" s="17" t="s">
        <v>656</v>
      </c>
      <c r="B324" s="17" t="s">
        <v>3403</v>
      </c>
      <c r="C324" s="17" t="s">
        <v>3404</v>
      </c>
      <c r="D324" s="17" t="s">
        <v>3405</v>
      </c>
      <c r="E324" s="17" t="s">
        <v>3406</v>
      </c>
      <c r="F324" s="17" t="s">
        <v>3407</v>
      </c>
      <c r="G324" s="17" t="s">
        <v>1949</v>
      </c>
      <c r="H324" s="17" t="s">
        <v>2083</v>
      </c>
      <c r="I324" t="s">
        <v>1951</v>
      </c>
    </row>
    <row r="325" spans="1:9" x14ac:dyDescent="0.25">
      <c r="A325" s="17" t="s">
        <v>658</v>
      </c>
      <c r="B325" s="17" t="s">
        <v>3408</v>
      </c>
      <c r="C325" s="17" t="s">
        <v>3409</v>
      </c>
      <c r="D325" s="17" t="s">
        <v>3410</v>
      </c>
      <c r="E325" s="17" t="s">
        <v>3411</v>
      </c>
      <c r="F325" s="17" t="s">
        <v>3412</v>
      </c>
      <c r="G325" s="17" t="s">
        <v>1941</v>
      </c>
      <c r="H325" s="17">
        <v>37924</v>
      </c>
      <c r="I325" t="s">
        <v>1942</v>
      </c>
    </row>
    <row r="326" spans="1:9" x14ac:dyDescent="0.25">
      <c r="A326" s="17" t="s">
        <v>660</v>
      </c>
      <c r="B326" s="17" t="s">
        <v>3413</v>
      </c>
      <c r="C326" s="22" t="s">
        <v>6197</v>
      </c>
      <c r="D326" s="17" t="s">
        <v>3414</v>
      </c>
      <c r="E326" s="17" t="s">
        <v>3415</v>
      </c>
      <c r="F326" s="17" t="s">
        <v>2988</v>
      </c>
      <c r="G326" s="17" t="s">
        <v>1941</v>
      </c>
      <c r="H326" s="17">
        <v>66276</v>
      </c>
      <c r="I326" t="s">
        <v>1951</v>
      </c>
    </row>
    <row r="327" spans="1:9" x14ac:dyDescent="0.25">
      <c r="A327" s="17" t="s">
        <v>662</v>
      </c>
      <c r="B327" s="17" t="s">
        <v>3416</v>
      </c>
      <c r="C327" s="17" t="s">
        <v>3417</v>
      </c>
      <c r="D327" s="17" t="s">
        <v>3418</v>
      </c>
      <c r="E327" s="17" t="s">
        <v>3419</v>
      </c>
      <c r="F327" s="17" t="s">
        <v>3090</v>
      </c>
      <c r="G327" s="17" t="s">
        <v>1941</v>
      </c>
      <c r="H327" s="17">
        <v>94132</v>
      </c>
      <c r="I327" t="s">
        <v>1942</v>
      </c>
    </row>
    <row r="328" spans="1:9" x14ac:dyDescent="0.25">
      <c r="A328" s="17" t="s">
        <v>664</v>
      </c>
      <c r="B328" s="17" t="s">
        <v>3420</v>
      </c>
      <c r="C328" s="22" t="s">
        <v>6197</v>
      </c>
      <c r="D328" s="17" t="s">
        <v>3421</v>
      </c>
      <c r="E328" s="17" t="s">
        <v>3422</v>
      </c>
      <c r="F328" s="17" t="s">
        <v>2172</v>
      </c>
      <c r="G328" s="17" t="s">
        <v>1941</v>
      </c>
      <c r="H328" s="17">
        <v>35244</v>
      </c>
      <c r="I328" t="s">
        <v>1951</v>
      </c>
    </row>
    <row r="329" spans="1:9" x14ac:dyDescent="0.25">
      <c r="A329" s="17" t="s">
        <v>666</v>
      </c>
      <c r="B329" s="17" t="s">
        <v>3423</v>
      </c>
      <c r="C329" s="17" t="s">
        <v>3424</v>
      </c>
      <c r="D329" s="17" t="s">
        <v>3425</v>
      </c>
      <c r="E329" s="17" t="s">
        <v>3426</v>
      </c>
      <c r="F329" s="17" t="s">
        <v>2776</v>
      </c>
      <c r="G329" s="17" t="s">
        <v>1941</v>
      </c>
      <c r="H329" s="17">
        <v>11215</v>
      </c>
      <c r="I329" t="s">
        <v>1942</v>
      </c>
    </row>
    <row r="330" spans="1:9" x14ac:dyDescent="0.25">
      <c r="A330" s="17" t="s">
        <v>668</v>
      </c>
      <c r="B330" s="17" t="s">
        <v>3427</v>
      </c>
      <c r="C330" s="22" t="s">
        <v>6197</v>
      </c>
      <c r="D330" s="17" t="s">
        <v>3428</v>
      </c>
      <c r="E330" s="17" t="s">
        <v>3429</v>
      </c>
      <c r="F330" s="17" t="s">
        <v>2448</v>
      </c>
      <c r="G330" s="17" t="s">
        <v>1941</v>
      </c>
      <c r="H330" s="17">
        <v>79934</v>
      </c>
      <c r="I330" t="s">
        <v>1942</v>
      </c>
    </row>
    <row r="331" spans="1:9" x14ac:dyDescent="0.25">
      <c r="A331" s="17" t="s">
        <v>670</v>
      </c>
      <c r="B331" s="17" t="s">
        <v>3430</v>
      </c>
      <c r="C331" s="17" t="s">
        <v>3431</v>
      </c>
      <c r="D331" s="17" t="s">
        <v>6197</v>
      </c>
      <c r="E331" s="17" t="s">
        <v>3432</v>
      </c>
      <c r="F331" s="17" t="s">
        <v>2999</v>
      </c>
      <c r="G331" s="17" t="s">
        <v>1941</v>
      </c>
      <c r="H331" s="17">
        <v>94250</v>
      </c>
      <c r="I331" t="s">
        <v>1942</v>
      </c>
    </row>
    <row r="332" spans="1:9" x14ac:dyDescent="0.25">
      <c r="A332" s="17" t="s">
        <v>3433</v>
      </c>
      <c r="B332" s="17" t="s">
        <v>3434</v>
      </c>
      <c r="C332" s="17" t="s">
        <v>3435</v>
      </c>
      <c r="D332" s="17" t="s">
        <v>3436</v>
      </c>
      <c r="E332" s="17" t="s">
        <v>3437</v>
      </c>
      <c r="F332" s="17" t="s">
        <v>2186</v>
      </c>
      <c r="G332" s="17" t="s">
        <v>1941</v>
      </c>
      <c r="H332" s="17">
        <v>20220</v>
      </c>
      <c r="I332" t="s">
        <v>1951</v>
      </c>
    </row>
    <row r="333" spans="1:9" x14ac:dyDescent="0.25">
      <c r="A333" s="17" t="s">
        <v>673</v>
      </c>
      <c r="B333" s="17" t="s">
        <v>3438</v>
      </c>
      <c r="C333" s="17" t="s">
        <v>3439</v>
      </c>
      <c r="D333" s="17" t="s">
        <v>3440</v>
      </c>
      <c r="E333" s="17" t="s">
        <v>3441</v>
      </c>
      <c r="F333" s="17" t="s">
        <v>3442</v>
      </c>
      <c r="G333" s="17" t="s">
        <v>1941</v>
      </c>
      <c r="H333" s="17">
        <v>33436</v>
      </c>
      <c r="I333" t="s">
        <v>1942</v>
      </c>
    </row>
    <row r="334" spans="1:9" x14ac:dyDescent="0.25">
      <c r="A334" s="17" t="s">
        <v>675</v>
      </c>
      <c r="B334" s="17" t="s">
        <v>3443</v>
      </c>
      <c r="C334" s="17" t="s">
        <v>3444</v>
      </c>
      <c r="D334" s="17" t="s">
        <v>3445</v>
      </c>
      <c r="E334" s="17" t="s">
        <v>3446</v>
      </c>
      <c r="F334" s="17" t="s">
        <v>1986</v>
      </c>
      <c r="G334" s="17" t="s">
        <v>1941</v>
      </c>
      <c r="H334" s="17">
        <v>90094</v>
      </c>
      <c r="I334" t="s">
        <v>1942</v>
      </c>
    </row>
    <row r="335" spans="1:9" x14ac:dyDescent="0.25">
      <c r="A335" s="17" t="s">
        <v>677</v>
      </c>
      <c r="B335" s="17" t="s">
        <v>3447</v>
      </c>
      <c r="C335" s="17" t="s">
        <v>3448</v>
      </c>
      <c r="D335" s="17" t="s">
        <v>3449</v>
      </c>
      <c r="E335" s="17" t="s">
        <v>3450</v>
      </c>
      <c r="F335" s="17" t="s">
        <v>3316</v>
      </c>
      <c r="G335" s="17" t="s">
        <v>1941</v>
      </c>
      <c r="H335" s="17">
        <v>21275</v>
      </c>
      <c r="I335" t="s">
        <v>1942</v>
      </c>
    </row>
    <row r="336" spans="1:9" x14ac:dyDescent="0.25">
      <c r="A336" s="17" t="s">
        <v>679</v>
      </c>
      <c r="B336" s="17" t="s">
        <v>3451</v>
      </c>
      <c r="C336" s="22" t="s">
        <v>6197</v>
      </c>
      <c r="D336" s="17" t="s">
        <v>6197</v>
      </c>
      <c r="E336" s="17" t="s">
        <v>3452</v>
      </c>
      <c r="F336" s="17" t="s">
        <v>2938</v>
      </c>
      <c r="G336" s="17" t="s">
        <v>1941</v>
      </c>
      <c r="H336" s="17">
        <v>84125</v>
      </c>
      <c r="I336" t="s">
        <v>1951</v>
      </c>
    </row>
    <row r="337" spans="1:9" x14ac:dyDescent="0.25">
      <c r="A337" s="17" t="s">
        <v>681</v>
      </c>
      <c r="B337" s="17" t="s">
        <v>3453</v>
      </c>
      <c r="C337" s="17" t="s">
        <v>3454</v>
      </c>
      <c r="D337" s="17" t="s">
        <v>3455</v>
      </c>
      <c r="E337" s="17" t="s">
        <v>3456</v>
      </c>
      <c r="F337" s="17" t="s">
        <v>2791</v>
      </c>
      <c r="G337" s="17" t="s">
        <v>1941</v>
      </c>
      <c r="H337" s="17">
        <v>75049</v>
      </c>
      <c r="I337" t="s">
        <v>1942</v>
      </c>
    </row>
    <row r="338" spans="1:9" x14ac:dyDescent="0.25">
      <c r="A338" s="17" t="s">
        <v>683</v>
      </c>
      <c r="B338" s="17" t="s">
        <v>3457</v>
      </c>
      <c r="C338" s="17" t="s">
        <v>3458</v>
      </c>
      <c r="D338" s="17" t="s">
        <v>3459</v>
      </c>
      <c r="E338" s="17" t="s">
        <v>3460</v>
      </c>
      <c r="F338" s="17" t="s">
        <v>3461</v>
      </c>
      <c r="G338" s="17" t="s">
        <v>2116</v>
      </c>
      <c r="H338" s="17" t="s">
        <v>3462</v>
      </c>
      <c r="I338" t="s">
        <v>1951</v>
      </c>
    </row>
    <row r="339" spans="1:9" x14ac:dyDescent="0.25">
      <c r="A339" s="17" t="s">
        <v>3463</v>
      </c>
      <c r="B339" s="17" t="s">
        <v>3464</v>
      </c>
      <c r="C339" s="22" t="s">
        <v>6197</v>
      </c>
      <c r="D339" s="17" t="s">
        <v>3465</v>
      </c>
      <c r="E339" s="17" t="s">
        <v>3466</v>
      </c>
      <c r="F339" s="17" t="s">
        <v>2287</v>
      </c>
      <c r="G339" s="17" t="s">
        <v>1941</v>
      </c>
      <c r="H339" s="17">
        <v>43240</v>
      </c>
      <c r="I339" t="s">
        <v>1951</v>
      </c>
    </row>
    <row r="340" spans="1:9" x14ac:dyDescent="0.25">
      <c r="A340" s="17" t="s">
        <v>686</v>
      </c>
      <c r="B340" s="17" t="s">
        <v>3467</v>
      </c>
      <c r="C340" s="17" t="s">
        <v>3468</v>
      </c>
      <c r="D340" s="17" t="s">
        <v>3469</v>
      </c>
      <c r="E340" s="17" t="s">
        <v>3470</v>
      </c>
      <c r="F340" s="17" t="s">
        <v>2037</v>
      </c>
      <c r="G340" s="17" t="s">
        <v>1941</v>
      </c>
      <c r="H340" s="17">
        <v>10184</v>
      </c>
      <c r="I340" t="s">
        <v>1951</v>
      </c>
    </row>
    <row r="341" spans="1:9" x14ac:dyDescent="0.25">
      <c r="A341" s="17" t="s">
        <v>688</v>
      </c>
      <c r="B341" s="17" t="s">
        <v>3471</v>
      </c>
      <c r="C341" s="17" t="s">
        <v>3472</v>
      </c>
      <c r="D341" s="17" t="s">
        <v>3473</v>
      </c>
      <c r="E341" s="17" t="s">
        <v>3474</v>
      </c>
      <c r="F341" s="17" t="s">
        <v>2158</v>
      </c>
      <c r="G341" s="17" t="s">
        <v>1941</v>
      </c>
      <c r="H341" s="17">
        <v>2216</v>
      </c>
      <c r="I341" t="s">
        <v>1942</v>
      </c>
    </row>
    <row r="342" spans="1:9" x14ac:dyDescent="0.25">
      <c r="A342" s="17" t="s">
        <v>690</v>
      </c>
      <c r="B342" s="17" t="s">
        <v>3475</v>
      </c>
      <c r="C342" s="17" t="s">
        <v>3476</v>
      </c>
      <c r="D342" s="17" t="s">
        <v>3477</v>
      </c>
      <c r="E342" s="17" t="s">
        <v>3478</v>
      </c>
      <c r="F342" s="17" t="s">
        <v>3090</v>
      </c>
      <c r="G342" s="17" t="s">
        <v>1941</v>
      </c>
      <c r="H342" s="17">
        <v>94132</v>
      </c>
      <c r="I342" t="s">
        <v>1942</v>
      </c>
    </row>
    <row r="343" spans="1:9" x14ac:dyDescent="0.25">
      <c r="A343" s="17" t="s">
        <v>692</v>
      </c>
      <c r="B343" s="17" t="s">
        <v>3479</v>
      </c>
      <c r="C343" s="17" t="s">
        <v>3480</v>
      </c>
      <c r="D343" s="17" t="s">
        <v>3481</v>
      </c>
      <c r="E343" s="17" t="s">
        <v>3482</v>
      </c>
      <c r="F343" s="17" t="s">
        <v>3483</v>
      </c>
      <c r="G343" s="17" t="s">
        <v>1941</v>
      </c>
      <c r="H343" s="17">
        <v>46295</v>
      </c>
      <c r="I343" t="s">
        <v>1951</v>
      </c>
    </row>
    <row r="344" spans="1:9" x14ac:dyDescent="0.25">
      <c r="A344" s="17" t="s">
        <v>3484</v>
      </c>
      <c r="B344" s="17" t="s">
        <v>3485</v>
      </c>
      <c r="C344" s="17" t="s">
        <v>3486</v>
      </c>
      <c r="D344" s="17" t="s">
        <v>6197</v>
      </c>
      <c r="E344" s="17" t="s">
        <v>3487</v>
      </c>
      <c r="F344" s="17" t="s">
        <v>3488</v>
      </c>
      <c r="G344" s="17" t="s">
        <v>1941</v>
      </c>
      <c r="H344" s="17">
        <v>32209</v>
      </c>
      <c r="I344" t="s">
        <v>1951</v>
      </c>
    </row>
    <row r="345" spans="1:9" x14ac:dyDescent="0.25">
      <c r="A345" s="17" t="s">
        <v>694</v>
      </c>
      <c r="B345" s="17" t="s">
        <v>3489</v>
      </c>
      <c r="C345" s="17" t="s">
        <v>3490</v>
      </c>
      <c r="D345" s="17" t="s">
        <v>6197</v>
      </c>
      <c r="E345" s="17" t="s">
        <v>3491</v>
      </c>
      <c r="F345" s="17" t="s">
        <v>3492</v>
      </c>
      <c r="G345" s="17" t="s">
        <v>1941</v>
      </c>
      <c r="H345" s="17">
        <v>98148</v>
      </c>
      <c r="I345" t="s">
        <v>1951</v>
      </c>
    </row>
    <row r="346" spans="1:9" x14ac:dyDescent="0.25">
      <c r="A346" s="17" t="s">
        <v>696</v>
      </c>
      <c r="B346" s="17" t="s">
        <v>3493</v>
      </c>
      <c r="C346" s="22" t="s">
        <v>6197</v>
      </c>
      <c r="D346" s="17" t="s">
        <v>3494</v>
      </c>
      <c r="E346" s="17" t="s">
        <v>3495</v>
      </c>
      <c r="F346" s="17" t="s">
        <v>3496</v>
      </c>
      <c r="G346" s="17" t="s">
        <v>1949</v>
      </c>
      <c r="H346" s="17" t="s">
        <v>3497</v>
      </c>
      <c r="I346" t="s">
        <v>1942</v>
      </c>
    </row>
    <row r="347" spans="1:9" x14ac:dyDescent="0.25">
      <c r="A347" s="17" t="s">
        <v>698</v>
      </c>
      <c r="B347" s="17" t="s">
        <v>3498</v>
      </c>
      <c r="C347" s="17" t="s">
        <v>3499</v>
      </c>
      <c r="D347" s="17" t="s">
        <v>3500</v>
      </c>
      <c r="E347" s="17" t="s">
        <v>3501</v>
      </c>
      <c r="F347" s="17" t="s">
        <v>2744</v>
      </c>
      <c r="G347" s="17" t="s">
        <v>1941</v>
      </c>
      <c r="H347" s="17">
        <v>36109</v>
      </c>
      <c r="I347" t="s">
        <v>1951</v>
      </c>
    </row>
    <row r="348" spans="1:9" x14ac:dyDescent="0.25">
      <c r="A348" s="17" t="s">
        <v>700</v>
      </c>
      <c r="B348" s="17" t="s">
        <v>3502</v>
      </c>
      <c r="C348" s="17" t="s">
        <v>3503</v>
      </c>
      <c r="D348" s="17" t="s">
        <v>3504</v>
      </c>
      <c r="E348" s="17" t="s">
        <v>3505</v>
      </c>
      <c r="F348" s="17" t="s">
        <v>2325</v>
      </c>
      <c r="G348" s="17" t="s">
        <v>1941</v>
      </c>
      <c r="H348" s="17">
        <v>75372</v>
      </c>
      <c r="I348" t="s">
        <v>1942</v>
      </c>
    </row>
    <row r="349" spans="1:9" x14ac:dyDescent="0.25">
      <c r="A349" s="17" t="s">
        <v>702</v>
      </c>
      <c r="B349" s="17" t="s">
        <v>3506</v>
      </c>
      <c r="C349" s="17" t="s">
        <v>3507</v>
      </c>
      <c r="D349" s="17" t="s">
        <v>3508</v>
      </c>
      <c r="E349" s="17" t="s">
        <v>3509</v>
      </c>
      <c r="F349" s="17" t="s">
        <v>3510</v>
      </c>
      <c r="G349" s="17" t="s">
        <v>1941</v>
      </c>
      <c r="H349" s="17">
        <v>66622</v>
      </c>
      <c r="I349" t="s">
        <v>1951</v>
      </c>
    </row>
    <row r="350" spans="1:9" x14ac:dyDescent="0.25">
      <c r="A350" s="17" t="s">
        <v>704</v>
      </c>
      <c r="B350" s="17" t="s">
        <v>3511</v>
      </c>
      <c r="C350" s="17" t="s">
        <v>3512</v>
      </c>
      <c r="D350" s="17" t="s">
        <v>3513</v>
      </c>
      <c r="E350" s="17" t="s">
        <v>3514</v>
      </c>
      <c r="F350" s="17" t="s">
        <v>3515</v>
      </c>
      <c r="G350" s="17" t="s">
        <v>1941</v>
      </c>
      <c r="H350" s="17">
        <v>75799</v>
      </c>
      <c r="I350" t="s">
        <v>1951</v>
      </c>
    </row>
    <row r="351" spans="1:9" x14ac:dyDescent="0.25">
      <c r="A351" s="17" t="s">
        <v>706</v>
      </c>
      <c r="B351" s="17" t="s">
        <v>3516</v>
      </c>
      <c r="C351" s="17" t="s">
        <v>3517</v>
      </c>
      <c r="D351" s="17" t="s">
        <v>3518</v>
      </c>
      <c r="E351" s="17" t="s">
        <v>3519</v>
      </c>
      <c r="F351" s="17" t="s">
        <v>1986</v>
      </c>
      <c r="G351" s="17" t="s">
        <v>1941</v>
      </c>
      <c r="H351" s="17">
        <v>90065</v>
      </c>
      <c r="I351" t="s">
        <v>1951</v>
      </c>
    </row>
    <row r="352" spans="1:9" x14ac:dyDescent="0.25">
      <c r="A352" s="17" t="s">
        <v>708</v>
      </c>
      <c r="B352" s="17" t="s">
        <v>3520</v>
      </c>
      <c r="C352" s="17" t="s">
        <v>3521</v>
      </c>
      <c r="D352" s="17" t="s">
        <v>3522</v>
      </c>
      <c r="E352" s="17" t="s">
        <v>3523</v>
      </c>
      <c r="F352" s="17" t="s">
        <v>3524</v>
      </c>
      <c r="G352" s="17" t="s">
        <v>1941</v>
      </c>
      <c r="H352" s="17">
        <v>71137</v>
      </c>
      <c r="I352" t="s">
        <v>1951</v>
      </c>
    </row>
    <row r="353" spans="1:9" x14ac:dyDescent="0.25">
      <c r="A353" s="17" t="s">
        <v>710</v>
      </c>
      <c r="B353" s="17" t="s">
        <v>3525</v>
      </c>
      <c r="C353" s="17" t="s">
        <v>3526</v>
      </c>
      <c r="D353" s="17" t="s">
        <v>3527</v>
      </c>
      <c r="E353" s="17" t="s">
        <v>3528</v>
      </c>
      <c r="F353" s="17" t="s">
        <v>3529</v>
      </c>
      <c r="G353" s="17" t="s">
        <v>1941</v>
      </c>
      <c r="H353" s="17">
        <v>83722</v>
      </c>
      <c r="I353" t="s">
        <v>1951</v>
      </c>
    </row>
    <row r="354" spans="1:9" x14ac:dyDescent="0.25">
      <c r="A354" s="17" t="s">
        <v>3530</v>
      </c>
      <c r="B354" s="17" t="s">
        <v>3531</v>
      </c>
      <c r="C354" s="17" t="s">
        <v>3532</v>
      </c>
      <c r="D354" s="17" t="s">
        <v>3533</v>
      </c>
      <c r="E354" s="17" t="s">
        <v>3534</v>
      </c>
      <c r="F354" s="17" t="s">
        <v>2177</v>
      </c>
      <c r="G354" s="17" t="s">
        <v>1941</v>
      </c>
      <c r="H354" s="17">
        <v>92415</v>
      </c>
      <c r="I354" t="s">
        <v>1951</v>
      </c>
    </row>
    <row r="355" spans="1:9" x14ac:dyDescent="0.25">
      <c r="A355" s="17" t="s">
        <v>713</v>
      </c>
      <c r="B355" s="17" t="s">
        <v>3535</v>
      </c>
      <c r="C355" s="22" t="s">
        <v>6197</v>
      </c>
      <c r="D355" s="17" t="s">
        <v>3536</v>
      </c>
      <c r="E355" s="17" t="s">
        <v>3537</v>
      </c>
      <c r="F355" s="17" t="s">
        <v>2744</v>
      </c>
      <c r="G355" s="17" t="s">
        <v>1941</v>
      </c>
      <c r="H355" s="17">
        <v>36177</v>
      </c>
      <c r="I355" t="s">
        <v>1942</v>
      </c>
    </row>
    <row r="356" spans="1:9" x14ac:dyDescent="0.25">
      <c r="A356" s="17" t="s">
        <v>715</v>
      </c>
      <c r="B356" s="17" t="s">
        <v>3538</v>
      </c>
      <c r="C356" s="17" t="s">
        <v>3539</v>
      </c>
      <c r="D356" s="17" t="s">
        <v>6197</v>
      </c>
      <c r="E356" s="17" t="s">
        <v>3540</v>
      </c>
      <c r="F356" s="17" t="s">
        <v>3541</v>
      </c>
      <c r="G356" s="17" t="s">
        <v>1941</v>
      </c>
      <c r="H356" s="17">
        <v>34981</v>
      </c>
      <c r="I356" t="s">
        <v>1951</v>
      </c>
    </row>
    <row r="357" spans="1:9" x14ac:dyDescent="0.25">
      <c r="A357" s="17" t="s">
        <v>717</v>
      </c>
      <c r="B357" s="17" t="s">
        <v>3542</v>
      </c>
      <c r="C357" s="17" t="s">
        <v>3543</v>
      </c>
      <c r="D357" s="17" t="s">
        <v>3544</v>
      </c>
      <c r="E357" s="17" t="s">
        <v>3545</v>
      </c>
      <c r="F357" s="17" t="s">
        <v>2694</v>
      </c>
      <c r="G357" s="17" t="s">
        <v>1941</v>
      </c>
      <c r="H357" s="17">
        <v>27415</v>
      </c>
      <c r="I357" t="s">
        <v>1942</v>
      </c>
    </row>
    <row r="358" spans="1:9" x14ac:dyDescent="0.25">
      <c r="A358" s="17" t="s">
        <v>719</v>
      </c>
      <c r="B358" s="17" t="s">
        <v>3546</v>
      </c>
      <c r="C358" s="17" t="s">
        <v>3547</v>
      </c>
      <c r="D358" s="17" t="s">
        <v>3548</v>
      </c>
      <c r="E358" s="17" t="s">
        <v>3549</v>
      </c>
      <c r="F358" s="17" t="s">
        <v>2999</v>
      </c>
      <c r="G358" s="17" t="s">
        <v>1941</v>
      </c>
      <c r="H358" s="17">
        <v>94237</v>
      </c>
      <c r="I358" t="s">
        <v>1942</v>
      </c>
    </row>
    <row r="359" spans="1:9" x14ac:dyDescent="0.25">
      <c r="A359" s="17" t="s">
        <v>721</v>
      </c>
      <c r="B359" s="17" t="s">
        <v>3550</v>
      </c>
      <c r="C359" s="22" t="s">
        <v>6197</v>
      </c>
      <c r="D359" s="17" t="s">
        <v>3551</v>
      </c>
      <c r="E359" s="17" t="s">
        <v>3552</v>
      </c>
      <c r="F359" s="17" t="s">
        <v>3553</v>
      </c>
      <c r="G359" s="17" t="s">
        <v>1941</v>
      </c>
      <c r="H359" s="17">
        <v>78682</v>
      </c>
      <c r="I359" t="s">
        <v>1951</v>
      </c>
    </row>
    <row r="360" spans="1:9" x14ac:dyDescent="0.25">
      <c r="A360" s="17" t="s">
        <v>723</v>
      </c>
      <c r="B360" s="17" t="s">
        <v>3554</v>
      </c>
      <c r="C360" s="17" t="s">
        <v>3555</v>
      </c>
      <c r="D360" s="17" t="s">
        <v>3556</v>
      </c>
      <c r="E360" s="17" t="s">
        <v>3557</v>
      </c>
      <c r="F360" s="17" t="s">
        <v>3558</v>
      </c>
      <c r="G360" s="17" t="s">
        <v>1941</v>
      </c>
      <c r="H360" s="17">
        <v>22096</v>
      </c>
      <c r="I360" t="s">
        <v>1951</v>
      </c>
    </row>
    <row r="361" spans="1:9" x14ac:dyDescent="0.25">
      <c r="A361" s="17" t="s">
        <v>725</v>
      </c>
      <c r="B361" s="17" t="s">
        <v>3559</v>
      </c>
      <c r="C361" s="17" t="s">
        <v>3560</v>
      </c>
      <c r="D361" s="17" t="s">
        <v>3561</v>
      </c>
      <c r="E361" s="17" t="s">
        <v>3562</v>
      </c>
      <c r="F361" s="17" t="s">
        <v>3563</v>
      </c>
      <c r="G361" s="17" t="s">
        <v>2116</v>
      </c>
      <c r="H361" s="17" t="s">
        <v>3564</v>
      </c>
      <c r="I361" t="s">
        <v>1951</v>
      </c>
    </row>
    <row r="362" spans="1:9" x14ac:dyDescent="0.25">
      <c r="A362" s="17" t="s">
        <v>727</v>
      </c>
      <c r="B362" s="17" t="s">
        <v>3565</v>
      </c>
      <c r="C362" s="17" t="s">
        <v>3566</v>
      </c>
      <c r="D362" s="17" t="s">
        <v>3567</v>
      </c>
      <c r="E362" s="17" t="s">
        <v>3568</v>
      </c>
      <c r="F362" s="17" t="s">
        <v>3217</v>
      </c>
      <c r="G362" s="17" t="s">
        <v>1941</v>
      </c>
      <c r="H362" s="17">
        <v>29220</v>
      </c>
      <c r="I362" t="s">
        <v>1951</v>
      </c>
    </row>
    <row r="363" spans="1:9" x14ac:dyDescent="0.25">
      <c r="A363" s="17" t="s">
        <v>3569</v>
      </c>
      <c r="B363" s="17" t="s">
        <v>3570</v>
      </c>
      <c r="C363" s="17" t="s">
        <v>3571</v>
      </c>
      <c r="D363" s="17" t="s">
        <v>3572</v>
      </c>
      <c r="E363" s="17" t="s">
        <v>3573</v>
      </c>
      <c r="F363" s="17" t="s">
        <v>2506</v>
      </c>
      <c r="G363" s="17" t="s">
        <v>1941</v>
      </c>
      <c r="H363" s="17">
        <v>37215</v>
      </c>
      <c r="I363" t="s">
        <v>1942</v>
      </c>
    </row>
    <row r="364" spans="1:9" x14ac:dyDescent="0.25">
      <c r="A364" s="17" t="s">
        <v>729</v>
      </c>
      <c r="B364" s="17" t="s">
        <v>3574</v>
      </c>
      <c r="C364" s="17" t="s">
        <v>3575</v>
      </c>
      <c r="D364" s="17" t="s">
        <v>3576</v>
      </c>
      <c r="E364" s="17" t="s">
        <v>3577</v>
      </c>
      <c r="F364" s="17" t="s">
        <v>3099</v>
      </c>
      <c r="G364" s="17" t="s">
        <v>1941</v>
      </c>
      <c r="H364" s="17">
        <v>85025</v>
      </c>
      <c r="I364" t="s">
        <v>1942</v>
      </c>
    </row>
    <row r="365" spans="1:9" x14ac:dyDescent="0.25">
      <c r="A365" s="17" t="s">
        <v>731</v>
      </c>
      <c r="B365" s="17" t="s">
        <v>3578</v>
      </c>
      <c r="C365" s="17" t="s">
        <v>3579</v>
      </c>
      <c r="D365" s="17" t="s">
        <v>6197</v>
      </c>
      <c r="E365" s="17" t="s">
        <v>3580</v>
      </c>
      <c r="F365" s="17" t="s">
        <v>3581</v>
      </c>
      <c r="G365" s="17" t="s">
        <v>1941</v>
      </c>
      <c r="H365" s="17">
        <v>33233</v>
      </c>
      <c r="I365" t="s">
        <v>1951</v>
      </c>
    </row>
    <row r="366" spans="1:9" x14ac:dyDescent="0.25">
      <c r="A366" s="17" t="s">
        <v>733</v>
      </c>
      <c r="B366" s="17" t="s">
        <v>3582</v>
      </c>
      <c r="C366" s="17" t="s">
        <v>3583</v>
      </c>
      <c r="D366" s="17" t="s">
        <v>3584</v>
      </c>
      <c r="E366" s="17" t="s">
        <v>3585</v>
      </c>
      <c r="F366" s="17" t="s">
        <v>2355</v>
      </c>
      <c r="G366" s="17" t="s">
        <v>1941</v>
      </c>
      <c r="H366" s="17">
        <v>93762</v>
      </c>
      <c r="I366" t="s">
        <v>1942</v>
      </c>
    </row>
    <row r="367" spans="1:9" x14ac:dyDescent="0.25">
      <c r="A367" s="17" t="s">
        <v>735</v>
      </c>
      <c r="B367" s="17" t="s">
        <v>3586</v>
      </c>
      <c r="C367" s="17" t="s">
        <v>3587</v>
      </c>
      <c r="D367" s="17" t="s">
        <v>6197</v>
      </c>
      <c r="E367" s="17" t="s">
        <v>3588</v>
      </c>
      <c r="F367" s="17" t="s">
        <v>3589</v>
      </c>
      <c r="G367" s="17" t="s">
        <v>1941</v>
      </c>
      <c r="H367" s="17">
        <v>92825</v>
      </c>
      <c r="I367" t="s">
        <v>1951</v>
      </c>
    </row>
    <row r="368" spans="1:9" x14ac:dyDescent="0.25">
      <c r="A368" s="17" t="s">
        <v>737</v>
      </c>
      <c r="B368" s="17" t="s">
        <v>3590</v>
      </c>
      <c r="C368" s="22" t="s">
        <v>6197</v>
      </c>
      <c r="D368" s="17" t="s">
        <v>3591</v>
      </c>
      <c r="E368" s="17" t="s">
        <v>3592</v>
      </c>
      <c r="F368" s="17" t="s">
        <v>2530</v>
      </c>
      <c r="G368" s="17" t="s">
        <v>1941</v>
      </c>
      <c r="H368" s="17">
        <v>23605</v>
      </c>
      <c r="I368" t="s">
        <v>1951</v>
      </c>
    </row>
    <row r="369" spans="1:9" x14ac:dyDescent="0.25">
      <c r="A369" s="17" t="s">
        <v>739</v>
      </c>
      <c r="B369" s="17" t="s">
        <v>3593</v>
      </c>
      <c r="C369" s="22" t="s">
        <v>6197</v>
      </c>
      <c r="D369" s="17" t="s">
        <v>6197</v>
      </c>
      <c r="E369" s="17" t="s">
        <v>3594</v>
      </c>
      <c r="F369" s="17" t="s">
        <v>2886</v>
      </c>
      <c r="G369" s="17" t="s">
        <v>1941</v>
      </c>
      <c r="H369" s="17">
        <v>29305</v>
      </c>
      <c r="I369" t="s">
        <v>1942</v>
      </c>
    </row>
    <row r="370" spans="1:9" x14ac:dyDescent="0.25">
      <c r="A370" s="17" t="s">
        <v>741</v>
      </c>
      <c r="B370" s="17" t="s">
        <v>3595</v>
      </c>
      <c r="C370" s="17" t="s">
        <v>3596</v>
      </c>
      <c r="D370" s="17" t="s">
        <v>3597</v>
      </c>
      <c r="E370" s="17" t="s">
        <v>3598</v>
      </c>
      <c r="F370" s="17" t="s">
        <v>2890</v>
      </c>
      <c r="G370" s="17" t="s">
        <v>1941</v>
      </c>
      <c r="H370" s="17">
        <v>10305</v>
      </c>
      <c r="I370" t="s">
        <v>1951</v>
      </c>
    </row>
    <row r="371" spans="1:9" x14ac:dyDescent="0.25">
      <c r="A371" s="17" t="s">
        <v>743</v>
      </c>
      <c r="B371" s="17" t="s">
        <v>3599</v>
      </c>
      <c r="C371" s="22" t="s">
        <v>6197</v>
      </c>
      <c r="D371" s="17" t="s">
        <v>6197</v>
      </c>
      <c r="E371" s="17" t="s">
        <v>3600</v>
      </c>
      <c r="F371" s="17" t="s">
        <v>3370</v>
      </c>
      <c r="G371" s="17" t="s">
        <v>1941</v>
      </c>
      <c r="H371" s="17">
        <v>89115</v>
      </c>
      <c r="I371" t="s">
        <v>1942</v>
      </c>
    </row>
    <row r="372" spans="1:9" x14ac:dyDescent="0.25">
      <c r="A372" s="17" t="s">
        <v>745</v>
      </c>
      <c r="B372" s="17" t="s">
        <v>3601</v>
      </c>
      <c r="C372" s="17" t="s">
        <v>3602</v>
      </c>
      <c r="D372" s="17" t="s">
        <v>3603</v>
      </c>
      <c r="E372" s="17" t="s">
        <v>3604</v>
      </c>
      <c r="F372" s="17" t="s">
        <v>2938</v>
      </c>
      <c r="G372" s="17" t="s">
        <v>1941</v>
      </c>
      <c r="H372" s="17">
        <v>84105</v>
      </c>
      <c r="I372" t="s">
        <v>1942</v>
      </c>
    </row>
    <row r="373" spans="1:9" x14ac:dyDescent="0.25">
      <c r="A373" s="17" t="s">
        <v>747</v>
      </c>
      <c r="B373" s="17" t="s">
        <v>3605</v>
      </c>
      <c r="C373" s="17" t="s">
        <v>3606</v>
      </c>
      <c r="D373" s="17" t="s">
        <v>3607</v>
      </c>
      <c r="E373" s="17" t="s">
        <v>3608</v>
      </c>
      <c r="F373" s="17" t="s">
        <v>3492</v>
      </c>
      <c r="G373" s="17" t="s">
        <v>1941</v>
      </c>
      <c r="H373" s="17">
        <v>98109</v>
      </c>
      <c r="I373" t="s">
        <v>1942</v>
      </c>
    </row>
    <row r="374" spans="1:9" x14ac:dyDescent="0.25">
      <c r="A374" s="17" t="s">
        <v>749</v>
      </c>
      <c r="B374" s="17" t="s">
        <v>3609</v>
      </c>
      <c r="C374" s="17" t="s">
        <v>3610</v>
      </c>
      <c r="D374" s="17" t="s">
        <v>3611</v>
      </c>
      <c r="E374" s="17" t="s">
        <v>3612</v>
      </c>
      <c r="F374" s="17" t="s">
        <v>3613</v>
      </c>
      <c r="G374" s="17" t="s">
        <v>1941</v>
      </c>
      <c r="H374" s="17">
        <v>79764</v>
      </c>
      <c r="I374" t="s">
        <v>1951</v>
      </c>
    </row>
    <row r="375" spans="1:9" x14ac:dyDescent="0.25">
      <c r="A375" s="17" t="s">
        <v>751</v>
      </c>
      <c r="B375" s="17" t="s">
        <v>3614</v>
      </c>
      <c r="C375" s="22" t="s">
        <v>6197</v>
      </c>
      <c r="D375" s="17" t="s">
        <v>3615</v>
      </c>
      <c r="E375" s="17" t="s">
        <v>3616</v>
      </c>
      <c r="F375" s="17" t="s">
        <v>3617</v>
      </c>
      <c r="G375" s="17" t="s">
        <v>1949</v>
      </c>
      <c r="H375" s="17" t="s">
        <v>3618</v>
      </c>
      <c r="I375" t="s">
        <v>1942</v>
      </c>
    </row>
    <row r="376" spans="1:9" x14ac:dyDescent="0.25">
      <c r="A376" s="17" t="s">
        <v>753</v>
      </c>
      <c r="B376" s="17" t="s">
        <v>3619</v>
      </c>
      <c r="C376" s="17" t="s">
        <v>3620</v>
      </c>
      <c r="D376" s="17" t="s">
        <v>3621</v>
      </c>
      <c r="E376" s="17" t="s">
        <v>3622</v>
      </c>
      <c r="F376" s="17" t="s">
        <v>3623</v>
      </c>
      <c r="G376" s="17" t="s">
        <v>1941</v>
      </c>
      <c r="H376" s="17">
        <v>75037</v>
      </c>
      <c r="I376" t="s">
        <v>1942</v>
      </c>
    </row>
    <row r="377" spans="1:9" x14ac:dyDescent="0.25">
      <c r="A377" s="17" t="s">
        <v>755</v>
      </c>
      <c r="B377" s="17" t="s">
        <v>3624</v>
      </c>
      <c r="C377" s="17" t="s">
        <v>3625</v>
      </c>
      <c r="D377" s="17" t="s">
        <v>3626</v>
      </c>
      <c r="E377" s="17" t="s">
        <v>3627</v>
      </c>
      <c r="F377" s="17" t="s">
        <v>1976</v>
      </c>
      <c r="G377" s="17" t="s">
        <v>1941</v>
      </c>
      <c r="H377" s="17">
        <v>45426</v>
      </c>
      <c r="I377" t="s">
        <v>1942</v>
      </c>
    </row>
    <row r="378" spans="1:9" x14ac:dyDescent="0.25">
      <c r="A378" s="17" t="s">
        <v>757</v>
      </c>
      <c r="B378" s="17" t="s">
        <v>3628</v>
      </c>
      <c r="C378" s="17" t="s">
        <v>3629</v>
      </c>
      <c r="D378" s="17" t="s">
        <v>3630</v>
      </c>
      <c r="E378" s="17" t="s">
        <v>3631</v>
      </c>
      <c r="F378" s="17" t="s">
        <v>2048</v>
      </c>
      <c r="G378" s="17" t="s">
        <v>1941</v>
      </c>
      <c r="H378" s="17">
        <v>49560</v>
      </c>
      <c r="I378" t="s">
        <v>1942</v>
      </c>
    </row>
    <row r="379" spans="1:9" x14ac:dyDescent="0.25">
      <c r="A379" s="17" t="s">
        <v>759</v>
      </c>
      <c r="B379" s="17" t="s">
        <v>3632</v>
      </c>
      <c r="C379" s="17" t="s">
        <v>3633</v>
      </c>
      <c r="D379" s="17" t="s">
        <v>3634</v>
      </c>
      <c r="E379" s="17" t="s">
        <v>3635</v>
      </c>
      <c r="F379" s="17" t="s">
        <v>2933</v>
      </c>
      <c r="G379" s="17" t="s">
        <v>1949</v>
      </c>
      <c r="H379" s="17" t="s">
        <v>2083</v>
      </c>
      <c r="I379" t="s">
        <v>1951</v>
      </c>
    </row>
    <row r="380" spans="1:9" x14ac:dyDescent="0.25">
      <c r="A380" s="17" t="s">
        <v>761</v>
      </c>
      <c r="B380" s="17" t="s">
        <v>3636</v>
      </c>
      <c r="C380" s="17" t="s">
        <v>3637</v>
      </c>
      <c r="D380" s="17" t="s">
        <v>3638</v>
      </c>
      <c r="E380" s="17" t="s">
        <v>3639</v>
      </c>
      <c r="F380" s="17" t="s">
        <v>3640</v>
      </c>
      <c r="G380" s="17" t="s">
        <v>1949</v>
      </c>
      <c r="H380" s="17" t="s">
        <v>2425</v>
      </c>
      <c r="I380" t="s">
        <v>1942</v>
      </c>
    </row>
    <row r="381" spans="1:9" x14ac:dyDescent="0.25">
      <c r="A381" s="17" t="s">
        <v>763</v>
      </c>
      <c r="B381" s="17" t="s">
        <v>3641</v>
      </c>
      <c r="C381" s="17" t="s">
        <v>3642</v>
      </c>
      <c r="D381" s="17" t="s">
        <v>6197</v>
      </c>
      <c r="E381" s="17" t="s">
        <v>3643</v>
      </c>
      <c r="F381" s="17" t="s">
        <v>3644</v>
      </c>
      <c r="G381" s="17" t="s">
        <v>2116</v>
      </c>
      <c r="H381" s="17" t="s">
        <v>3645</v>
      </c>
      <c r="I381" t="s">
        <v>1942</v>
      </c>
    </row>
    <row r="382" spans="1:9" x14ac:dyDescent="0.25">
      <c r="A382" s="17" t="s">
        <v>3646</v>
      </c>
      <c r="B382" s="17" t="s">
        <v>3647</v>
      </c>
      <c r="C382" s="17" t="s">
        <v>3648</v>
      </c>
      <c r="D382" s="17" t="s">
        <v>3649</v>
      </c>
      <c r="E382" s="17" t="s">
        <v>3650</v>
      </c>
      <c r="F382" s="17" t="s">
        <v>1962</v>
      </c>
      <c r="G382" s="17" t="s">
        <v>1941</v>
      </c>
      <c r="H382" s="17">
        <v>62756</v>
      </c>
      <c r="I382" t="s">
        <v>1951</v>
      </c>
    </row>
    <row r="383" spans="1:9" x14ac:dyDescent="0.25">
      <c r="A383" s="17" t="s">
        <v>766</v>
      </c>
      <c r="B383" s="17" t="s">
        <v>3651</v>
      </c>
      <c r="C383" s="17" t="s">
        <v>3652</v>
      </c>
      <c r="D383" s="17" t="s">
        <v>3653</v>
      </c>
      <c r="E383" s="17" t="s">
        <v>3654</v>
      </c>
      <c r="F383" s="17" t="s">
        <v>1986</v>
      </c>
      <c r="G383" s="17" t="s">
        <v>1941</v>
      </c>
      <c r="H383" s="17">
        <v>90010</v>
      </c>
      <c r="I383" t="s">
        <v>1942</v>
      </c>
    </row>
    <row r="384" spans="1:9" x14ac:dyDescent="0.25">
      <c r="A384" s="17" t="s">
        <v>768</v>
      </c>
      <c r="B384" s="17" t="s">
        <v>3655</v>
      </c>
      <c r="C384" s="17" t="s">
        <v>3656</v>
      </c>
      <c r="D384" s="17" t="s">
        <v>3657</v>
      </c>
      <c r="E384" s="17" t="s">
        <v>3658</v>
      </c>
      <c r="F384" s="17" t="s">
        <v>3316</v>
      </c>
      <c r="G384" s="17" t="s">
        <v>1941</v>
      </c>
      <c r="H384" s="17">
        <v>21239</v>
      </c>
      <c r="I384" t="s">
        <v>1951</v>
      </c>
    </row>
    <row r="385" spans="1:9" x14ac:dyDescent="0.25">
      <c r="A385" s="17" t="s">
        <v>770</v>
      </c>
      <c r="B385" s="17" t="s">
        <v>3659</v>
      </c>
      <c r="C385" s="22" t="s">
        <v>6197</v>
      </c>
      <c r="D385" s="17" t="s">
        <v>3660</v>
      </c>
      <c r="E385" s="17" t="s">
        <v>3661</v>
      </c>
      <c r="F385" s="17" t="s">
        <v>3662</v>
      </c>
      <c r="G385" s="17" t="s">
        <v>1941</v>
      </c>
      <c r="H385" s="17">
        <v>17126</v>
      </c>
      <c r="I385" t="s">
        <v>1942</v>
      </c>
    </row>
    <row r="386" spans="1:9" x14ac:dyDescent="0.25">
      <c r="A386" s="17" t="s">
        <v>772</v>
      </c>
      <c r="B386" s="17" t="s">
        <v>3663</v>
      </c>
      <c r="C386" s="22" t="s">
        <v>6197</v>
      </c>
      <c r="D386" s="17" t="s">
        <v>3664</v>
      </c>
      <c r="E386" s="17" t="s">
        <v>3665</v>
      </c>
      <c r="F386" s="17" t="s">
        <v>2325</v>
      </c>
      <c r="G386" s="17" t="s">
        <v>1941</v>
      </c>
      <c r="H386" s="17">
        <v>75216</v>
      </c>
      <c r="I386" t="s">
        <v>1951</v>
      </c>
    </row>
    <row r="387" spans="1:9" x14ac:dyDescent="0.25">
      <c r="A387" s="17" t="s">
        <v>774</v>
      </c>
      <c r="B387" s="17" t="s">
        <v>3666</v>
      </c>
      <c r="C387" s="17" t="s">
        <v>3667</v>
      </c>
      <c r="D387" s="17" t="s">
        <v>3668</v>
      </c>
      <c r="E387" s="17" t="s">
        <v>3669</v>
      </c>
      <c r="F387" s="17" t="s">
        <v>2375</v>
      </c>
      <c r="G387" s="17" t="s">
        <v>1941</v>
      </c>
      <c r="H387" s="17">
        <v>64125</v>
      </c>
      <c r="I387" t="s">
        <v>1942</v>
      </c>
    </row>
    <row r="388" spans="1:9" x14ac:dyDescent="0.25">
      <c r="A388" s="17" t="s">
        <v>776</v>
      </c>
      <c r="B388" s="17" t="s">
        <v>3670</v>
      </c>
      <c r="C388" s="22" t="s">
        <v>6197</v>
      </c>
      <c r="D388" s="17" t="s">
        <v>3671</v>
      </c>
      <c r="E388" s="17" t="s">
        <v>3672</v>
      </c>
      <c r="F388" s="17" t="s">
        <v>1962</v>
      </c>
      <c r="G388" s="17" t="s">
        <v>1941</v>
      </c>
      <c r="H388" s="17">
        <v>62723</v>
      </c>
      <c r="I388" t="s">
        <v>1942</v>
      </c>
    </row>
    <row r="389" spans="1:9" x14ac:dyDescent="0.25">
      <c r="A389" s="17" t="s">
        <v>778</v>
      </c>
      <c r="B389" s="17" t="s">
        <v>3673</v>
      </c>
      <c r="C389" s="17" t="s">
        <v>3674</v>
      </c>
      <c r="D389" s="17" t="s">
        <v>3675</v>
      </c>
      <c r="E389" s="17" t="s">
        <v>3676</v>
      </c>
      <c r="F389" s="17" t="s">
        <v>3677</v>
      </c>
      <c r="G389" s="17" t="s">
        <v>1941</v>
      </c>
      <c r="H389" s="17">
        <v>6510</v>
      </c>
      <c r="I389" t="s">
        <v>1942</v>
      </c>
    </row>
    <row r="390" spans="1:9" x14ac:dyDescent="0.25">
      <c r="A390" s="17" t="s">
        <v>780</v>
      </c>
      <c r="B390" s="17" t="s">
        <v>3678</v>
      </c>
      <c r="C390" s="17" t="s">
        <v>3679</v>
      </c>
      <c r="D390" s="17" t="s">
        <v>3680</v>
      </c>
      <c r="E390" s="17" t="s">
        <v>3681</v>
      </c>
      <c r="F390" s="17" t="s">
        <v>3682</v>
      </c>
      <c r="G390" s="17" t="s">
        <v>1941</v>
      </c>
      <c r="H390" s="17">
        <v>30045</v>
      </c>
      <c r="I390" t="s">
        <v>1942</v>
      </c>
    </row>
    <row r="391" spans="1:9" x14ac:dyDescent="0.25">
      <c r="A391" s="17" t="s">
        <v>782</v>
      </c>
      <c r="B391" s="17" t="s">
        <v>3683</v>
      </c>
      <c r="C391" s="17" t="s">
        <v>3684</v>
      </c>
      <c r="D391" s="17" t="s">
        <v>3685</v>
      </c>
      <c r="E391" s="17" t="s">
        <v>3686</v>
      </c>
      <c r="F391" s="17" t="s">
        <v>3687</v>
      </c>
      <c r="G391" s="17" t="s">
        <v>1941</v>
      </c>
      <c r="H391" s="17">
        <v>28805</v>
      </c>
      <c r="I391" t="s">
        <v>1942</v>
      </c>
    </row>
    <row r="392" spans="1:9" x14ac:dyDescent="0.25">
      <c r="A392" s="17" t="s">
        <v>784</v>
      </c>
      <c r="B392" s="17" t="s">
        <v>3688</v>
      </c>
      <c r="C392" s="17" t="s">
        <v>3689</v>
      </c>
      <c r="D392" s="17" t="s">
        <v>6197</v>
      </c>
      <c r="E392" s="17" t="s">
        <v>3690</v>
      </c>
      <c r="F392" s="17" t="s">
        <v>2233</v>
      </c>
      <c r="G392" s="17" t="s">
        <v>1941</v>
      </c>
      <c r="H392" s="17">
        <v>55123</v>
      </c>
      <c r="I392" t="s">
        <v>1942</v>
      </c>
    </row>
    <row r="393" spans="1:9" x14ac:dyDescent="0.25">
      <c r="A393" s="17" t="s">
        <v>786</v>
      </c>
      <c r="B393" s="17" t="s">
        <v>3691</v>
      </c>
      <c r="C393" s="17" t="s">
        <v>3692</v>
      </c>
      <c r="D393" s="17" t="s">
        <v>6197</v>
      </c>
      <c r="E393" s="17" t="s">
        <v>3693</v>
      </c>
      <c r="F393" s="17" t="s">
        <v>2137</v>
      </c>
      <c r="G393" s="17" t="s">
        <v>1941</v>
      </c>
      <c r="H393" s="17">
        <v>55458</v>
      </c>
      <c r="I393" t="s">
        <v>1951</v>
      </c>
    </row>
    <row r="394" spans="1:9" x14ac:dyDescent="0.25">
      <c r="A394" s="17" t="s">
        <v>788</v>
      </c>
      <c r="B394" s="17" t="s">
        <v>3694</v>
      </c>
      <c r="C394" s="17" t="s">
        <v>3695</v>
      </c>
      <c r="D394" s="17" t="s">
        <v>3696</v>
      </c>
      <c r="E394" s="17" t="s">
        <v>3697</v>
      </c>
      <c r="F394" s="17" t="s">
        <v>2572</v>
      </c>
      <c r="G394" s="17" t="s">
        <v>1941</v>
      </c>
      <c r="H394" s="17">
        <v>92725</v>
      </c>
      <c r="I394" t="s">
        <v>1951</v>
      </c>
    </row>
    <row r="395" spans="1:9" x14ac:dyDescent="0.25">
      <c r="A395" s="17" t="s">
        <v>3698</v>
      </c>
      <c r="B395" s="17" t="s">
        <v>3699</v>
      </c>
      <c r="C395" s="17" t="s">
        <v>3700</v>
      </c>
      <c r="D395" s="17" t="s">
        <v>3701</v>
      </c>
      <c r="E395" s="17" t="s">
        <v>3702</v>
      </c>
      <c r="F395" s="17" t="s">
        <v>3703</v>
      </c>
      <c r="G395" s="17" t="s">
        <v>1941</v>
      </c>
      <c r="H395" s="17">
        <v>21747</v>
      </c>
      <c r="I395" t="s">
        <v>1942</v>
      </c>
    </row>
    <row r="396" spans="1:9" x14ac:dyDescent="0.25">
      <c r="A396" s="17" t="s">
        <v>790</v>
      </c>
      <c r="B396" s="17" t="s">
        <v>3704</v>
      </c>
      <c r="C396" s="17" t="s">
        <v>3705</v>
      </c>
      <c r="D396" s="17" t="s">
        <v>3706</v>
      </c>
      <c r="E396" s="17" t="s">
        <v>3707</v>
      </c>
      <c r="F396" s="17" t="s">
        <v>2137</v>
      </c>
      <c r="G396" s="17" t="s">
        <v>1941</v>
      </c>
      <c r="H396" s="17">
        <v>55458</v>
      </c>
      <c r="I396" t="s">
        <v>1951</v>
      </c>
    </row>
    <row r="397" spans="1:9" x14ac:dyDescent="0.25">
      <c r="A397" s="17" t="s">
        <v>792</v>
      </c>
      <c r="B397" s="17" t="s">
        <v>3708</v>
      </c>
      <c r="C397" s="17" t="s">
        <v>3709</v>
      </c>
      <c r="D397" s="17" t="s">
        <v>6197</v>
      </c>
      <c r="E397" s="17" t="s">
        <v>3710</v>
      </c>
      <c r="F397" s="17" t="s">
        <v>2186</v>
      </c>
      <c r="G397" s="17" t="s">
        <v>1941</v>
      </c>
      <c r="H397" s="17">
        <v>20420</v>
      </c>
      <c r="I397" t="s">
        <v>1942</v>
      </c>
    </row>
    <row r="398" spans="1:9" x14ac:dyDescent="0.25">
      <c r="A398" s="17" t="s">
        <v>794</v>
      </c>
      <c r="B398" s="17" t="s">
        <v>3711</v>
      </c>
      <c r="C398" s="17" t="s">
        <v>3712</v>
      </c>
      <c r="D398" s="17" t="s">
        <v>3713</v>
      </c>
      <c r="E398" s="17" t="s">
        <v>3714</v>
      </c>
      <c r="F398" s="17" t="s">
        <v>2177</v>
      </c>
      <c r="G398" s="17" t="s">
        <v>1941</v>
      </c>
      <c r="H398" s="17">
        <v>92415</v>
      </c>
      <c r="I398" t="s">
        <v>1951</v>
      </c>
    </row>
    <row r="399" spans="1:9" x14ac:dyDescent="0.25">
      <c r="A399" s="17" t="s">
        <v>796</v>
      </c>
      <c r="B399" s="17" t="s">
        <v>3715</v>
      </c>
      <c r="C399" s="17" t="s">
        <v>3716</v>
      </c>
      <c r="D399" s="17" t="s">
        <v>3717</v>
      </c>
      <c r="E399" s="17" t="s">
        <v>3718</v>
      </c>
      <c r="F399" s="17" t="s">
        <v>2163</v>
      </c>
      <c r="G399" s="17" t="s">
        <v>1941</v>
      </c>
      <c r="H399" s="17">
        <v>14609</v>
      </c>
      <c r="I399" t="s">
        <v>1942</v>
      </c>
    </row>
    <row r="400" spans="1:9" x14ac:dyDescent="0.25">
      <c r="A400" s="17" t="s">
        <v>798</v>
      </c>
      <c r="B400" s="17" t="s">
        <v>3719</v>
      </c>
      <c r="C400" s="17" t="s">
        <v>3720</v>
      </c>
      <c r="D400" s="17" t="s">
        <v>3721</v>
      </c>
      <c r="E400" s="17" t="s">
        <v>3722</v>
      </c>
      <c r="F400" s="17" t="s">
        <v>2058</v>
      </c>
      <c r="G400" s="17" t="s">
        <v>1941</v>
      </c>
      <c r="H400" s="17">
        <v>98664</v>
      </c>
      <c r="I400" t="s">
        <v>1942</v>
      </c>
    </row>
    <row r="401" spans="1:9" x14ac:dyDescent="0.25">
      <c r="A401" s="17" t="s">
        <v>800</v>
      </c>
      <c r="B401" s="17" t="s">
        <v>3723</v>
      </c>
      <c r="C401" s="17" t="s">
        <v>3724</v>
      </c>
      <c r="D401" s="17" t="s">
        <v>3725</v>
      </c>
      <c r="E401" s="17" t="s">
        <v>3726</v>
      </c>
      <c r="F401" s="17" t="s">
        <v>3727</v>
      </c>
      <c r="G401" s="17" t="s">
        <v>2116</v>
      </c>
      <c r="H401" s="17" t="s">
        <v>3728</v>
      </c>
      <c r="I401" t="s">
        <v>1951</v>
      </c>
    </row>
    <row r="402" spans="1:9" x14ac:dyDescent="0.25">
      <c r="A402" s="17" t="s">
        <v>802</v>
      </c>
      <c r="B402" s="17" t="s">
        <v>3729</v>
      </c>
      <c r="C402" s="17" t="s">
        <v>3730</v>
      </c>
      <c r="D402" s="17" t="s">
        <v>3731</v>
      </c>
      <c r="E402" s="17" t="s">
        <v>3732</v>
      </c>
      <c r="F402" s="17" t="s">
        <v>2186</v>
      </c>
      <c r="G402" s="17" t="s">
        <v>1941</v>
      </c>
      <c r="H402" s="17">
        <v>20057</v>
      </c>
      <c r="I402" t="s">
        <v>1951</v>
      </c>
    </row>
    <row r="403" spans="1:9" x14ac:dyDescent="0.25">
      <c r="A403" s="17" t="s">
        <v>804</v>
      </c>
      <c r="B403" s="17" t="s">
        <v>3733</v>
      </c>
      <c r="C403" s="17" t="s">
        <v>3734</v>
      </c>
      <c r="D403" s="17" t="s">
        <v>3735</v>
      </c>
      <c r="E403" s="17" t="s">
        <v>3736</v>
      </c>
      <c r="F403" s="17" t="s">
        <v>3412</v>
      </c>
      <c r="G403" s="17" t="s">
        <v>1941</v>
      </c>
      <c r="H403" s="17">
        <v>37924</v>
      </c>
      <c r="I403" t="s">
        <v>1942</v>
      </c>
    </row>
    <row r="404" spans="1:9" x14ac:dyDescent="0.25">
      <c r="A404" s="17" t="s">
        <v>806</v>
      </c>
      <c r="B404" s="17" t="s">
        <v>3737</v>
      </c>
      <c r="C404" s="17" t="s">
        <v>3738</v>
      </c>
      <c r="D404" s="17" t="s">
        <v>3739</v>
      </c>
      <c r="E404" s="17" t="s">
        <v>3740</v>
      </c>
      <c r="F404" s="17" t="s">
        <v>2122</v>
      </c>
      <c r="G404" s="17" t="s">
        <v>1941</v>
      </c>
      <c r="H404" s="17">
        <v>25336</v>
      </c>
      <c r="I404" t="s">
        <v>1942</v>
      </c>
    </row>
    <row r="405" spans="1:9" x14ac:dyDescent="0.25">
      <c r="A405" s="17" t="s">
        <v>808</v>
      </c>
      <c r="B405" s="17" t="s">
        <v>3741</v>
      </c>
      <c r="C405" s="17" t="s">
        <v>3742</v>
      </c>
      <c r="D405" s="17" t="s">
        <v>3743</v>
      </c>
      <c r="E405" s="17" t="s">
        <v>3744</v>
      </c>
      <c r="F405" s="17" t="s">
        <v>2325</v>
      </c>
      <c r="G405" s="17" t="s">
        <v>1941</v>
      </c>
      <c r="H405" s="17">
        <v>75372</v>
      </c>
      <c r="I405" t="s">
        <v>1951</v>
      </c>
    </row>
    <row r="406" spans="1:9" x14ac:dyDescent="0.25">
      <c r="A406" s="17" t="s">
        <v>810</v>
      </c>
      <c r="B406" s="17" t="s">
        <v>3745</v>
      </c>
      <c r="C406" s="17" t="s">
        <v>3746</v>
      </c>
      <c r="D406" s="17" t="s">
        <v>3747</v>
      </c>
      <c r="E406" s="17" t="s">
        <v>3748</v>
      </c>
      <c r="F406" s="17" t="s">
        <v>3749</v>
      </c>
      <c r="G406" s="17" t="s">
        <v>1949</v>
      </c>
      <c r="H406" s="17" t="s">
        <v>3750</v>
      </c>
      <c r="I406" t="s">
        <v>1951</v>
      </c>
    </row>
    <row r="407" spans="1:9" x14ac:dyDescent="0.25">
      <c r="A407" s="17" t="s">
        <v>812</v>
      </c>
      <c r="B407" s="17" t="s">
        <v>3751</v>
      </c>
      <c r="C407" s="17" t="s">
        <v>3752</v>
      </c>
      <c r="D407" s="17" t="s">
        <v>3753</v>
      </c>
      <c r="E407" s="17" t="s">
        <v>3754</v>
      </c>
      <c r="F407" s="17" t="s">
        <v>3755</v>
      </c>
      <c r="G407" s="17" t="s">
        <v>1941</v>
      </c>
      <c r="H407" s="17">
        <v>95973</v>
      </c>
      <c r="I407" t="s">
        <v>1942</v>
      </c>
    </row>
    <row r="408" spans="1:9" x14ac:dyDescent="0.25">
      <c r="A408" s="17" t="s">
        <v>814</v>
      </c>
      <c r="B408" s="17" t="s">
        <v>3756</v>
      </c>
      <c r="C408" s="17" t="s">
        <v>3757</v>
      </c>
      <c r="D408" s="17" t="s">
        <v>3758</v>
      </c>
      <c r="E408" s="17" t="s">
        <v>3759</v>
      </c>
      <c r="F408" s="17" t="s">
        <v>2127</v>
      </c>
      <c r="G408" s="17" t="s">
        <v>1941</v>
      </c>
      <c r="H408" s="17">
        <v>72215</v>
      </c>
      <c r="I408" t="s">
        <v>1942</v>
      </c>
    </row>
    <row r="409" spans="1:9" x14ac:dyDescent="0.25">
      <c r="A409" s="17" t="s">
        <v>816</v>
      </c>
      <c r="B409" s="17" t="s">
        <v>3760</v>
      </c>
      <c r="C409" s="22" t="s">
        <v>6197</v>
      </c>
      <c r="D409" s="17" t="s">
        <v>3761</v>
      </c>
      <c r="E409" s="17" t="s">
        <v>3762</v>
      </c>
      <c r="F409" s="17" t="s">
        <v>3763</v>
      </c>
      <c r="G409" s="17" t="s">
        <v>1949</v>
      </c>
      <c r="H409" s="17" t="s">
        <v>3764</v>
      </c>
      <c r="I409" t="s">
        <v>1951</v>
      </c>
    </row>
    <row r="410" spans="1:9" x14ac:dyDescent="0.25">
      <c r="A410" s="17" t="s">
        <v>818</v>
      </c>
      <c r="B410" s="17" t="s">
        <v>3765</v>
      </c>
      <c r="C410" s="17" t="s">
        <v>3766</v>
      </c>
      <c r="D410" s="17" t="s">
        <v>3767</v>
      </c>
      <c r="E410" s="17" t="s">
        <v>3768</v>
      </c>
      <c r="F410" s="17" t="s">
        <v>3769</v>
      </c>
      <c r="G410" s="17" t="s">
        <v>1941</v>
      </c>
      <c r="H410" s="17">
        <v>8922</v>
      </c>
      <c r="I410" t="s">
        <v>1942</v>
      </c>
    </row>
    <row r="411" spans="1:9" x14ac:dyDescent="0.25">
      <c r="A411" s="17" t="s">
        <v>820</v>
      </c>
      <c r="B411" s="17" t="s">
        <v>3770</v>
      </c>
      <c r="C411" s="22" t="s">
        <v>6197</v>
      </c>
      <c r="D411" s="17" t="s">
        <v>3771</v>
      </c>
      <c r="E411" s="17" t="s">
        <v>3772</v>
      </c>
      <c r="F411" s="17" t="s">
        <v>3773</v>
      </c>
      <c r="G411" s="17" t="s">
        <v>1949</v>
      </c>
      <c r="H411" s="17" t="s">
        <v>3774</v>
      </c>
      <c r="I411" t="s">
        <v>1942</v>
      </c>
    </row>
    <row r="412" spans="1:9" x14ac:dyDescent="0.25">
      <c r="A412" s="17" t="s">
        <v>822</v>
      </c>
      <c r="B412" s="17" t="s">
        <v>3775</v>
      </c>
      <c r="C412" s="22" t="s">
        <v>6197</v>
      </c>
      <c r="D412" s="17" t="s">
        <v>3776</v>
      </c>
      <c r="E412" s="17" t="s">
        <v>3777</v>
      </c>
      <c r="F412" s="17" t="s">
        <v>3090</v>
      </c>
      <c r="G412" s="17" t="s">
        <v>1941</v>
      </c>
      <c r="H412" s="17">
        <v>94132</v>
      </c>
      <c r="I412" t="s">
        <v>1951</v>
      </c>
    </row>
    <row r="413" spans="1:9" x14ac:dyDescent="0.25">
      <c r="A413" s="17" t="s">
        <v>824</v>
      </c>
      <c r="B413" s="17" t="s">
        <v>3778</v>
      </c>
      <c r="C413" s="22" t="s">
        <v>6197</v>
      </c>
      <c r="D413" s="17" t="s">
        <v>3779</v>
      </c>
      <c r="E413" s="17" t="s">
        <v>3780</v>
      </c>
      <c r="F413" s="17" t="s">
        <v>3781</v>
      </c>
      <c r="G413" s="17" t="s">
        <v>1941</v>
      </c>
      <c r="H413" s="17">
        <v>70505</v>
      </c>
      <c r="I413" t="s">
        <v>1942</v>
      </c>
    </row>
    <row r="414" spans="1:9" x14ac:dyDescent="0.25">
      <c r="A414" s="17" t="s">
        <v>826</v>
      </c>
      <c r="B414" s="17" t="s">
        <v>3782</v>
      </c>
      <c r="C414" s="22" t="s">
        <v>6197</v>
      </c>
      <c r="D414" s="17" t="s">
        <v>3783</v>
      </c>
      <c r="E414" s="17" t="s">
        <v>3784</v>
      </c>
      <c r="F414" s="17" t="s">
        <v>3785</v>
      </c>
      <c r="G414" s="17" t="s">
        <v>1941</v>
      </c>
      <c r="H414" s="17">
        <v>92191</v>
      </c>
      <c r="I414" t="s">
        <v>1942</v>
      </c>
    </row>
    <row r="415" spans="1:9" x14ac:dyDescent="0.25">
      <c r="A415" s="17" t="s">
        <v>828</v>
      </c>
      <c r="B415" s="17" t="s">
        <v>3786</v>
      </c>
      <c r="C415" s="17" t="s">
        <v>3787</v>
      </c>
      <c r="D415" s="17" t="s">
        <v>3788</v>
      </c>
      <c r="E415" s="17" t="s">
        <v>3789</v>
      </c>
      <c r="F415" s="17" t="s">
        <v>3790</v>
      </c>
      <c r="G415" s="17" t="s">
        <v>1941</v>
      </c>
      <c r="H415" s="17">
        <v>91841</v>
      </c>
      <c r="I415" t="s">
        <v>1942</v>
      </c>
    </row>
    <row r="416" spans="1:9" x14ac:dyDescent="0.25">
      <c r="A416" s="17" t="s">
        <v>830</v>
      </c>
      <c r="B416" s="17" t="s">
        <v>3791</v>
      </c>
      <c r="C416" s="22" t="s">
        <v>6197</v>
      </c>
      <c r="D416" s="17" t="s">
        <v>3792</v>
      </c>
      <c r="E416" s="17" t="s">
        <v>3793</v>
      </c>
      <c r="F416" s="17" t="s">
        <v>3515</v>
      </c>
      <c r="G416" s="17" t="s">
        <v>1941</v>
      </c>
      <c r="H416" s="17">
        <v>75799</v>
      </c>
      <c r="I416" t="s">
        <v>1942</v>
      </c>
    </row>
    <row r="417" spans="1:9" x14ac:dyDescent="0.25">
      <c r="A417" s="17" t="s">
        <v>832</v>
      </c>
      <c r="B417" s="17" t="s">
        <v>3794</v>
      </c>
      <c r="C417" s="17" t="s">
        <v>3795</v>
      </c>
      <c r="D417" s="17" t="s">
        <v>6197</v>
      </c>
      <c r="E417" s="17" t="s">
        <v>3796</v>
      </c>
      <c r="F417" s="17" t="s">
        <v>3781</v>
      </c>
      <c r="G417" s="17" t="s">
        <v>1941</v>
      </c>
      <c r="H417" s="17">
        <v>70593</v>
      </c>
      <c r="I417" t="s">
        <v>1951</v>
      </c>
    </row>
    <row r="418" spans="1:9" x14ac:dyDescent="0.25">
      <c r="A418" s="17" t="s">
        <v>834</v>
      </c>
      <c r="B418" s="17" t="s">
        <v>3797</v>
      </c>
      <c r="C418" s="22" t="s">
        <v>6197</v>
      </c>
      <c r="D418" s="17" t="s">
        <v>3798</v>
      </c>
      <c r="E418" s="17" t="s">
        <v>3799</v>
      </c>
      <c r="F418" s="17" t="s">
        <v>1976</v>
      </c>
      <c r="G418" s="17" t="s">
        <v>1941</v>
      </c>
      <c r="H418" s="17">
        <v>45426</v>
      </c>
      <c r="I418" t="s">
        <v>1942</v>
      </c>
    </row>
    <row r="419" spans="1:9" x14ac:dyDescent="0.25">
      <c r="A419" s="17" t="s">
        <v>836</v>
      </c>
      <c r="B419" s="17" t="s">
        <v>3800</v>
      </c>
      <c r="C419" s="22" t="s">
        <v>6197</v>
      </c>
      <c r="D419" s="17" t="s">
        <v>3801</v>
      </c>
      <c r="E419" s="17" t="s">
        <v>3802</v>
      </c>
      <c r="F419" s="17" t="s">
        <v>3099</v>
      </c>
      <c r="G419" s="17" t="s">
        <v>1941</v>
      </c>
      <c r="H419" s="17">
        <v>85072</v>
      </c>
      <c r="I419" t="s">
        <v>1942</v>
      </c>
    </row>
    <row r="420" spans="1:9" x14ac:dyDescent="0.25">
      <c r="A420" s="17" t="s">
        <v>838</v>
      </c>
      <c r="B420" s="17" t="s">
        <v>3803</v>
      </c>
      <c r="C420" s="17" t="s">
        <v>3804</v>
      </c>
      <c r="D420" s="17" t="s">
        <v>6197</v>
      </c>
      <c r="E420" s="17" t="s">
        <v>3805</v>
      </c>
      <c r="F420" s="17" t="s">
        <v>2999</v>
      </c>
      <c r="G420" s="17" t="s">
        <v>1941</v>
      </c>
      <c r="H420" s="17">
        <v>94263</v>
      </c>
      <c r="I420" t="s">
        <v>1942</v>
      </c>
    </row>
    <row r="421" spans="1:9" x14ac:dyDescent="0.25">
      <c r="A421" s="17" t="s">
        <v>840</v>
      </c>
      <c r="B421" s="17" t="s">
        <v>3806</v>
      </c>
      <c r="C421" s="17" t="s">
        <v>3807</v>
      </c>
      <c r="D421" s="17" t="s">
        <v>3808</v>
      </c>
      <c r="E421" s="17" t="s">
        <v>3809</v>
      </c>
      <c r="F421" s="17" t="s">
        <v>3336</v>
      </c>
      <c r="G421" s="17" t="s">
        <v>1941</v>
      </c>
      <c r="H421" s="17">
        <v>68505</v>
      </c>
      <c r="I421" t="s">
        <v>1942</v>
      </c>
    </row>
    <row r="422" spans="1:9" x14ac:dyDescent="0.25">
      <c r="A422" s="17" t="s">
        <v>3810</v>
      </c>
      <c r="B422" s="17" t="s">
        <v>3811</v>
      </c>
      <c r="C422" s="17" t="s">
        <v>3812</v>
      </c>
      <c r="D422" s="17" t="s">
        <v>3813</v>
      </c>
      <c r="E422" s="17" t="s">
        <v>3814</v>
      </c>
      <c r="F422" s="17" t="s">
        <v>3662</v>
      </c>
      <c r="G422" s="17" t="s">
        <v>1941</v>
      </c>
      <c r="H422" s="17">
        <v>17126</v>
      </c>
      <c r="I422" t="s">
        <v>1951</v>
      </c>
    </row>
    <row r="423" spans="1:9" x14ac:dyDescent="0.25">
      <c r="A423" s="17" t="s">
        <v>3815</v>
      </c>
      <c r="B423" s="17" t="s">
        <v>3816</v>
      </c>
      <c r="C423" s="17" t="s">
        <v>3817</v>
      </c>
      <c r="D423" s="17" t="s">
        <v>3818</v>
      </c>
      <c r="E423" s="17" t="s">
        <v>3819</v>
      </c>
      <c r="F423" s="17" t="s">
        <v>2144</v>
      </c>
      <c r="G423" s="17" t="s">
        <v>1941</v>
      </c>
      <c r="H423" s="17">
        <v>70174</v>
      </c>
      <c r="I423" t="s">
        <v>1942</v>
      </c>
    </row>
    <row r="424" spans="1:9" x14ac:dyDescent="0.25">
      <c r="A424" s="17" t="s">
        <v>843</v>
      </c>
      <c r="B424" s="17" t="s">
        <v>3820</v>
      </c>
      <c r="C424" s="22" t="s">
        <v>6197</v>
      </c>
      <c r="D424" s="17" t="s">
        <v>3821</v>
      </c>
      <c r="E424" s="17" t="s">
        <v>3822</v>
      </c>
      <c r="F424" s="17" t="s">
        <v>3823</v>
      </c>
      <c r="G424" s="17" t="s">
        <v>1941</v>
      </c>
      <c r="H424" s="17">
        <v>53726</v>
      </c>
      <c r="I424" t="s">
        <v>1951</v>
      </c>
    </row>
    <row r="425" spans="1:9" x14ac:dyDescent="0.25">
      <c r="A425" s="17" t="s">
        <v>845</v>
      </c>
      <c r="B425" s="17" t="s">
        <v>3824</v>
      </c>
      <c r="C425" s="22" t="s">
        <v>6197</v>
      </c>
      <c r="D425" s="17" t="s">
        <v>3825</v>
      </c>
      <c r="E425" s="17" t="s">
        <v>3826</v>
      </c>
      <c r="F425" s="17" t="s">
        <v>2122</v>
      </c>
      <c r="G425" s="17" t="s">
        <v>1941</v>
      </c>
      <c r="H425" s="17">
        <v>25336</v>
      </c>
      <c r="I425" t="s">
        <v>1951</v>
      </c>
    </row>
    <row r="426" spans="1:9" x14ac:dyDescent="0.25">
      <c r="A426" s="17" t="s">
        <v>847</v>
      </c>
      <c r="B426" s="17" t="s">
        <v>3827</v>
      </c>
      <c r="C426" s="17" t="s">
        <v>3828</v>
      </c>
      <c r="D426" s="17" t="s">
        <v>3829</v>
      </c>
      <c r="E426" s="17" t="s">
        <v>3830</v>
      </c>
      <c r="F426" s="17" t="s">
        <v>2127</v>
      </c>
      <c r="G426" s="17" t="s">
        <v>1941</v>
      </c>
      <c r="H426" s="17">
        <v>72204</v>
      </c>
      <c r="I426" t="s">
        <v>1942</v>
      </c>
    </row>
    <row r="427" spans="1:9" x14ac:dyDescent="0.25">
      <c r="A427" s="17" t="s">
        <v>849</v>
      </c>
      <c r="B427" s="17" t="s">
        <v>3831</v>
      </c>
      <c r="C427" s="17" t="s">
        <v>3832</v>
      </c>
      <c r="D427" s="17" t="s">
        <v>3833</v>
      </c>
      <c r="E427" s="17" t="s">
        <v>3834</v>
      </c>
      <c r="F427" s="17" t="s">
        <v>2501</v>
      </c>
      <c r="G427" s="17" t="s">
        <v>1941</v>
      </c>
      <c r="H427" s="17">
        <v>99507</v>
      </c>
      <c r="I427" t="s">
        <v>1951</v>
      </c>
    </row>
    <row r="428" spans="1:9" x14ac:dyDescent="0.25">
      <c r="A428" s="17" t="s">
        <v>851</v>
      </c>
      <c r="B428" s="17" t="s">
        <v>3835</v>
      </c>
      <c r="C428" s="17" t="s">
        <v>3836</v>
      </c>
      <c r="D428" s="17" t="s">
        <v>3837</v>
      </c>
      <c r="E428" s="17" t="s">
        <v>3838</v>
      </c>
      <c r="F428" s="17" t="s">
        <v>3839</v>
      </c>
      <c r="G428" s="17" t="s">
        <v>1949</v>
      </c>
      <c r="H428" s="17" t="s">
        <v>3840</v>
      </c>
      <c r="I428" t="s">
        <v>1942</v>
      </c>
    </row>
    <row r="429" spans="1:9" x14ac:dyDescent="0.25">
      <c r="A429" s="17" t="s">
        <v>853</v>
      </c>
      <c r="B429" s="17" t="s">
        <v>3841</v>
      </c>
      <c r="C429" s="22" t="s">
        <v>6197</v>
      </c>
      <c r="D429" s="17" t="s">
        <v>3842</v>
      </c>
      <c r="E429" s="17" t="s">
        <v>3843</v>
      </c>
      <c r="F429" s="17" t="s">
        <v>3090</v>
      </c>
      <c r="G429" s="17" t="s">
        <v>1941</v>
      </c>
      <c r="H429" s="17">
        <v>94110</v>
      </c>
      <c r="I429" t="s">
        <v>1942</v>
      </c>
    </row>
    <row r="430" spans="1:9" x14ac:dyDescent="0.25">
      <c r="A430" s="17" t="s">
        <v>855</v>
      </c>
      <c r="B430" s="17" t="s">
        <v>3844</v>
      </c>
      <c r="C430" s="17" t="s">
        <v>3845</v>
      </c>
      <c r="D430" s="17" t="s">
        <v>3846</v>
      </c>
      <c r="E430" s="17" t="s">
        <v>3847</v>
      </c>
      <c r="F430" s="17" t="s">
        <v>2840</v>
      </c>
      <c r="G430" s="17" t="s">
        <v>1941</v>
      </c>
      <c r="H430" s="17">
        <v>44485</v>
      </c>
      <c r="I430" t="s">
        <v>1951</v>
      </c>
    </row>
    <row r="431" spans="1:9" x14ac:dyDescent="0.25">
      <c r="A431" s="17" t="s">
        <v>3848</v>
      </c>
      <c r="B431" s="17" t="s">
        <v>3849</v>
      </c>
      <c r="C431" s="17" t="s">
        <v>3850</v>
      </c>
      <c r="D431" s="17" t="s">
        <v>3851</v>
      </c>
      <c r="E431" s="17" t="s">
        <v>3852</v>
      </c>
      <c r="F431" s="17" t="s">
        <v>3853</v>
      </c>
      <c r="G431" s="17" t="s">
        <v>1941</v>
      </c>
      <c r="H431" s="17">
        <v>23324</v>
      </c>
      <c r="I431" t="s">
        <v>1951</v>
      </c>
    </row>
    <row r="432" spans="1:9" x14ac:dyDescent="0.25">
      <c r="A432" s="17" t="s">
        <v>858</v>
      </c>
      <c r="B432" s="17" t="s">
        <v>3854</v>
      </c>
      <c r="C432" s="17" t="s">
        <v>3855</v>
      </c>
      <c r="D432" s="17" t="s">
        <v>3856</v>
      </c>
      <c r="E432" s="17" t="s">
        <v>3857</v>
      </c>
      <c r="F432" s="17" t="s">
        <v>3858</v>
      </c>
      <c r="G432" s="17" t="s">
        <v>1941</v>
      </c>
      <c r="H432" s="17">
        <v>39236</v>
      </c>
      <c r="I432" t="s">
        <v>1942</v>
      </c>
    </row>
    <row r="433" spans="1:9" x14ac:dyDescent="0.25">
      <c r="A433" s="17" t="s">
        <v>860</v>
      </c>
      <c r="B433" s="17" t="s">
        <v>3859</v>
      </c>
      <c r="C433" s="17" t="s">
        <v>3860</v>
      </c>
      <c r="D433" s="17" t="s">
        <v>3861</v>
      </c>
      <c r="E433" s="17" t="s">
        <v>3862</v>
      </c>
      <c r="F433" s="17" t="s">
        <v>3863</v>
      </c>
      <c r="G433" s="17" t="s">
        <v>1949</v>
      </c>
      <c r="H433" s="17" t="s">
        <v>3864</v>
      </c>
      <c r="I433" t="s">
        <v>1942</v>
      </c>
    </row>
    <row r="434" spans="1:9" x14ac:dyDescent="0.25">
      <c r="A434" s="17" t="s">
        <v>862</v>
      </c>
      <c r="B434" s="17" t="s">
        <v>3865</v>
      </c>
      <c r="C434" s="22" t="s">
        <v>6197</v>
      </c>
      <c r="D434" s="17" t="s">
        <v>3866</v>
      </c>
      <c r="E434" s="17" t="s">
        <v>3867</v>
      </c>
      <c r="F434" s="17" t="s">
        <v>3121</v>
      </c>
      <c r="G434" s="17" t="s">
        <v>1941</v>
      </c>
      <c r="H434" s="17">
        <v>53277</v>
      </c>
      <c r="I434" t="s">
        <v>1951</v>
      </c>
    </row>
    <row r="435" spans="1:9" x14ac:dyDescent="0.25">
      <c r="A435" s="17" t="s">
        <v>864</v>
      </c>
      <c r="B435" s="17" t="s">
        <v>3868</v>
      </c>
      <c r="C435" s="17" t="s">
        <v>3869</v>
      </c>
      <c r="D435" s="17" t="s">
        <v>3870</v>
      </c>
      <c r="E435" s="17" t="s">
        <v>3871</v>
      </c>
      <c r="F435" s="17" t="s">
        <v>2999</v>
      </c>
      <c r="G435" s="17" t="s">
        <v>1941</v>
      </c>
      <c r="H435" s="17">
        <v>94250</v>
      </c>
      <c r="I435" t="s">
        <v>1942</v>
      </c>
    </row>
    <row r="436" spans="1:9" x14ac:dyDescent="0.25">
      <c r="A436" s="17" t="s">
        <v>866</v>
      </c>
      <c r="B436" s="17" t="s">
        <v>3872</v>
      </c>
      <c r="C436" s="22" t="s">
        <v>6197</v>
      </c>
      <c r="D436" s="17" t="s">
        <v>3873</v>
      </c>
      <c r="E436" s="17" t="s">
        <v>3874</v>
      </c>
      <c r="F436" s="17" t="s">
        <v>2158</v>
      </c>
      <c r="G436" s="17" t="s">
        <v>1941</v>
      </c>
      <c r="H436" s="17">
        <v>2298</v>
      </c>
      <c r="I436" t="s">
        <v>1951</v>
      </c>
    </row>
    <row r="437" spans="1:9" x14ac:dyDescent="0.25">
      <c r="A437" s="17" t="s">
        <v>868</v>
      </c>
      <c r="B437" s="17" t="s">
        <v>3875</v>
      </c>
      <c r="C437" s="17" t="s">
        <v>3876</v>
      </c>
      <c r="D437" s="17" t="s">
        <v>3877</v>
      </c>
      <c r="E437" s="17" t="s">
        <v>3878</v>
      </c>
      <c r="F437" s="17" t="s">
        <v>3510</v>
      </c>
      <c r="G437" s="17" t="s">
        <v>1941</v>
      </c>
      <c r="H437" s="17">
        <v>66622</v>
      </c>
      <c r="I437" t="s">
        <v>1951</v>
      </c>
    </row>
    <row r="438" spans="1:9" x14ac:dyDescent="0.25">
      <c r="A438" s="17" t="s">
        <v>870</v>
      </c>
      <c r="B438" s="17" t="s">
        <v>3879</v>
      </c>
      <c r="C438" s="17" t="s">
        <v>3880</v>
      </c>
      <c r="D438" s="17" t="s">
        <v>3881</v>
      </c>
      <c r="E438" s="17" t="s">
        <v>3882</v>
      </c>
      <c r="F438" s="17" t="s">
        <v>2550</v>
      </c>
      <c r="G438" s="17" t="s">
        <v>1941</v>
      </c>
      <c r="H438" s="17">
        <v>58122</v>
      </c>
      <c r="I438" t="s">
        <v>1942</v>
      </c>
    </row>
    <row r="439" spans="1:9" x14ac:dyDescent="0.25">
      <c r="A439" s="17" t="s">
        <v>872</v>
      </c>
      <c r="B439" s="17" t="s">
        <v>3883</v>
      </c>
      <c r="C439" s="22" t="s">
        <v>6197</v>
      </c>
      <c r="D439" s="17" t="s">
        <v>3884</v>
      </c>
      <c r="E439" s="17" t="s">
        <v>3885</v>
      </c>
      <c r="F439" s="17" t="s">
        <v>2027</v>
      </c>
      <c r="G439" s="17" t="s">
        <v>1941</v>
      </c>
      <c r="H439" s="17">
        <v>77095</v>
      </c>
      <c r="I439" t="s">
        <v>1951</v>
      </c>
    </row>
    <row r="440" spans="1:9" x14ac:dyDescent="0.25">
      <c r="A440" s="17" t="s">
        <v>3886</v>
      </c>
      <c r="B440" s="17" t="s">
        <v>3887</v>
      </c>
      <c r="C440" s="17" t="s">
        <v>3888</v>
      </c>
      <c r="D440" s="17" t="s">
        <v>3889</v>
      </c>
      <c r="E440" s="17" t="s">
        <v>3890</v>
      </c>
      <c r="F440" s="17" t="s">
        <v>2362</v>
      </c>
      <c r="G440" s="17" t="s">
        <v>1941</v>
      </c>
      <c r="H440" s="17">
        <v>73190</v>
      </c>
      <c r="I440" t="s">
        <v>1951</v>
      </c>
    </row>
    <row r="441" spans="1:9" x14ac:dyDescent="0.25">
      <c r="A441" s="17" t="s">
        <v>876</v>
      </c>
      <c r="B441" s="17" t="s">
        <v>3891</v>
      </c>
      <c r="C441" s="17" t="s">
        <v>3892</v>
      </c>
      <c r="D441" s="17" t="s">
        <v>3893</v>
      </c>
      <c r="E441" s="17" t="s">
        <v>3894</v>
      </c>
      <c r="F441" s="17" t="s">
        <v>2031</v>
      </c>
      <c r="G441" s="17" t="s">
        <v>1949</v>
      </c>
      <c r="H441" s="17" t="s">
        <v>2032</v>
      </c>
      <c r="I441" t="s">
        <v>1951</v>
      </c>
    </row>
    <row r="442" spans="1:9" x14ac:dyDescent="0.25">
      <c r="A442" s="17" t="s">
        <v>878</v>
      </c>
      <c r="B442" s="17" t="s">
        <v>3895</v>
      </c>
      <c r="C442" s="17" t="s">
        <v>3896</v>
      </c>
      <c r="D442" s="17" t="s">
        <v>3897</v>
      </c>
      <c r="E442" s="17" t="s">
        <v>3898</v>
      </c>
      <c r="F442" s="17" t="s">
        <v>2350</v>
      </c>
      <c r="G442" s="17" t="s">
        <v>1941</v>
      </c>
      <c r="H442" s="17">
        <v>14205</v>
      </c>
      <c r="I442" t="s">
        <v>1942</v>
      </c>
    </row>
    <row r="443" spans="1:9" x14ac:dyDescent="0.25">
      <c r="A443" s="17" t="s">
        <v>880</v>
      </c>
      <c r="B443" s="17" t="s">
        <v>3899</v>
      </c>
      <c r="C443" s="17" t="s">
        <v>3900</v>
      </c>
      <c r="D443" s="17" t="s">
        <v>3901</v>
      </c>
      <c r="E443" s="17" t="s">
        <v>3902</v>
      </c>
      <c r="F443" s="17" t="s">
        <v>3193</v>
      </c>
      <c r="G443" s="17" t="s">
        <v>1949</v>
      </c>
      <c r="H443" s="17" t="s">
        <v>3194</v>
      </c>
      <c r="I443" t="s">
        <v>1942</v>
      </c>
    </row>
    <row r="444" spans="1:9" x14ac:dyDescent="0.25">
      <c r="A444" s="17" t="s">
        <v>882</v>
      </c>
      <c r="B444" s="17" t="s">
        <v>3903</v>
      </c>
      <c r="C444" s="17" t="s">
        <v>3904</v>
      </c>
      <c r="D444" s="17" t="s">
        <v>3905</v>
      </c>
      <c r="E444" s="17" t="s">
        <v>3906</v>
      </c>
      <c r="F444" s="17" t="s">
        <v>3907</v>
      </c>
      <c r="G444" s="17" t="s">
        <v>1941</v>
      </c>
      <c r="H444" s="17">
        <v>18018</v>
      </c>
      <c r="I444" t="s">
        <v>1951</v>
      </c>
    </row>
    <row r="445" spans="1:9" x14ac:dyDescent="0.25">
      <c r="A445" s="17" t="s">
        <v>884</v>
      </c>
      <c r="B445" s="17" t="s">
        <v>3908</v>
      </c>
      <c r="C445" s="17" t="s">
        <v>3909</v>
      </c>
      <c r="D445" s="17" t="s">
        <v>3910</v>
      </c>
      <c r="E445" s="17" t="s">
        <v>3911</v>
      </c>
      <c r="F445" s="17" t="s">
        <v>3912</v>
      </c>
      <c r="G445" s="17" t="s">
        <v>1949</v>
      </c>
      <c r="H445" s="17" t="s">
        <v>3913</v>
      </c>
      <c r="I445" t="s">
        <v>1942</v>
      </c>
    </row>
    <row r="446" spans="1:9" x14ac:dyDescent="0.25">
      <c r="A446" s="17" t="s">
        <v>886</v>
      </c>
      <c r="B446" s="17" t="s">
        <v>3914</v>
      </c>
      <c r="C446" s="17" t="s">
        <v>3915</v>
      </c>
      <c r="D446" s="17" t="s">
        <v>3916</v>
      </c>
      <c r="E446" s="17" t="s">
        <v>3917</v>
      </c>
      <c r="F446" s="17" t="s">
        <v>3918</v>
      </c>
      <c r="G446" s="17" t="s">
        <v>1949</v>
      </c>
      <c r="H446" s="17" t="s">
        <v>3919</v>
      </c>
      <c r="I446" t="s">
        <v>1951</v>
      </c>
    </row>
    <row r="447" spans="1:9" x14ac:dyDescent="0.25">
      <c r="A447" s="17" t="s">
        <v>888</v>
      </c>
      <c r="B447" s="17" t="s">
        <v>3920</v>
      </c>
      <c r="C447" s="17" t="s">
        <v>3921</v>
      </c>
      <c r="D447" s="17" t="s">
        <v>6197</v>
      </c>
      <c r="E447" s="17" t="s">
        <v>3922</v>
      </c>
      <c r="F447" s="17" t="s">
        <v>3402</v>
      </c>
      <c r="G447" s="17" t="s">
        <v>1949</v>
      </c>
      <c r="H447" s="17" t="s">
        <v>2083</v>
      </c>
      <c r="I447" t="s">
        <v>1942</v>
      </c>
    </row>
    <row r="448" spans="1:9" x14ac:dyDescent="0.25">
      <c r="A448" s="17" t="s">
        <v>890</v>
      </c>
      <c r="B448" s="17" t="s">
        <v>3923</v>
      </c>
      <c r="C448" s="17" t="s">
        <v>3924</v>
      </c>
      <c r="D448" s="17" t="s">
        <v>3925</v>
      </c>
      <c r="E448" s="17" t="s">
        <v>3926</v>
      </c>
      <c r="F448" s="17" t="s">
        <v>2172</v>
      </c>
      <c r="G448" s="17" t="s">
        <v>2116</v>
      </c>
      <c r="H448" s="17" t="s">
        <v>3927</v>
      </c>
      <c r="I448" t="s">
        <v>1942</v>
      </c>
    </row>
    <row r="449" spans="1:9" x14ac:dyDescent="0.25">
      <c r="A449" s="17" t="s">
        <v>892</v>
      </c>
      <c r="B449" s="17" t="s">
        <v>3928</v>
      </c>
      <c r="C449" s="17" t="s">
        <v>3929</v>
      </c>
      <c r="D449" s="17" t="s">
        <v>6197</v>
      </c>
      <c r="E449" s="17" t="s">
        <v>3930</v>
      </c>
      <c r="F449" s="17" t="s">
        <v>3099</v>
      </c>
      <c r="G449" s="17" t="s">
        <v>1941</v>
      </c>
      <c r="H449" s="17">
        <v>85099</v>
      </c>
      <c r="I449" t="s">
        <v>1951</v>
      </c>
    </row>
    <row r="450" spans="1:9" x14ac:dyDescent="0.25">
      <c r="A450" s="17" t="s">
        <v>894</v>
      </c>
      <c r="B450" s="17" t="s">
        <v>3931</v>
      </c>
      <c r="C450" s="17" t="s">
        <v>3932</v>
      </c>
      <c r="D450" s="17" t="s">
        <v>3933</v>
      </c>
      <c r="E450" s="17" t="s">
        <v>3934</v>
      </c>
      <c r="F450" s="17" t="s">
        <v>3935</v>
      </c>
      <c r="G450" s="17" t="s">
        <v>1949</v>
      </c>
      <c r="H450" s="17" t="s">
        <v>3936</v>
      </c>
      <c r="I450" t="s">
        <v>1951</v>
      </c>
    </row>
    <row r="451" spans="1:9" x14ac:dyDescent="0.25">
      <c r="A451" s="17" t="s">
        <v>896</v>
      </c>
      <c r="B451" s="17" t="s">
        <v>3937</v>
      </c>
      <c r="C451" s="17" t="s">
        <v>3938</v>
      </c>
      <c r="D451" s="17" t="s">
        <v>3939</v>
      </c>
      <c r="E451" s="17" t="s">
        <v>3940</v>
      </c>
      <c r="F451" s="17" t="s">
        <v>2211</v>
      </c>
      <c r="G451" s="17" t="s">
        <v>1941</v>
      </c>
      <c r="H451" s="17">
        <v>43610</v>
      </c>
      <c r="I451" t="s">
        <v>1951</v>
      </c>
    </row>
    <row r="452" spans="1:9" x14ac:dyDescent="0.25">
      <c r="A452" s="17" t="s">
        <v>898</v>
      </c>
      <c r="B452" s="17" t="s">
        <v>3941</v>
      </c>
      <c r="C452" s="17" t="s">
        <v>3942</v>
      </c>
      <c r="D452" s="17" t="s">
        <v>3943</v>
      </c>
      <c r="E452" s="17" t="s">
        <v>3944</v>
      </c>
      <c r="F452" s="17" t="s">
        <v>3945</v>
      </c>
      <c r="G452" s="17" t="s">
        <v>1949</v>
      </c>
      <c r="H452" s="17" t="s">
        <v>3946</v>
      </c>
      <c r="I452" t="s">
        <v>1951</v>
      </c>
    </row>
    <row r="453" spans="1:9" x14ac:dyDescent="0.25">
      <c r="A453" s="17" t="s">
        <v>900</v>
      </c>
      <c r="B453" s="17" t="s">
        <v>3947</v>
      </c>
      <c r="C453" s="17" t="s">
        <v>3948</v>
      </c>
      <c r="D453" s="17" t="s">
        <v>3949</v>
      </c>
      <c r="E453" s="17" t="s">
        <v>3950</v>
      </c>
      <c r="F453" s="17" t="s">
        <v>2300</v>
      </c>
      <c r="G453" s="17" t="s">
        <v>1941</v>
      </c>
      <c r="H453" s="17">
        <v>28210</v>
      </c>
      <c r="I453" t="s">
        <v>1942</v>
      </c>
    </row>
    <row r="454" spans="1:9" x14ac:dyDescent="0.25">
      <c r="A454" s="17" t="s">
        <v>874</v>
      </c>
      <c r="B454" s="17" t="s">
        <v>3951</v>
      </c>
      <c r="C454" s="17" t="s">
        <v>3952</v>
      </c>
      <c r="D454" s="17" t="s">
        <v>3953</v>
      </c>
      <c r="E454" s="17" t="s">
        <v>3954</v>
      </c>
      <c r="F454" s="17" t="s">
        <v>3492</v>
      </c>
      <c r="G454" s="17" t="s">
        <v>1941</v>
      </c>
      <c r="H454" s="17">
        <v>98109</v>
      </c>
      <c r="I454" t="s">
        <v>1951</v>
      </c>
    </row>
    <row r="455" spans="1:9" x14ac:dyDescent="0.25">
      <c r="A455" s="17" t="s">
        <v>903</v>
      </c>
      <c r="B455" s="17" t="s">
        <v>3955</v>
      </c>
      <c r="C455" s="17" t="s">
        <v>3956</v>
      </c>
      <c r="D455" s="17" t="s">
        <v>3957</v>
      </c>
      <c r="E455" s="17" t="s">
        <v>3958</v>
      </c>
      <c r="F455" s="17" t="s">
        <v>3004</v>
      </c>
      <c r="G455" s="17" t="s">
        <v>1941</v>
      </c>
      <c r="H455" s="17">
        <v>18706</v>
      </c>
      <c r="I455" t="s">
        <v>1951</v>
      </c>
    </row>
    <row r="456" spans="1:9" x14ac:dyDescent="0.25">
      <c r="A456" s="17" t="s">
        <v>905</v>
      </c>
      <c r="B456" s="17" t="s">
        <v>3959</v>
      </c>
      <c r="C456" s="17" t="s">
        <v>3960</v>
      </c>
      <c r="D456" s="17" t="s">
        <v>6197</v>
      </c>
      <c r="E456" s="17" t="s">
        <v>3961</v>
      </c>
      <c r="F456" s="17" t="s">
        <v>3962</v>
      </c>
      <c r="G456" s="17" t="s">
        <v>1949</v>
      </c>
      <c r="H456" s="17" t="s">
        <v>1950</v>
      </c>
      <c r="I456" t="s">
        <v>1942</v>
      </c>
    </row>
    <row r="457" spans="1:9" x14ac:dyDescent="0.25">
      <c r="A457" s="17" t="s">
        <v>907</v>
      </c>
      <c r="B457" s="17" t="s">
        <v>3963</v>
      </c>
      <c r="C457" s="17" t="s">
        <v>3964</v>
      </c>
      <c r="D457" s="17" t="s">
        <v>3965</v>
      </c>
      <c r="E457" s="17" t="s">
        <v>3966</v>
      </c>
      <c r="F457" s="17" t="s">
        <v>3967</v>
      </c>
      <c r="G457" s="17" t="s">
        <v>1949</v>
      </c>
      <c r="H457" s="17" t="s">
        <v>2771</v>
      </c>
      <c r="I457" t="s">
        <v>1942</v>
      </c>
    </row>
    <row r="458" spans="1:9" x14ac:dyDescent="0.25">
      <c r="A458" s="17" t="s">
        <v>909</v>
      </c>
      <c r="B458" s="17" t="s">
        <v>3968</v>
      </c>
      <c r="C458" s="17" t="s">
        <v>3969</v>
      </c>
      <c r="D458" s="17" t="s">
        <v>3970</v>
      </c>
      <c r="E458" s="17" t="s">
        <v>3971</v>
      </c>
      <c r="F458" s="17" t="s">
        <v>2281</v>
      </c>
      <c r="G458" s="17" t="s">
        <v>2116</v>
      </c>
      <c r="H458" s="17" t="s">
        <v>3972</v>
      </c>
      <c r="I458" t="s">
        <v>1951</v>
      </c>
    </row>
    <row r="459" spans="1:9" x14ac:dyDescent="0.25">
      <c r="A459" s="17" t="s">
        <v>911</v>
      </c>
      <c r="B459" s="17" t="s">
        <v>3973</v>
      </c>
      <c r="C459" s="17" t="s">
        <v>3974</v>
      </c>
      <c r="D459" s="17" t="s">
        <v>3975</v>
      </c>
      <c r="E459" s="17" t="s">
        <v>3976</v>
      </c>
      <c r="F459" s="17" t="s">
        <v>2163</v>
      </c>
      <c r="G459" s="17" t="s">
        <v>1941</v>
      </c>
      <c r="H459" s="17">
        <v>14652</v>
      </c>
      <c r="I459" t="s">
        <v>1951</v>
      </c>
    </row>
    <row r="460" spans="1:9" x14ac:dyDescent="0.25">
      <c r="A460" s="17" t="s">
        <v>913</v>
      </c>
      <c r="B460" s="17" t="s">
        <v>3977</v>
      </c>
      <c r="C460" s="17" t="s">
        <v>3978</v>
      </c>
      <c r="D460" s="17" t="s">
        <v>3979</v>
      </c>
      <c r="E460" s="17" t="s">
        <v>3980</v>
      </c>
      <c r="F460" s="17" t="s">
        <v>2140</v>
      </c>
      <c r="G460" s="17" t="s">
        <v>1941</v>
      </c>
      <c r="H460" s="17">
        <v>85754</v>
      </c>
      <c r="I460" t="s">
        <v>1951</v>
      </c>
    </row>
    <row r="461" spans="1:9" x14ac:dyDescent="0.25">
      <c r="A461" s="17" t="s">
        <v>915</v>
      </c>
      <c r="B461" s="17" t="s">
        <v>3981</v>
      </c>
      <c r="C461" s="17" t="s">
        <v>3982</v>
      </c>
      <c r="D461" s="17" t="s">
        <v>3983</v>
      </c>
      <c r="E461" s="17" t="s">
        <v>3984</v>
      </c>
      <c r="F461" s="17" t="s">
        <v>2137</v>
      </c>
      <c r="G461" s="17" t="s">
        <v>1941</v>
      </c>
      <c r="H461" s="17">
        <v>55480</v>
      </c>
      <c r="I461" t="s">
        <v>1951</v>
      </c>
    </row>
    <row r="462" spans="1:9" x14ac:dyDescent="0.25">
      <c r="A462" s="17" t="s">
        <v>917</v>
      </c>
      <c r="B462" s="17" t="s">
        <v>3985</v>
      </c>
      <c r="C462" s="17" t="s">
        <v>3986</v>
      </c>
      <c r="D462" s="17" t="s">
        <v>3987</v>
      </c>
      <c r="E462" s="17" t="s">
        <v>3988</v>
      </c>
      <c r="F462" s="17" t="s">
        <v>3989</v>
      </c>
      <c r="G462" s="17" t="s">
        <v>1949</v>
      </c>
      <c r="H462" s="17" t="s">
        <v>3990</v>
      </c>
      <c r="I462" t="s">
        <v>1942</v>
      </c>
    </row>
    <row r="463" spans="1:9" x14ac:dyDescent="0.25">
      <c r="A463" s="17" t="s">
        <v>919</v>
      </c>
      <c r="B463" s="17" t="s">
        <v>3991</v>
      </c>
      <c r="C463" s="17" t="s">
        <v>3992</v>
      </c>
      <c r="D463" s="17" t="s">
        <v>3993</v>
      </c>
      <c r="E463" s="17" t="s">
        <v>3994</v>
      </c>
      <c r="F463" s="17" t="s">
        <v>3995</v>
      </c>
      <c r="G463" s="17" t="s">
        <v>2116</v>
      </c>
      <c r="H463" s="17" t="s">
        <v>3996</v>
      </c>
      <c r="I463" t="s">
        <v>1942</v>
      </c>
    </row>
    <row r="464" spans="1:9" x14ac:dyDescent="0.25">
      <c r="A464" s="17" t="s">
        <v>921</v>
      </c>
      <c r="B464" s="17" t="s">
        <v>3997</v>
      </c>
      <c r="C464" s="17" t="s">
        <v>3998</v>
      </c>
      <c r="D464" s="17" t="s">
        <v>3999</v>
      </c>
      <c r="E464" s="17" t="s">
        <v>4000</v>
      </c>
      <c r="F464" s="17" t="s">
        <v>3049</v>
      </c>
      <c r="G464" s="17" t="s">
        <v>1941</v>
      </c>
      <c r="H464" s="17">
        <v>31119</v>
      </c>
      <c r="I464" t="s">
        <v>1942</v>
      </c>
    </row>
    <row r="465" spans="1:9" x14ac:dyDescent="0.25">
      <c r="A465" s="17" t="s">
        <v>923</v>
      </c>
      <c r="B465" s="17" t="s">
        <v>4001</v>
      </c>
      <c r="C465" s="17" t="s">
        <v>4002</v>
      </c>
      <c r="D465" s="17" t="s">
        <v>4003</v>
      </c>
      <c r="E465" s="17" t="s">
        <v>4004</v>
      </c>
      <c r="F465" s="17" t="s">
        <v>4005</v>
      </c>
      <c r="G465" s="17" t="s">
        <v>1949</v>
      </c>
      <c r="H465" s="17" t="s">
        <v>4006</v>
      </c>
      <c r="I465" t="s">
        <v>1951</v>
      </c>
    </row>
    <row r="466" spans="1:9" x14ac:dyDescent="0.25">
      <c r="A466" s="17" t="s">
        <v>925</v>
      </c>
      <c r="B466" s="17" t="s">
        <v>4007</v>
      </c>
      <c r="C466" s="17" t="s">
        <v>4008</v>
      </c>
      <c r="D466" s="17" t="s">
        <v>4009</v>
      </c>
      <c r="E466" s="17" t="s">
        <v>4010</v>
      </c>
      <c r="F466" s="17" t="s">
        <v>2872</v>
      </c>
      <c r="G466" s="17" t="s">
        <v>2116</v>
      </c>
      <c r="H466" s="17" t="s">
        <v>2873</v>
      </c>
      <c r="I466" t="s">
        <v>1951</v>
      </c>
    </row>
    <row r="467" spans="1:9" x14ac:dyDescent="0.25">
      <c r="A467" s="17" t="s">
        <v>927</v>
      </c>
      <c r="B467" s="17" t="s">
        <v>4011</v>
      </c>
      <c r="C467" s="17" t="s">
        <v>4012</v>
      </c>
      <c r="D467" s="17" t="s">
        <v>4013</v>
      </c>
      <c r="E467" s="17" t="s">
        <v>4014</v>
      </c>
      <c r="F467" s="17" t="s">
        <v>3412</v>
      </c>
      <c r="G467" s="17" t="s">
        <v>1941</v>
      </c>
      <c r="H467" s="17">
        <v>37939</v>
      </c>
      <c r="I467" t="s">
        <v>1942</v>
      </c>
    </row>
    <row r="468" spans="1:9" x14ac:dyDescent="0.25">
      <c r="A468" s="17" t="s">
        <v>929</v>
      </c>
      <c r="B468" s="17" t="s">
        <v>4015</v>
      </c>
      <c r="C468" s="17" t="s">
        <v>4016</v>
      </c>
      <c r="D468" s="17" t="s">
        <v>4017</v>
      </c>
      <c r="E468" s="17" t="s">
        <v>4018</v>
      </c>
      <c r="F468" s="17" t="s">
        <v>4019</v>
      </c>
      <c r="G468" s="17" t="s">
        <v>1941</v>
      </c>
      <c r="H468" s="17">
        <v>48604</v>
      </c>
      <c r="I468" t="s">
        <v>1942</v>
      </c>
    </row>
    <row r="469" spans="1:9" x14ac:dyDescent="0.25">
      <c r="A469" s="17" t="s">
        <v>931</v>
      </c>
      <c r="B469" s="17" t="s">
        <v>4020</v>
      </c>
      <c r="C469" s="17" t="s">
        <v>4021</v>
      </c>
      <c r="D469" s="17" t="s">
        <v>4022</v>
      </c>
      <c r="E469" s="17" t="s">
        <v>4023</v>
      </c>
      <c r="F469" s="17" t="s">
        <v>4024</v>
      </c>
      <c r="G469" s="17" t="s">
        <v>1941</v>
      </c>
      <c r="H469" s="17">
        <v>32092</v>
      </c>
      <c r="I469" t="s">
        <v>1951</v>
      </c>
    </row>
    <row r="470" spans="1:9" x14ac:dyDescent="0.25">
      <c r="A470" s="17" t="s">
        <v>933</v>
      </c>
      <c r="B470" s="17" t="s">
        <v>4025</v>
      </c>
      <c r="C470" s="17" t="s">
        <v>4026</v>
      </c>
      <c r="D470" s="17" t="s">
        <v>6197</v>
      </c>
      <c r="E470" s="17" t="s">
        <v>4027</v>
      </c>
      <c r="F470" s="17" t="s">
        <v>4028</v>
      </c>
      <c r="G470" s="17" t="s">
        <v>1941</v>
      </c>
      <c r="H470" s="17">
        <v>94913</v>
      </c>
      <c r="I470" t="s">
        <v>1942</v>
      </c>
    </row>
    <row r="471" spans="1:9" x14ac:dyDescent="0.25">
      <c r="A471" s="17" t="s">
        <v>4029</v>
      </c>
      <c r="B471" s="17" t="s">
        <v>4030</v>
      </c>
      <c r="C471" s="17" t="s">
        <v>4031</v>
      </c>
      <c r="D471" s="17" t="s">
        <v>4032</v>
      </c>
      <c r="E471" s="17" t="s">
        <v>4033</v>
      </c>
      <c r="F471" s="17" t="s">
        <v>1995</v>
      </c>
      <c r="G471" s="17" t="s">
        <v>1941</v>
      </c>
      <c r="H471" s="17">
        <v>95113</v>
      </c>
      <c r="I471" t="s">
        <v>1942</v>
      </c>
    </row>
    <row r="472" spans="1:9" x14ac:dyDescent="0.25">
      <c r="A472" s="17" t="s">
        <v>937</v>
      </c>
      <c r="B472" s="17" t="s">
        <v>4034</v>
      </c>
      <c r="C472" s="17" t="s">
        <v>4035</v>
      </c>
      <c r="D472" s="17" t="s">
        <v>4036</v>
      </c>
      <c r="E472" s="17" t="s">
        <v>4037</v>
      </c>
      <c r="F472" s="17" t="s">
        <v>3682</v>
      </c>
      <c r="G472" s="17" t="s">
        <v>1941</v>
      </c>
      <c r="H472" s="17">
        <v>30045</v>
      </c>
      <c r="I472" t="s">
        <v>1942</v>
      </c>
    </row>
    <row r="473" spans="1:9" x14ac:dyDescent="0.25">
      <c r="A473" s="17" t="s">
        <v>939</v>
      </c>
      <c r="B473" s="17" t="s">
        <v>4038</v>
      </c>
      <c r="C473" s="22" t="s">
        <v>6197</v>
      </c>
      <c r="D473" s="17" t="s">
        <v>4039</v>
      </c>
      <c r="E473" s="17" t="s">
        <v>4040</v>
      </c>
      <c r="F473" s="17" t="s">
        <v>3510</v>
      </c>
      <c r="G473" s="17" t="s">
        <v>1941</v>
      </c>
      <c r="H473" s="17">
        <v>66622</v>
      </c>
      <c r="I473" t="s">
        <v>1942</v>
      </c>
    </row>
    <row r="474" spans="1:9" x14ac:dyDescent="0.25">
      <c r="A474" s="17" t="s">
        <v>941</v>
      </c>
      <c r="B474" s="17" t="s">
        <v>4041</v>
      </c>
      <c r="C474" s="17" t="s">
        <v>4042</v>
      </c>
      <c r="D474" s="17" t="s">
        <v>4043</v>
      </c>
      <c r="E474" s="17" t="s">
        <v>4044</v>
      </c>
      <c r="F474" s="17" t="s">
        <v>2988</v>
      </c>
      <c r="G474" s="17" t="s">
        <v>1941</v>
      </c>
      <c r="H474" s="17">
        <v>66276</v>
      </c>
      <c r="I474" t="s">
        <v>1951</v>
      </c>
    </row>
    <row r="475" spans="1:9" x14ac:dyDescent="0.25">
      <c r="A475" s="17" t="s">
        <v>943</v>
      </c>
      <c r="B475" s="17" t="s">
        <v>4045</v>
      </c>
      <c r="C475" s="17" t="s">
        <v>4046</v>
      </c>
      <c r="D475" s="17" t="s">
        <v>4047</v>
      </c>
      <c r="E475" s="17" t="s">
        <v>4048</v>
      </c>
      <c r="F475" s="17" t="s">
        <v>3492</v>
      </c>
      <c r="G475" s="17" t="s">
        <v>1941</v>
      </c>
      <c r="H475" s="17">
        <v>98148</v>
      </c>
      <c r="I475" t="s">
        <v>1951</v>
      </c>
    </row>
    <row r="476" spans="1:9" x14ac:dyDescent="0.25">
      <c r="A476" s="17" t="s">
        <v>945</v>
      </c>
      <c r="B476" s="17" t="s">
        <v>4049</v>
      </c>
      <c r="C476" s="17" t="s">
        <v>4050</v>
      </c>
      <c r="D476" s="17" t="s">
        <v>4051</v>
      </c>
      <c r="E476" s="17" t="s">
        <v>4052</v>
      </c>
      <c r="F476" s="17" t="s">
        <v>3080</v>
      </c>
      <c r="G476" s="17" t="s">
        <v>1949</v>
      </c>
      <c r="H476" s="17" t="s">
        <v>3081</v>
      </c>
      <c r="I476" t="s">
        <v>1942</v>
      </c>
    </row>
    <row r="477" spans="1:9" x14ac:dyDescent="0.25">
      <c r="A477" s="17" t="s">
        <v>947</v>
      </c>
      <c r="B477" s="17" t="s">
        <v>4053</v>
      </c>
      <c r="C477" s="17" t="s">
        <v>4054</v>
      </c>
      <c r="D477" s="17" t="s">
        <v>6197</v>
      </c>
      <c r="E477" s="17" t="s">
        <v>4055</v>
      </c>
      <c r="F477" s="17" t="s">
        <v>4056</v>
      </c>
      <c r="G477" s="17" t="s">
        <v>1941</v>
      </c>
      <c r="H477" s="17">
        <v>34745</v>
      </c>
      <c r="I477" t="s">
        <v>1951</v>
      </c>
    </row>
    <row r="478" spans="1:9" x14ac:dyDescent="0.25">
      <c r="A478" s="17" t="s">
        <v>949</v>
      </c>
      <c r="B478" s="17" t="s">
        <v>4057</v>
      </c>
      <c r="C478" s="17" t="s">
        <v>4058</v>
      </c>
      <c r="D478" s="17" t="s">
        <v>4059</v>
      </c>
      <c r="E478" s="17" t="s">
        <v>4060</v>
      </c>
      <c r="F478" s="17" t="s">
        <v>2163</v>
      </c>
      <c r="G478" s="17" t="s">
        <v>1941</v>
      </c>
      <c r="H478" s="17">
        <v>14683</v>
      </c>
      <c r="I478" t="s">
        <v>1942</v>
      </c>
    </row>
    <row r="479" spans="1:9" x14ac:dyDescent="0.25">
      <c r="A479" s="17" t="s">
        <v>951</v>
      </c>
      <c r="B479" s="17" t="s">
        <v>4061</v>
      </c>
      <c r="C479" s="17" t="s">
        <v>4062</v>
      </c>
      <c r="D479" s="17" t="s">
        <v>4063</v>
      </c>
      <c r="E479" s="17" t="s">
        <v>4064</v>
      </c>
      <c r="F479" s="17" t="s">
        <v>3515</v>
      </c>
      <c r="G479" s="17" t="s">
        <v>1941</v>
      </c>
      <c r="H479" s="17">
        <v>75799</v>
      </c>
      <c r="I479" t="s">
        <v>1951</v>
      </c>
    </row>
    <row r="480" spans="1:9" x14ac:dyDescent="0.25">
      <c r="A480" s="17" t="s">
        <v>935</v>
      </c>
      <c r="B480" s="17" t="s">
        <v>4065</v>
      </c>
      <c r="C480" s="17" t="s">
        <v>4066</v>
      </c>
      <c r="D480" s="17" t="s">
        <v>4067</v>
      </c>
      <c r="E480" s="17" t="s">
        <v>4068</v>
      </c>
      <c r="F480" s="17" t="s">
        <v>4069</v>
      </c>
      <c r="G480" s="17" t="s">
        <v>1941</v>
      </c>
      <c r="H480" s="17">
        <v>11388</v>
      </c>
      <c r="I480" t="s">
        <v>1942</v>
      </c>
    </row>
    <row r="481" spans="1:9" x14ac:dyDescent="0.25">
      <c r="A481" s="17" t="s">
        <v>4070</v>
      </c>
      <c r="B481" s="17" t="s">
        <v>4071</v>
      </c>
      <c r="C481" s="22" t="s">
        <v>6197</v>
      </c>
      <c r="D481" s="17" t="s">
        <v>4072</v>
      </c>
      <c r="E481" s="17" t="s">
        <v>4073</v>
      </c>
      <c r="F481" s="17" t="s">
        <v>4074</v>
      </c>
      <c r="G481" s="17" t="s">
        <v>1941</v>
      </c>
      <c r="H481" s="17">
        <v>20167</v>
      </c>
      <c r="I481" t="s">
        <v>1942</v>
      </c>
    </row>
    <row r="482" spans="1:9" x14ac:dyDescent="0.25">
      <c r="A482" s="17" t="s">
        <v>4075</v>
      </c>
      <c r="B482" s="17" t="s">
        <v>4076</v>
      </c>
      <c r="C482" s="17" t="s">
        <v>4077</v>
      </c>
      <c r="D482" s="17" t="s">
        <v>4078</v>
      </c>
      <c r="E482" s="17" t="s">
        <v>4079</v>
      </c>
      <c r="F482" s="17" t="s">
        <v>2004</v>
      </c>
      <c r="G482" s="17" t="s">
        <v>1941</v>
      </c>
      <c r="H482" s="17">
        <v>23203</v>
      </c>
      <c r="I482" t="s">
        <v>1951</v>
      </c>
    </row>
    <row r="483" spans="1:9" x14ac:dyDescent="0.25">
      <c r="A483" s="17" t="s">
        <v>954</v>
      </c>
      <c r="B483" s="17" t="s">
        <v>4080</v>
      </c>
      <c r="C483" s="17" t="s">
        <v>4081</v>
      </c>
      <c r="D483" s="17" t="s">
        <v>4082</v>
      </c>
      <c r="E483" s="17" t="s">
        <v>4083</v>
      </c>
      <c r="F483" s="17" t="s">
        <v>4084</v>
      </c>
      <c r="G483" s="17" t="s">
        <v>2116</v>
      </c>
      <c r="H483" s="17" t="s">
        <v>2393</v>
      </c>
      <c r="I483" t="s">
        <v>1951</v>
      </c>
    </row>
    <row r="484" spans="1:9" x14ac:dyDescent="0.25">
      <c r="A484" s="17" t="s">
        <v>956</v>
      </c>
      <c r="B484" s="17" t="s">
        <v>4085</v>
      </c>
      <c r="C484" s="17" t="s">
        <v>4086</v>
      </c>
      <c r="D484" s="17" t="s">
        <v>4087</v>
      </c>
      <c r="E484" s="17" t="s">
        <v>4088</v>
      </c>
      <c r="F484" s="17" t="s">
        <v>2699</v>
      </c>
      <c r="G484" s="17" t="s">
        <v>1941</v>
      </c>
      <c r="H484" s="17">
        <v>22309</v>
      </c>
      <c r="I484" t="s">
        <v>1942</v>
      </c>
    </row>
    <row r="485" spans="1:9" x14ac:dyDescent="0.25">
      <c r="A485" s="17" t="s">
        <v>958</v>
      </c>
      <c r="B485" s="17" t="s">
        <v>4089</v>
      </c>
      <c r="C485" s="22" t="s">
        <v>6197</v>
      </c>
      <c r="D485" s="17" t="s">
        <v>4090</v>
      </c>
      <c r="E485" s="17" t="s">
        <v>4091</v>
      </c>
      <c r="F485" s="17" t="s">
        <v>2938</v>
      </c>
      <c r="G485" s="17" t="s">
        <v>1941</v>
      </c>
      <c r="H485" s="17">
        <v>84115</v>
      </c>
      <c r="I485" t="s">
        <v>1942</v>
      </c>
    </row>
    <row r="486" spans="1:9" x14ac:dyDescent="0.25">
      <c r="A486" s="17" t="s">
        <v>960</v>
      </c>
      <c r="B486" s="17" t="s">
        <v>4092</v>
      </c>
      <c r="C486" s="17" t="s">
        <v>4093</v>
      </c>
      <c r="D486" s="17" t="s">
        <v>6197</v>
      </c>
      <c r="E486" s="17" t="s">
        <v>4094</v>
      </c>
      <c r="F486" s="17" t="s">
        <v>1995</v>
      </c>
      <c r="G486" s="17" t="s">
        <v>1941</v>
      </c>
      <c r="H486" s="17">
        <v>95108</v>
      </c>
      <c r="I486" t="s">
        <v>1951</v>
      </c>
    </row>
    <row r="487" spans="1:9" x14ac:dyDescent="0.25">
      <c r="A487" s="17" t="s">
        <v>962</v>
      </c>
      <c r="B487" s="17" t="s">
        <v>4095</v>
      </c>
      <c r="C487" s="17" t="s">
        <v>4096</v>
      </c>
      <c r="D487" s="17" t="s">
        <v>4097</v>
      </c>
      <c r="E487" s="17" t="s">
        <v>4098</v>
      </c>
      <c r="F487" s="17" t="s">
        <v>4099</v>
      </c>
      <c r="G487" s="17" t="s">
        <v>1949</v>
      </c>
      <c r="H487" s="17" t="s">
        <v>4100</v>
      </c>
      <c r="I487" t="s">
        <v>1942</v>
      </c>
    </row>
    <row r="488" spans="1:9" x14ac:dyDescent="0.25">
      <c r="A488" s="17" t="s">
        <v>964</v>
      </c>
      <c r="B488" s="17" t="s">
        <v>4101</v>
      </c>
      <c r="C488" s="17" t="s">
        <v>4102</v>
      </c>
      <c r="D488" s="17" t="s">
        <v>4103</v>
      </c>
      <c r="E488" s="17" t="s">
        <v>4104</v>
      </c>
      <c r="F488" s="17" t="s">
        <v>4105</v>
      </c>
      <c r="G488" s="17" t="s">
        <v>1949</v>
      </c>
      <c r="H488" s="17" t="s">
        <v>2545</v>
      </c>
      <c r="I488" t="s">
        <v>1942</v>
      </c>
    </row>
    <row r="489" spans="1:9" x14ac:dyDescent="0.25">
      <c r="A489" s="17" t="s">
        <v>966</v>
      </c>
      <c r="B489" s="17" t="s">
        <v>4106</v>
      </c>
      <c r="C489" s="17" t="s">
        <v>4107</v>
      </c>
      <c r="D489" s="17" t="s">
        <v>4108</v>
      </c>
      <c r="E489" s="17" t="s">
        <v>4109</v>
      </c>
      <c r="F489" s="17" t="s">
        <v>4105</v>
      </c>
      <c r="G489" s="17" t="s">
        <v>1949</v>
      </c>
      <c r="H489" s="17" t="s">
        <v>2545</v>
      </c>
      <c r="I489" t="s">
        <v>1951</v>
      </c>
    </row>
    <row r="490" spans="1:9" x14ac:dyDescent="0.25">
      <c r="A490" s="17" t="s">
        <v>968</v>
      </c>
      <c r="B490" s="17" t="s">
        <v>4110</v>
      </c>
      <c r="C490" s="17" t="s">
        <v>4111</v>
      </c>
      <c r="D490" s="17" t="s">
        <v>4112</v>
      </c>
      <c r="E490" s="17" t="s">
        <v>4113</v>
      </c>
      <c r="F490" s="17" t="s">
        <v>4114</v>
      </c>
      <c r="G490" s="17" t="s">
        <v>1949</v>
      </c>
      <c r="H490" s="17" t="s">
        <v>2855</v>
      </c>
      <c r="I490" t="s">
        <v>1942</v>
      </c>
    </row>
    <row r="491" spans="1:9" x14ac:dyDescent="0.25">
      <c r="A491" s="17" t="s">
        <v>970</v>
      </c>
      <c r="B491" s="17" t="s">
        <v>4115</v>
      </c>
      <c r="C491" s="17" t="s">
        <v>4116</v>
      </c>
      <c r="D491" s="17" t="s">
        <v>4117</v>
      </c>
      <c r="E491" s="17" t="s">
        <v>4118</v>
      </c>
      <c r="F491" s="17" t="s">
        <v>2448</v>
      </c>
      <c r="G491" s="17" t="s">
        <v>1941</v>
      </c>
      <c r="H491" s="17">
        <v>79945</v>
      </c>
      <c r="I491" t="s">
        <v>1951</v>
      </c>
    </row>
    <row r="492" spans="1:9" x14ac:dyDescent="0.25">
      <c r="A492" s="17" t="s">
        <v>972</v>
      </c>
      <c r="B492" s="17" t="s">
        <v>4119</v>
      </c>
      <c r="C492" s="17" t="s">
        <v>4120</v>
      </c>
      <c r="D492" s="17" t="s">
        <v>4121</v>
      </c>
      <c r="E492" s="17" t="s">
        <v>4122</v>
      </c>
      <c r="F492" s="17" t="s">
        <v>2191</v>
      </c>
      <c r="G492" s="17" t="s">
        <v>1941</v>
      </c>
      <c r="H492" s="17">
        <v>33355</v>
      </c>
      <c r="I492" t="s">
        <v>1951</v>
      </c>
    </row>
    <row r="493" spans="1:9" x14ac:dyDescent="0.25">
      <c r="A493" s="17" t="s">
        <v>974</v>
      </c>
      <c r="B493" s="17" t="s">
        <v>4123</v>
      </c>
      <c r="C493" s="22" t="s">
        <v>6197</v>
      </c>
      <c r="D493" s="17" t="s">
        <v>4124</v>
      </c>
      <c r="E493" s="17" t="s">
        <v>4125</v>
      </c>
      <c r="F493" s="17" t="s">
        <v>3483</v>
      </c>
      <c r="G493" s="17" t="s">
        <v>1941</v>
      </c>
      <c r="H493" s="17">
        <v>46295</v>
      </c>
      <c r="I493" t="s">
        <v>1951</v>
      </c>
    </row>
    <row r="494" spans="1:9" x14ac:dyDescent="0.25">
      <c r="A494" s="17" t="s">
        <v>976</v>
      </c>
      <c r="B494" s="17" t="s">
        <v>4126</v>
      </c>
      <c r="C494" s="17" t="s">
        <v>4127</v>
      </c>
      <c r="D494" s="17" t="s">
        <v>4128</v>
      </c>
      <c r="E494" s="17" t="s">
        <v>4129</v>
      </c>
      <c r="F494" s="17" t="s">
        <v>3121</v>
      </c>
      <c r="G494" s="17" t="s">
        <v>1941</v>
      </c>
      <c r="H494" s="17">
        <v>53234</v>
      </c>
      <c r="I494" t="s">
        <v>1942</v>
      </c>
    </row>
    <row r="495" spans="1:9" x14ac:dyDescent="0.25">
      <c r="A495" s="17" t="s">
        <v>978</v>
      </c>
      <c r="B495" s="17" t="s">
        <v>4130</v>
      </c>
      <c r="C495" s="17" t="s">
        <v>4131</v>
      </c>
      <c r="D495" s="17" t="s">
        <v>4132</v>
      </c>
      <c r="E495" s="17" t="s">
        <v>4133</v>
      </c>
      <c r="F495" s="17" t="s">
        <v>3330</v>
      </c>
      <c r="G495" s="17" t="s">
        <v>2116</v>
      </c>
      <c r="H495" s="17" t="s">
        <v>3331</v>
      </c>
      <c r="I495" t="s">
        <v>1951</v>
      </c>
    </row>
    <row r="496" spans="1:9" x14ac:dyDescent="0.25">
      <c r="A496" s="17" t="s">
        <v>980</v>
      </c>
      <c r="B496" s="17" t="s">
        <v>4134</v>
      </c>
      <c r="C496" s="17" t="s">
        <v>4135</v>
      </c>
      <c r="D496" s="17" t="s">
        <v>4136</v>
      </c>
      <c r="E496" s="17" t="s">
        <v>4137</v>
      </c>
      <c r="F496" s="17" t="s">
        <v>3070</v>
      </c>
      <c r="G496" s="17" t="s">
        <v>1941</v>
      </c>
      <c r="H496" s="17">
        <v>70836</v>
      </c>
      <c r="I496" t="s">
        <v>1951</v>
      </c>
    </row>
    <row r="497" spans="1:9" x14ac:dyDescent="0.25">
      <c r="A497" s="17" t="s">
        <v>982</v>
      </c>
      <c r="B497" s="17" t="s">
        <v>4138</v>
      </c>
      <c r="C497" s="22" t="s">
        <v>6197</v>
      </c>
      <c r="D497" s="17" t="s">
        <v>4139</v>
      </c>
      <c r="E497" s="17" t="s">
        <v>4140</v>
      </c>
      <c r="F497" s="17" t="s">
        <v>3283</v>
      </c>
      <c r="G497" s="17" t="s">
        <v>1941</v>
      </c>
      <c r="H497" s="17">
        <v>6816</v>
      </c>
      <c r="I497" t="s">
        <v>1942</v>
      </c>
    </row>
    <row r="498" spans="1:9" x14ac:dyDescent="0.25">
      <c r="A498" s="17" t="s">
        <v>984</v>
      </c>
      <c r="B498" s="17" t="s">
        <v>4141</v>
      </c>
      <c r="C498" s="17" t="s">
        <v>4142</v>
      </c>
      <c r="D498" s="17" t="s">
        <v>4143</v>
      </c>
      <c r="E498" s="17" t="s">
        <v>4144</v>
      </c>
      <c r="F498" s="17" t="s">
        <v>2225</v>
      </c>
      <c r="G498" s="17" t="s">
        <v>1941</v>
      </c>
      <c r="H498" s="17">
        <v>32590</v>
      </c>
      <c r="I498" t="s">
        <v>1951</v>
      </c>
    </row>
    <row r="499" spans="1:9" x14ac:dyDescent="0.25">
      <c r="A499" s="17" t="s">
        <v>986</v>
      </c>
      <c r="B499" s="17" t="s">
        <v>4145</v>
      </c>
      <c r="C499" s="17" t="s">
        <v>4146</v>
      </c>
      <c r="D499" s="17" t="s">
        <v>4147</v>
      </c>
      <c r="E499" s="17" t="s">
        <v>4148</v>
      </c>
      <c r="F499" s="17" t="s">
        <v>4149</v>
      </c>
      <c r="G499" s="17" t="s">
        <v>1949</v>
      </c>
      <c r="H499" s="17" t="s">
        <v>2083</v>
      </c>
      <c r="I499" t="s">
        <v>1951</v>
      </c>
    </row>
    <row r="500" spans="1:9" x14ac:dyDescent="0.25">
      <c r="A500" s="17" t="s">
        <v>4150</v>
      </c>
      <c r="B500" s="17" t="s">
        <v>4151</v>
      </c>
      <c r="C500" s="17" t="s">
        <v>4152</v>
      </c>
      <c r="D500" s="17" t="s">
        <v>4153</v>
      </c>
      <c r="E500" s="17" t="s">
        <v>4154</v>
      </c>
      <c r="F500" s="17" t="s">
        <v>3238</v>
      </c>
      <c r="G500" s="17" t="s">
        <v>2116</v>
      </c>
      <c r="H500" s="17" t="s">
        <v>3239</v>
      </c>
      <c r="I500" t="s">
        <v>1942</v>
      </c>
    </row>
    <row r="501" spans="1:9" x14ac:dyDescent="0.25">
      <c r="A501" s="17" t="s">
        <v>990</v>
      </c>
      <c r="B501" s="17" t="s">
        <v>4155</v>
      </c>
      <c r="C501" s="22" t="s">
        <v>6197</v>
      </c>
      <c r="D501" s="17" t="s">
        <v>4156</v>
      </c>
      <c r="E501" s="17" t="s">
        <v>4157</v>
      </c>
      <c r="F501" s="17" t="s">
        <v>2933</v>
      </c>
      <c r="G501" s="17" t="s">
        <v>1949</v>
      </c>
      <c r="H501" s="17" t="s">
        <v>2083</v>
      </c>
      <c r="I501" t="s">
        <v>1942</v>
      </c>
    </row>
    <row r="502" spans="1:9" x14ac:dyDescent="0.25">
      <c r="A502" s="17" t="s">
        <v>992</v>
      </c>
      <c r="B502" s="17" t="s">
        <v>4158</v>
      </c>
      <c r="C502" s="22" t="s">
        <v>6197</v>
      </c>
      <c r="D502" s="17" t="s">
        <v>4159</v>
      </c>
      <c r="E502" s="17" t="s">
        <v>4160</v>
      </c>
      <c r="F502" s="17" t="s">
        <v>2048</v>
      </c>
      <c r="G502" s="17" t="s">
        <v>1941</v>
      </c>
      <c r="H502" s="17">
        <v>49518</v>
      </c>
      <c r="I502" t="s">
        <v>1951</v>
      </c>
    </row>
    <row r="503" spans="1:9" x14ac:dyDescent="0.25">
      <c r="A503" s="17" t="s">
        <v>994</v>
      </c>
      <c r="B503" s="17" t="s">
        <v>4161</v>
      </c>
      <c r="C503" s="17" t="s">
        <v>4162</v>
      </c>
      <c r="D503" s="17" t="s">
        <v>4163</v>
      </c>
      <c r="E503" s="17" t="s">
        <v>4164</v>
      </c>
      <c r="F503" s="17" t="s">
        <v>3365</v>
      </c>
      <c r="G503" s="17" t="s">
        <v>2116</v>
      </c>
      <c r="H503" s="17" t="s">
        <v>3366</v>
      </c>
      <c r="I503" t="s">
        <v>1951</v>
      </c>
    </row>
    <row r="504" spans="1:9" x14ac:dyDescent="0.25">
      <c r="A504" s="17" t="s">
        <v>4165</v>
      </c>
      <c r="B504" s="17" t="s">
        <v>4166</v>
      </c>
      <c r="C504" s="17" t="s">
        <v>4167</v>
      </c>
      <c r="D504" s="17" t="s">
        <v>4168</v>
      </c>
      <c r="E504" s="17" t="s">
        <v>4169</v>
      </c>
      <c r="F504" s="17" t="s">
        <v>2375</v>
      </c>
      <c r="G504" s="17" t="s">
        <v>1941</v>
      </c>
      <c r="H504" s="17">
        <v>66160</v>
      </c>
      <c r="I504" t="s">
        <v>1951</v>
      </c>
    </row>
    <row r="505" spans="1:9" x14ac:dyDescent="0.25">
      <c r="A505" s="17" t="s">
        <v>4170</v>
      </c>
      <c r="B505" s="17" t="s">
        <v>4171</v>
      </c>
      <c r="C505" s="22" t="s">
        <v>6197</v>
      </c>
      <c r="D505" s="17" t="s">
        <v>4172</v>
      </c>
      <c r="E505" s="17" t="s">
        <v>4173</v>
      </c>
      <c r="F505" s="17" t="s">
        <v>4174</v>
      </c>
      <c r="G505" s="17" t="s">
        <v>1941</v>
      </c>
      <c r="H505" s="17">
        <v>14905</v>
      </c>
      <c r="I505" t="s">
        <v>1951</v>
      </c>
    </row>
    <row r="506" spans="1:9" x14ac:dyDescent="0.25">
      <c r="A506" s="17" t="s">
        <v>4175</v>
      </c>
      <c r="B506" s="17" t="s">
        <v>4176</v>
      </c>
      <c r="C506" s="17" t="s">
        <v>4177</v>
      </c>
      <c r="D506" s="17" t="s">
        <v>4178</v>
      </c>
      <c r="E506" s="17" t="s">
        <v>4179</v>
      </c>
      <c r="F506" s="17" t="s">
        <v>3121</v>
      </c>
      <c r="G506" s="17" t="s">
        <v>1941</v>
      </c>
      <c r="H506" s="17">
        <v>53205</v>
      </c>
      <c r="I506" t="s">
        <v>1942</v>
      </c>
    </row>
    <row r="507" spans="1:9" x14ac:dyDescent="0.25">
      <c r="A507" s="17" t="s">
        <v>996</v>
      </c>
      <c r="B507" s="17" t="s">
        <v>4180</v>
      </c>
      <c r="C507" s="17" t="s">
        <v>4181</v>
      </c>
      <c r="D507" s="17" t="s">
        <v>4182</v>
      </c>
      <c r="E507" s="17" t="s">
        <v>4183</v>
      </c>
      <c r="F507" s="17" t="s">
        <v>4184</v>
      </c>
      <c r="G507" s="17" t="s">
        <v>1941</v>
      </c>
      <c r="H507" s="17">
        <v>27264</v>
      </c>
      <c r="I507" t="s">
        <v>1951</v>
      </c>
    </row>
    <row r="508" spans="1:9" x14ac:dyDescent="0.25">
      <c r="A508" s="17" t="s">
        <v>998</v>
      </c>
      <c r="B508" s="17" t="s">
        <v>4185</v>
      </c>
      <c r="C508" s="17" t="s">
        <v>4186</v>
      </c>
      <c r="D508" s="17" t="s">
        <v>4187</v>
      </c>
      <c r="E508" s="17" t="s">
        <v>4188</v>
      </c>
      <c r="F508" s="17" t="s">
        <v>2448</v>
      </c>
      <c r="G508" s="17" t="s">
        <v>1941</v>
      </c>
      <c r="H508" s="17">
        <v>88546</v>
      </c>
      <c r="I508" t="s">
        <v>1942</v>
      </c>
    </row>
    <row r="509" spans="1:9" x14ac:dyDescent="0.25">
      <c r="A509" s="17" t="s">
        <v>1000</v>
      </c>
      <c r="B509" s="17" t="s">
        <v>4189</v>
      </c>
      <c r="C509" s="17" t="s">
        <v>4190</v>
      </c>
      <c r="D509" s="17" t="s">
        <v>4191</v>
      </c>
      <c r="E509" s="17" t="s">
        <v>4192</v>
      </c>
      <c r="F509" s="17" t="s">
        <v>4193</v>
      </c>
      <c r="G509" s="17" t="s">
        <v>1941</v>
      </c>
      <c r="H509" s="17">
        <v>44185</v>
      </c>
      <c r="I509" t="s">
        <v>1942</v>
      </c>
    </row>
    <row r="510" spans="1:9" x14ac:dyDescent="0.25">
      <c r="A510" s="17" t="s">
        <v>1002</v>
      </c>
      <c r="B510" s="17" t="s">
        <v>4194</v>
      </c>
      <c r="C510" s="17" t="s">
        <v>4195</v>
      </c>
      <c r="D510" s="17" t="s">
        <v>4196</v>
      </c>
      <c r="E510" s="17" t="s">
        <v>4197</v>
      </c>
      <c r="F510" s="17" t="s">
        <v>4198</v>
      </c>
      <c r="G510" s="17" t="s">
        <v>1949</v>
      </c>
      <c r="H510" s="17" t="s">
        <v>4199</v>
      </c>
      <c r="I510" t="s">
        <v>1951</v>
      </c>
    </row>
    <row r="511" spans="1:9" x14ac:dyDescent="0.25">
      <c r="A511" s="17" t="s">
        <v>988</v>
      </c>
      <c r="B511" s="17" t="s">
        <v>4200</v>
      </c>
      <c r="C511" s="17" t="s">
        <v>4201</v>
      </c>
      <c r="D511" s="17" t="s">
        <v>4202</v>
      </c>
      <c r="E511" s="17" t="s">
        <v>4203</v>
      </c>
      <c r="F511" s="17" t="s">
        <v>4204</v>
      </c>
      <c r="G511" s="17" t="s">
        <v>1949</v>
      </c>
      <c r="H511" s="17" t="s">
        <v>4205</v>
      </c>
      <c r="I511" t="s">
        <v>1942</v>
      </c>
    </row>
    <row r="512" spans="1:9" x14ac:dyDescent="0.25">
      <c r="A512" s="17" t="s">
        <v>1005</v>
      </c>
      <c r="B512" s="17" t="s">
        <v>4206</v>
      </c>
      <c r="C512" s="17" t="s">
        <v>4207</v>
      </c>
      <c r="D512" s="17" t="s">
        <v>4208</v>
      </c>
      <c r="E512" s="17" t="s">
        <v>4209</v>
      </c>
      <c r="F512" s="17" t="s">
        <v>3749</v>
      </c>
      <c r="G512" s="17" t="s">
        <v>1949</v>
      </c>
      <c r="H512" s="17" t="s">
        <v>3750</v>
      </c>
      <c r="I512" t="s">
        <v>1942</v>
      </c>
    </row>
    <row r="513" spans="1:9" x14ac:dyDescent="0.25">
      <c r="A513" s="17" t="s">
        <v>1007</v>
      </c>
      <c r="B513" s="17" t="s">
        <v>4210</v>
      </c>
      <c r="C513" s="17" t="s">
        <v>4211</v>
      </c>
      <c r="D513" s="17" t="s">
        <v>4212</v>
      </c>
      <c r="E513" s="17" t="s">
        <v>4213</v>
      </c>
      <c r="F513" s="17" t="s">
        <v>2172</v>
      </c>
      <c r="G513" s="17" t="s">
        <v>1941</v>
      </c>
      <c r="H513" s="17">
        <v>35244</v>
      </c>
      <c r="I513" t="s">
        <v>1942</v>
      </c>
    </row>
    <row r="514" spans="1:9" x14ac:dyDescent="0.25">
      <c r="A514" s="17" t="s">
        <v>1009</v>
      </c>
      <c r="B514" s="17" t="s">
        <v>4214</v>
      </c>
      <c r="C514" s="17" t="s">
        <v>4215</v>
      </c>
      <c r="D514" s="17" t="s">
        <v>4216</v>
      </c>
      <c r="E514" s="17" t="s">
        <v>4217</v>
      </c>
      <c r="F514" s="17" t="s">
        <v>4218</v>
      </c>
      <c r="G514" s="17" t="s">
        <v>1941</v>
      </c>
      <c r="H514" s="17">
        <v>56372</v>
      </c>
      <c r="I514" t="s">
        <v>1951</v>
      </c>
    </row>
    <row r="515" spans="1:9" x14ac:dyDescent="0.25">
      <c r="A515" s="17" t="s">
        <v>1011</v>
      </c>
      <c r="B515" s="17" t="s">
        <v>4219</v>
      </c>
      <c r="C515" s="17" t="s">
        <v>4220</v>
      </c>
      <c r="D515" s="17" t="s">
        <v>6197</v>
      </c>
      <c r="E515" s="17" t="s">
        <v>4221</v>
      </c>
      <c r="F515" s="17" t="s">
        <v>2017</v>
      </c>
      <c r="G515" s="17" t="s">
        <v>1941</v>
      </c>
      <c r="H515" s="17">
        <v>19191</v>
      </c>
      <c r="I515" t="s">
        <v>1951</v>
      </c>
    </row>
    <row r="516" spans="1:9" x14ac:dyDescent="0.25">
      <c r="A516" s="17" t="s">
        <v>1013</v>
      </c>
      <c r="B516" s="17" t="s">
        <v>4222</v>
      </c>
      <c r="C516" s="17" t="s">
        <v>4223</v>
      </c>
      <c r="D516" s="17" t="s">
        <v>4224</v>
      </c>
      <c r="E516" s="17" t="s">
        <v>4225</v>
      </c>
      <c r="F516" s="17" t="s">
        <v>2821</v>
      </c>
      <c r="G516" s="17" t="s">
        <v>1941</v>
      </c>
      <c r="H516" s="17">
        <v>48211</v>
      </c>
      <c r="I516" t="s">
        <v>1942</v>
      </c>
    </row>
    <row r="517" spans="1:9" x14ac:dyDescent="0.25">
      <c r="A517" s="17" t="s">
        <v>1015</v>
      </c>
      <c r="B517" s="17" t="s">
        <v>4226</v>
      </c>
      <c r="C517" s="17" t="s">
        <v>4227</v>
      </c>
      <c r="D517" s="17" t="s">
        <v>4228</v>
      </c>
      <c r="E517" s="17" t="s">
        <v>4229</v>
      </c>
      <c r="F517" s="17" t="s">
        <v>2013</v>
      </c>
      <c r="G517" s="17" t="s">
        <v>1941</v>
      </c>
      <c r="H517" s="17">
        <v>63180</v>
      </c>
      <c r="I517" t="s">
        <v>1951</v>
      </c>
    </row>
    <row r="518" spans="1:9" x14ac:dyDescent="0.25">
      <c r="A518" s="17" t="s">
        <v>1017</v>
      </c>
      <c r="B518" s="17" t="s">
        <v>4230</v>
      </c>
      <c r="C518" s="22" t="s">
        <v>6197</v>
      </c>
      <c r="D518" s="17" t="s">
        <v>4231</v>
      </c>
      <c r="E518" s="17" t="s">
        <v>4232</v>
      </c>
      <c r="F518" s="17" t="s">
        <v>4233</v>
      </c>
      <c r="G518" s="17" t="s">
        <v>1941</v>
      </c>
      <c r="H518" s="17">
        <v>12305</v>
      </c>
      <c r="I518" t="s">
        <v>1942</v>
      </c>
    </row>
    <row r="519" spans="1:9" x14ac:dyDescent="0.25">
      <c r="A519" s="17" t="s">
        <v>1019</v>
      </c>
      <c r="B519" s="17" t="s">
        <v>4234</v>
      </c>
      <c r="C519" s="22" t="s">
        <v>6197</v>
      </c>
      <c r="D519" s="17" t="s">
        <v>4235</v>
      </c>
      <c r="E519" s="17" t="s">
        <v>4236</v>
      </c>
      <c r="F519" s="17" t="s">
        <v>4237</v>
      </c>
      <c r="G519" s="17" t="s">
        <v>1941</v>
      </c>
      <c r="H519" s="17">
        <v>33805</v>
      </c>
      <c r="I519" t="s">
        <v>1951</v>
      </c>
    </row>
    <row r="520" spans="1:9" x14ac:dyDescent="0.25">
      <c r="A520" s="17" t="s">
        <v>1021</v>
      </c>
      <c r="B520" s="17" t="s">
        <v>4238</v>
      </c>
      <c r="C520" s="17" t="s">
        <v>4239</v>
      </c>
      <c r="D520" s="17" t="s">
        <v>4240</v>
      </c>
      <c r="E520" s="17" t="s">
        <v>4241</v>
      </c>
      <c r="F520" s="17" t="s">
        <v>4242</v>
      </c>
      <c r="G520" s="17" t="s">
        <v>1941</v>
      </c>
      <c r="H520" s="17">
        <v>32941</v>
      </c>
      <c r="I520" t="s">
        <v>1951</v>
      </c>
    </row>
    <row r="521" spans="1:9" x14ac:dyDescent="0.25">
      <c r="A521" s="17" t="s">
        <v>4243</v>
      </c>
      <c r="B521" s="17" t="s">
        <v>4244</v>
      </c>
      <c r="C521" s="17" t="s">
        <v>4245</v>
      </c>
      <c r="D521" s="17" t="s">
        <v>4246</v>
      </c>
      <c r="E521" s="17" t="s">
        <v>4247</v>
      </c>
      <c r="F521" s="17" t="s">
        <v>2027</v>
      </c>
      <c r="G521" s="17" t="s">
        <v>1941</v>
      </c>
      <c r="H521" s="17">
        <v>77075</v>
      </c>
      <c r="I521" t="s">
        <v>1951</v>
      </c>
    </row>
    <row r="522" spans="1:9" x14ac:dyDescent="0.25">
      <c r="A522" s="17" t="s">
        <v>1024</v>
      </c>
      <c r="B522" s="17" t="s">
        <v>4248</v>
      </c>
      <c r="C522" s="17" t="s">
        <v>4249</v>
      </c>
      <c r="D522" s="17" t="s">
        <v>4250</v>
      </c>
      <c r="E522" s="17" t="s">
        <v>4251</v>
      </c>
      <c r="F522" s="17" t="s">
        <v>2144</v>
      </c>
      <c r="G522" s="17" t="s">
        <v>1941</v>
      </c>
      <c r="H522" s="17">
        <v>70179</v>
      </c>
      <c r="I522" t="s">
        <v>1951</v>
      </c>
    </row>
    <row r="523" spans="1:9" x14ac:dyDescent="0.25">
      <c r="A523" s="17" t="s">
        <v>4252</v>
      </c>
      <c r="B523" s="17" t="s">
        <v>4253</v>
      </c>
      <c r="C523" s="17" t="s">
        <v>4254</v>
      </c>
      <c r="D523" s="17" t="s">
        <v>4255</v>
      </c>
      <c r="E523" s="17" t="s">
        <v>4256</v>
      </c>
      <c r="F523" s="17" t="s">
        <v>2362</v>
      </c>
      <c r="G523" s="17" t="s">
        <v>1941</v>
      </c>
      <c r="H523" s="17">
        <v>73142</v>
      </c>
      <c r="I523" t="s">
        <v>1951</v>
      </c>
    </row>
    <row r="524" spans="1:9" x14ac:dyDescent="0.25">
      <c r="A524" s="17" t="s">
        <v>1026</v>
      </c>
      <c r="B524" s="17" t="s">
        <v>4257</v>
      </c>
      <c r="C524" s="17" t="s">
        <v>4258</v>
      </c>
      <c r="D524" s="17" t="s">
        <v>4259</v>
      </c>
      <c r="E524" s="17" t="s">
        <v>4260</v>
      </c>
      <c r="F524" s="17" t="s">
        <v>3510</v>
      </c>
      <c r="G524" s="17" t="s">
        <v>1941</v>
      </c>
      <c r="H524" s="17">
        <v>66617</v>
      </c>
      <c r="I524" t="s">
        <v>1951</v>
      </c>
    </row>
    <row r="525" spans="1:9" x14ac:dyDescent="0.25">
      <c r="A525" s="17" t="s">
        <v>1028</v>
      </c>
      <c r="B525" s="17" t="s">
        <v>4261</v>
      </c>
      <c r="C525" s="17" t="s">
        <v>4262</v>
      </c>
      <c r="D525" s="17" t="s">
        <v>4263</v>
      </c>
      <c r="E525" s="17" t="s">
        <v>4264</v>
      </c>
      <c r="F525" s="17" t="s">
        <v>4265</v>
      </c>
      <c r="G525" s="17" t="s">
        <v>1949</v>
      </c>
      <c r="H525" s="17" t="s">
        <v>3618</v>
      </c>
      <c r="I525" t="s">
        <v>1951</v>
      </c>
    </row>
    <row r="526" spans="1:9" x14ac:dyDescent="0.25">
      <c r="A526" s="17" t="s">
        <v>1030</v>
      </c>
      <c r="B526" s="17" t="s">
        <v>4266</v>
      </c>
      <c r="C526" s="22" t="s">
        <v>6197</v>
      </c>
      <c r="D526" s="17" t="s">
        <v>4267</v>
      </c>
      <c r="E526" s="17" t="s">
        <v>4268</v>
      </c>
      <c r="F526" s="17" t="s">
        <v>1962</v>
      </c>
      <c r="G526" s="17" t="s">
        <v>1941</v>
      </c>
      <c r="H526" s="17">
        <v>62723</v>
      </c>
      <c r="I526" t="s">
        <v>1951</v>
      </c>
    </row>
    <row r="527" spans="1:9" x14ac:dyDescent="0.25">
      <c r="A527" s="17" t="s">
        <v>1032</v>
      </c>
      <c r="B527" s="17" t="s">
        <v>4269</v>
      </c>
      <c r="C527" s="22" t="s">
        <v>6197</v>
      </c>
      <c r="D527" s="17" t="s">
        <v>4270</v>
      </c>
      <c r="E527" s="17" t="s">
        <v>4271</v>
      </c>
      <c r="F527" s="17" t="s">
        <v>4272</v>
      </c>
      <c r="G527" s="17" t="s">
        <v>1941</v>
      </c>
      <c r="H527" s="17">
        <v>8104</v>
      </c>
      <c r="I527" t="s">
        <v>1942</v>
      </c>
    </row>
    <row r="528" spans="1:9" x14ac:dyDescent="0.25">
      <c r="A528" s="17" t="s">
        <v>1034</v>
      </c>
      <c r="B528" s="17" t="s">
        <v>4273</v>
      </c>
      <c r="C528" s="17" t="s">
        <v>4274</v>
      </c>
      <c r="D528" s="17" t="s">
        <v>4275</v>
      </c>
      <c r="E528" s="17" t="s">
        <v>4276</v>
      </c>
      <c r="F528" s="17" t="s">
        <v>3492</v>
      </c>
      <c r="G528" s="17" t="s">
        <v>1941</v>
      </c>
      <c r="H528" s="17">
        <v>98185</v>
      </c>
      <c r="I528" t="s">
        <v>1942</v>
      </c>
    </row>
    <row r="529" spans="1:9" x14ac:dyDescent="0.25">
      <c r="A529" s="17" t="s">
        <v>1036</v>
      </c>
      <c r="B529" s="17" t="s">
        <v>4277</v>
      </c>
      <c r="C529" s="17" t="s">
        <v>4278</v>
      </c>
      <c r="D529" s="17" t="s">
        <v>4279</v>
      </c>
      <c r="E529" s="17" t="s">
        <v>4280</v>
      </c>
      <c r="F529" s="17" t="s">
        <v>2242</v>
      </c>
      <c r="G529" s="17" t="s">
        <v>2116</v>
      </c>
      <c r="H529" s="17" t="s">
        <v>2243</v>
      </c>
      <c r="I529" t="s">
        <v>1951</v>
      </c>
    </row>
    <row r="530" spans="1:9" x14ac:dyDescent="0.25">
      <c r="A530" s="17" t="s">
        <v>1038</v>
      </c>
      <c r="B530" s="17" t="s">
        <v>4281</v>
      </c>
      <c r="C530" s="17" t="s">
        <v>4282</v>
      </c>
      <c r="D530" s="17" t="s">
        <v>4283</v>
      </c>
      <c r="E530" s="17" t="s">
        <v>4284</v>
      </c>
      <c r="F530" s="17" t="s">
        <v>4285</v>
      </c>
      <c r="G530" s="17" t="s">
        <v>1941</v>
      </c>
      <c r="H530" s="17">
        <v>76711</v>
      </c>
      <c r="I530" t="s">
        <v>1951</v>
      </c>
    </row>
    <row r="531" spans="1:9" x14ac:dyDescent="0.25">
      <c r="A531" s="17" t="s">
        <v>1040</v>
      </c>
      <c r="B531" s="17" t="s">
        <v>4286</v>
      </c>
      <c r="C531" s="17" t="s">
        <v>4287</v>
      </c>
      <c r="D531" s="17" t="s">
        <v>4288</v>
      </c>
      <c r="E531" s="17" t="s">
        <v>4289</v>
      </c>
      <c r="F531" s="17" t="s">
        <v>2004</v>
      </c>
      <c r="G531" s="17" t="s">
        <v>1941</v>
      </c>
      <c r="H531" s="17">
        <v>23242</v>
      </c>
      <c r="I531" t="s">
        <v>1951</v>
      </c>
    </row>
    <row r="532" spans="1:9" x14ac:dyDescent="0.25">
      <c r="A532" s="17" t="s">
        <v>1042</v>
      </c>
      <c r="B532" s="17" t="s">
        <v>4290</v>
      </c>
      <c r="C532" s="17" t="s">
        <v>4291</v>
      </c>
      <c r="D532" s="17" t="s">
        <v>4292</v>
      </c>
      <c r="E532" s="17" t="s">
        <v>4293</v>
      </c>
      <c r="F532" s="17" t="s">
        <v>2211</v>
      </c>
      <c r="G532" s="17" t="s">
        <v>1941</v>
      </c>
      <c r="H532" s="17">
        <v>43610</v>
      </c>
      <c r="I532" t="s">
        <v>1951</v>
      </c>
    </row>
    <row r="533" spans="1:9" x14ac:dyDescent="0.25">
      <c r="A533" s="17" t="s">
        <v>1044</v>
      </c>
      <c r="B533" s="17" t="s">
        <v>4294</v>
      </c>
      <c r="C533" s="17" t="s">
        <v>4295</v>
      </c>
      <c r="D533" s="17" t="s">
        <v>4296</v>
      </c>
      <c r="E533" s="17" t="s">
        <v>4297</v>
      </c>
      <c r="F533" s="17" t="s">
        <v>2481</v>
      </c>
      <c r="G533" s="17" t="s">
        <v>1941</v>
      </c>
      <c r="H533" s="17">
        <v>25705</v>
      </c>
      <c r="I533" t="s">
        <v>1951</v>
      </c>
    </row>
    <row r="534" spans="1:9" x14ac:dyDescent="0.25">
      <c r="A534" s="17" t="s">
        <v>1046</v>
      </c>
      <c r="B534" s="17" t="s">
        <v>4298</v>
      </c>
      <c r="C534" s="17" t="s">
        <v>4299</v>
      </c>
      <c r="D534" s="17" t="s">
        <v>4300</v>
      </c>
      <c r="E534" s="17" t="s">
        <v>4301</v>
      </c>
      <c r="F534" s="17" t="s">
        <v>4302</v>
      </c>
      <c r="G534" s="17" t="s">
        <v>1941</v>
      </c>
      <c r="H534" s="17">
        <v>33884</v>
      </c>
      <c r="I534" t="s">
        <v>1942</v>
      </c>
    </row>
    <row r="535" spans="1:9" x14ac:dyDescent="0.25">
      <c r="A535" s="17" t="s">
        <v>1048</v>
      </c>
      <c r="B535" s="17" t="s">
        <v>4303</v>
      </c>
      <c r="C535" s="22" t="s">
        <v>6197</v>
      </c>
      <c r="D535" s="17" t="s">
        <v>4304</v>
      </c>
      <c r="E535" s="17" t="s">
        <v>4305</v>
      </c>
      <c r="F535" s="17" t="s">
        <v>2325</v>
      </c>
      <c r="G535" s="17" t="s">
        <v>1941</v>
      </c>
      <c r="H535" s="17">
        <v>75323</v>
      </c>
      <c r="I535" t="s">
        <v>1951</v>
      </c>
    </row>
    <row r="536" spans="1:9" x14ac:dyDescent="0.25">
      <c r="A536" s="17" t="s">
        <v>1050</v>
      </c>
      <c r="B536" s="17" t="s">
        <v>4306</v>
      </c>
      <c r="C536" s="17" t="s">
        <v>4307</v>
      </c>
      <c r="D536" s="17" t="s">
        <v>4308</v>
      </c>
      <c r="E536" s="17" t="s">
        <v>4309</v>
      </c>
      <c r="F536" s="17" t="s">
        <v>2345</v>
      </c>
      <c r="G536" s="17" t="s">
        <v>1949</v>
      </c>
      <c r="H536" s="17" t="s">
        <v>2346</v>
      </c>
      <c r="I536" t="s">
        <v>1942</v>
      </c>
    </row>
    <row r="537" spans="1:9" x14ac:dyDescent="0.25">
      <c r="A537" s="17" t="s">
        <v>1052</v>
      </c>
      <c r="B537" s="17" t="s">
        <v>4310</v>
      </c>
      <c r="C537" s="22" t="s">
        <v>6197</v>
      </c>
      <c r="D537" s="17" t="s">
        <v>4311</v>
      </c>
      <c r="E537" s="17" t="s">
        <v>4312</v>
      </c>
      <c r="F537" s="17" t="s">
        <v>2600</v>
      </c>
      <c r="G537" s="17" t="s">
        <v>1949</v>
      </c>
      <c r="H537" s="17" t="s">
        <v>2545</v>
      </c>
      <c r="I537" t="s">
        <v>1951</v>
      </c>
    </row>
    <row r="538" spans="1:9" x14ac:dyDescent="0.25">
      <c r="A538" s="17" t="s">
        <v>4313</v>
      </c>
      <c r="B538" s="17" t="s">
        <v>4314</v>
      </c>
      <c r="C538" s="17" t="s">
        <v>4315</v>
      </c>
      <c r="D538" s="17" t="s">
        <v>4316</v>
      </c>
      <c r="E538" s="17" t="s">
        <v>4317</v>
      </c>
      <c r="F538" s="17" t="s">
        <v>2287</v>
      </c>
      <c r="G538" s="17" t="s">
        <v>1941</v>
      </c>
      <c r="H538" s="17">
        <v>43231</v>
      </c>
      <c r="I538" t="s">
        <v>1951</v>
      </c>
    </row>
    <row r="539" spans="1:9" x14ac:dyDescent="0.25">
      <c r="A539" s="17" t="s">
        <v>1055</v>
      </c>
      <c r="B539" s="17" t="s">
        <v>4318</v>
      </c>
      <c r="C539" s="17" t="s">
        <v>4319</v>
      </c>
      <c r="D539" s="17" t="s">
        <v>6197</v>
      </c>
      <c r="E539" s="17" t="s">
        <v>4320</v>
      </c>
      <c r="F539" s="17" t="s">
        <v>2555</v>
      </c>
      <c r="G539" s="17" t="s">
        <v>1941</v>
      </c>
      <c r="H539" s="17">
        <v>47747</v>
      </c>
      <c r="I539" t="s">
        <v>1942</v>
      </c>
    </row>
    <row r="540" spans="1:9" x14ac:dyDescent="0.25">
      <c r="A540" s="17" t="s">
        <v>1057</v>
      </c>
      <c r="B540" s="17" t="s">
        <v>4321</v>
      </c>
      <c r="C540" s="17" t="s">
        <v>4322</v>
      </c>
      <c r="D540" s="17" t="s">
        <v>6197</v>
      </c>
      <c r="E540" s="17" t="s">
        <v>4323</v>
      </c>
      <c r="F540" s="17" t="s">
        <v>4324</v>
      </c>
      <c r="G540" s="17" t="s">
        <v>1941</v>
      </c>
      <c r="H540" s="17">
        <v>60567</v>
      </c>
      <c r="I540" t="s">
        <v>1942</v>
      </c>
    </row>
    <row r="541" spans="1:9" x14ac:dyDescent="0.25">
      <c r="A541" s="17" t="s">
        <v>1059</v>
      </c>
      <c r="B541" s="17" t="s">
        <v>4325</v>
      </c>
      <c r="C541" s="17" t="s">
        <v>4326</v>
      </c>
      <c r="D541" s="17" t="s">
        <v>6197</v>
      </c>
      <c r="E541" s="17" t="s">
        <v>4327</v>
      </c>
      <c r="F541" s="17" t="s">
        <v>2122</v>
      </c>
      <c r="G541" s="17" t="s">
        <v>1941</v>
      </c>
      <c r="H541" s="17">
        <v>29424</v>
      </c>
      <c r="I541" t="s">
        <v>1951</v>
      </c>
    </row>
    <row r="542" spans="1:9" x14ac:dyDescent="0.25">
      <c r="A542" s="17" t="s">
        <v>1061</v>
      </c>
      <c r="B542" s="17" t="s">
        <v>4328</v>
      </c>
      <c r="C542" s="17" t="s">
        <v>4329</v>
      </c>
      <c r="D542" s="17" t="s">
        <v>4330</v>
      </c>
      <c r="E542" s="17" t="s">
        <v>4331</v>
      </c>
      <c r="F542" s="17" t="s">
        <v>2800</v>
      </c>
      <c r="G542" s="17" t="s">
        <v>1941</v>
      </c>
      <c r="H542" s="17">
        <v>48930</v>
      </c>
      <c r="I542" t="s">
        <v>1942</v>
      </c>
    </row>
    <row r="543" spans="1:9" x14ac:dyDescent="0.25">
      <c r="A543" s="17" t="s">
        <v>1063</v>
      </c>
      <c r="B543" s="17" t="s">
        <v>4332</v>
      </c>
      <c r="C543" s="22" t="s">
        <v>6197</v>
      </c>
      <c r="D543" s="17" t="s">
        <v>4333</v>
      </c>
      <c r="E543" s="17" t="s">
        <v>4334</v>
      </c>
      <c r="F543" s="17" t="s">
        <v>4335</v>
      </c>
      <c r="G543" s="17" t="s">
        <v>1949</v>
      </c>
      <c r="H543" s="17" t="s">
        <v>4199</v>
      </c>
      <c r="I543" t="s">
        <v>1942</v>
      </c>
    </row>
    <row r="544" spans="1:9" x14ac:dyDescent="0.25">
      <c r="A544" s="17" t="s">
        <v>1065</v>
      </c>
      <c r="B544" s="17" t="s">
        <v>4336</v>
      </c>
      <c r="C544" s="17" t="s">
        <v>4337</v>
      </c>
      <c r="D544" s="17" t="s">
        <v>4338</v>
      </c>
      <c r="E544" s="17" t="s">
        <v>4339</v>
      </c>
      <c r="F544" s="17" t="s">
        <v>3524</v>
      </c>
      <c r="G544" s="17" t="s">
        <v>1941</v>
      </c>
      <c r="H544" s="17">
        <v>71115</v>
      </c>
      <c r="I544" t="s">
        <v>1951</v>
      </c>
    </row>
    <row r="545" spans="1:9" x14ac:dyDescent="0.25">
      <c r="A545" s="17" t="s">
        <v>1067</v>
      </c>
      <c r="B545" s="17" t="s">
        <v>4340</v>
      </c>
      <c r="C545" s="17" t="s">
        <v>4341</v>
      </c>
      <c r="D545" s="17" t="s">
        <v>4342</v>
      </c>
      <c r="E545" s="17" t="s">
        <v>4343</v>
      </c>
      <c r="F545" s="17" t="s">
        <v>1995</v>
      </c>
      <c r="G545" s="17" t="s">
        <v>1941</v>
      </c>
      <c r="H545" s="17">
        <v>95194</v>
      </c>
      <c r="I545" t="s">
        <v>1951</v>
      </c>
    </row>
    <row r="546" spans="1:9" x14ac:dyDescent="0.25">
      <c r="A546" s="17" t="s">
        <v>1069</v>
      </c>
      <c r="B546" s="17" t="s">
        <v>4344</v>
      </c>
      <c r="C546" s="17" t="s">
        <v>4345</v>
      </c>
      <c r="D546" s="17" t="s">
        <v>4346</v>
      </c>
      <c r="E546" s="17" t="s">
        <v>4347</v>
      </c>
      <c r="F546" s="17" t="s">
        <v>2017</v>
      </c>
      <c r="G546" s="17" t="s">
        <v>1941</v>
      </c>
      <c r="H546" s="17">
        <v>19104</v>
      </c>
      <c r="I546" t="s">
        <v>1951</v>
      </c>
    </row>
    <row r="547" spans="1:9" x14ac:dyDescent="0.25">
      <c r="A547" s="17" t="s">
        <v>1071</v>
      </c>
      <c r="B547" s="17" t="s">
        <v>4348</v>
      </c>
      <c r="C547" s="17" t="s">
        <v>4349</v>
      </c>
      <c r="D547" s="17" t="s">
        <v>4350</v>
      </c>
      <c r="E547" s="17" t="s">
        <v>4351</v>
      </c>
      <c r="F547" s="17" t="s">
        <v>3134</v>
      </c>
      <c r="G547" s="17" t="s">
        <v>2116</v>
      </c>
      <c r="H547" s="17" t="s">
        <v>3135</v>
      </c>
      <c r="I547" t="s">
        <v>1951</v>
      </c>
    </row>
    <row r="548" spans="1:9" x14ac:dyDescent="0.25">
      <c r="A548" s="17" t="s">
        <v>1073</v>
      </c>
      <c r="B548" s="17" t="s">
        <v>4352</v>
      </c>
      <c r="C548" s="22" t="s">
        <v>6197</v>
      </c>
      <c r="D548" s="17" t="s">
        <v>4353</v>
      </c>
      <c r="E548" s="17" t="s">
        <v>4354</v>
      </c>
      <c r="F548" s="17" t="s">
        <v>4355</v>
      </c>
      <c r="G548" s="17" t="s">
        <v>1949</v>
      </c>
      <c r="H548" s="17" t="s">
        <v>4356</v>
      </c>
      <c r="I548" t="s">
        <v>1951</v>
      </c>
    </row>
    <row r="549" spans="1:9" x14ac:dyDescent="0.25">
      <c r="A549" s="17" t="s">
        <v>4357</v>
      </c>
      <c r="B549" s="17" t="s">
        <v>4358</v>
      </c>
      <c r="C549" s="22" t="s">
        <v>6197</v>
      </c>
      <c r="D549" s="17" t="s">
        <v>4359</v>
      </c>
      <c r="E549" s="17" t="s">
        <v>4360</v>
      </c>
      <c r="F549" s="17" t="s">
        <v>3316</v>
      </c>
      <c r="G549" s="17" t="s">
        <v>1941</v>
      </c>
      <c r="H549" s="17">
        <v>21229</v>
      </c>
      <c r="I549" t="s">
        <v>1942</v>
      </c>
    </row>
    <row r="550" spans="1:9" x14ac:dyDescent="0.25">
      <c r="A550" s="17" t="s">
        <v>1077</v>
      </c>
      <c r="B550" s="17" t="s">
        <v>4361</v>
      </c>
      <c r="C550" s="17" t="s">
        <v>4362</v>
      </c>
      <c r="D550" s="17" t="s">
        <v>4363</v>
      </c>
      <c r="E550" s="17" t="s">
        <v>4364</v>
      </c>
      <c r="F550" s="17" t="s">
        <v>2362</v>
      </c>
      <c r="G550" s="17" t="s">
        <v>1941</v>
      </c>
      <c r="H550" s="17">
        <v>73119</v>
      </c>
      <c r="I550" t="s">
        <v>1942</v>
      </c>
    </row>
    <row r="551" spans="1:9" x14ac:dyDescent="0.25">
      <c r="A551" s="17" t="s">
        <v>1075</v>
      </c>
      <c r="B551" s="17" t="s">
        <v>4365</v>
      </c>
      <c r="C551" s="17" t="s">
        <v>4366</v>
      </c>
      <c r="D551" s="17" t="s">
        <v>4367</v>
      </c>
      <c r="E551" s="17" t="s">
        <v>4368</v>
      </c>
      <c r="F551" s="17" t="s">
        <v>2037</v>
      </c>
      <c r="G551" s="17" t="s">
        <v>1941</v>
      </c>
      <c r="H551" s="17">
        <v>10060</v>
      </c>
      <c r="I551" t="s">
        <v>1942</v>
      </c>
    </row>
    <row r="552" spans="1:9" x14ac:dyDescent="0.25">
      <c r="A552" s="17" t="s">
        <v>1080</v>
      </c>
      <c r="B552" s="17" t="s">
        <v>4369</v>
      </c>
      <c r="C552" s="17" t="s">
        <v>4370</v>
      </c>
      <c r="D552" s="17" t="s">
        <v>4371</v>
      </c>
      <c r="E552" s="17" t="s">
        <v>4372</v>
      </c>
      <c r="F552" s="17" t="s">
        <v>2256</v>
      </c>
      <c r="G552" s="17" t="s">
        <v>1941</v>
      </c>
      <c r="H552" s="17">
        <v>7112</v>
      </c>
      <c r="I552" t="s">
        <v>1942</v>
      </c>
    </row>
    <row r="553" spans="1:9" x14ac:dyDescent="0.25">
      <c r="A553" s="17" t="s">
        <v>1082</v>
      </c>
      <c r="B553" s="17" t="s">
        <v>4373</v>
      </c>
      <c r="C553" s="17" t="s">
        <v>4374</v>
      </c>
      <c r="D553" s="17" t="s">
        <v>4375</v>
      </c>
      <c r="E553" s="17" t="s">
        <v>4376</v>
      </c>
      <c r="F553" s="17" t="s">
        <v>3677</v>
      </c>
      <c r="G553" s="17" t="s">
        <v>1941</v>
      </c>
      <c r="H553" s="17">
        <v>6510</v>
      </c>
      <c r="I553" t="s">
        <v>1951</v>
      </c>
    </row>
    <row r="554" spans="1:9" x14ac:dyDescent="0.25">
      <c r="A554" s="17" t="s">
        <v>1084</v>
      </c>
      <c r="B554" s="17" t="s">
        <v>4377</v>
      </c>
      <c r="C554" s="17" t="s">
        <v>4378</v>
      </c>
      <c r="D554" s="17" t="s">
        <v>4379</v>
      </c>
      <c r="E554" s="17" t="s">
        <v>4380</v>
      </c>
      <c r="F554" s="17" t="s">
        <v>3365</v>
      </c>
      <c r="G554" s="17" t="s">
        <v>2116</v>
      </c>
      <c r="H554" s="17" t="s">
        <v>3366</v>
      </c>
      <c r="I554" t="s">
        <v>1942</v>
      </c>
    </row>
    <row r="555" spans="1:9" x14ac:dyDescent="0.25">
      <c r="A555" s="17" t="s">
        <v>1086</v>
      </c>
      <c r="B555" s="17" t="s">
        <v>4381</v>
      </c>
      <c r="C555" s="17" t="s">
        <v>4382</v>
      </c>
      <c r="D555" s="17" t="s">
        <v>6197</v>
      </c>
      <c r="E555" s="17" t="s">
        <v>4383</v>
      </c>
      <c r="F555" s="17" t="s">
        <v>2211</v>
      </c>
      <c r="G555" s="17" t="s">
        <v>1941</v>
      </c>
      <c r="H555" s="17">
        <v>43610</v>
      </c>
      <c r="I555" t="s">
        <v>1951</v>
      </c>
    </row>
    <row r="556" spans="1:9" x14ac:dyDescent="0.25">
      <c r="A556" s="17" t="s">
        <v>1088</v>
      </c>
      <c r="B556" s="17" t="s">
        <v>4384</v>
      </c>
      <c r="C556" s="22" t="s">
        <v>6197</v>
      </c>
      <c r="D556" s="17" t="s">
        <v>4385</v>
      </c>
      <c r="E556" s="17" t="s">
        <v>4386</v>
      </c>
      <c r="F556" s="17" t="s">
        <v>3164</v>
      </c>
      <c r="G556" s="17" t="s">
        <v>2116</v>
      </c>
      <c r="H556" s="17" t="s">
        <v>4387</v>
      </c>
      <c r="I556" t="s">
        <v>1942</v>
      </c>
    </row>
    <row r="557" spans="1:9" x14ac:dyDescent="0.25">
      <c r="A557" s="17" t="s">
        <v>1090</v>
      </c>
      <c r="B557" s="17" t="s">
        <v>4388</v>
      </c>
      <c r="C557" s="17" t="s">
        <v>4389</v>
      </c>
      <c r="D557" s="17" t="s">
        <v>4390</v>
      </c>
      <c r="E557" s="17" t="s">
        <v>4391</v>
      </c>
      <c r="F557" s="17" t="s">
        <v>4392</v>
      </c>
      <c r="G557" s="17" t="s">
        <v>1949</v>
      </c>
      <c r="H557" s="17" t="s">
        <v>4393</v>
      </c>
      <c r="I557" t="s">
        <v>1951</v>
      </c>
    </row>
    <row r="558" spans="1:9" x14ac:dyDescent="0.25">
      <c r="A558" s="17" t="s">
        <v>1092</v>
      </c>
      <c r="B558" s="17" t="s">
        <v>4394</v>
      </c>
      <c r="C558" s="17" t="s">
        <v>4395</v>
      </c>
      <c r="D558" s="17" t="s">
        <v>6197</v>
      </c>
      <c r="E558" s="17" t="s">
        <v>4396</v>
      </c>
      <c r="F558" s="17" t="s">
        <v>3524</v>
      </c>
      <c r="G558" s="17" t="s">
        <v>1941</v>
      </c>
      <c r="H558" s="17">
        <v>71161</v>
      </c>
      <c r="I558" t="s">
        <v>1942</v>
      </c>
    </row>
    <row r="559" spans="1:9" x14ac:dyDescent="0.25">
      <c r="A559" s="17" t="s">
        <v>4397</v>
      </c>
      <c r="B559" s="17" t="s">
        <v>4398</v>
      </c>
      <c r="C559" s="22" t="s">
        <v>6197</v>
      </c>
      <c r="D559" s="17" t="s">
        <v>4399</v>
      </c>
      <c r="E559" s="17" t="s">
        <v>4400</v>
      </c>
      <c r="F559" s="17" t="s">
        <v>4401</v>
      </c>
      <c r="G559" s="17" t="s">
        <v>1941</v>
      </c>
      <c r="H559" s="17">
        <v>32835</v>
      </c>
      <c r="I559" t="s">
        <v>1951</v>
      </c>
    </row>
    <row r="560" spans="1:9" x14ac:dyDescent="0.25">
      <c r="A560" s="17" t="s">
        <v>1095</v>
      </c>
      <c r="B560" s="17" t="s">
        <v>4402</v>
      </c>
      <c r="C560" s="22" t="s">
        <v>6197</v>
      </c>
      <c r="D560" s="17" t="s">
        <v>4403</v>
      </c>
      <c r="E560" s="17" t="s">
        <v>4404</v>
      </c>
      <c r="F560" s="17" t="s">
        <v>3320</v>
      </c>
      <c r="G560" s="17" t="s">
        <v>1941</v>
      </c>
      <c r="H560" s="17">
        <v>40515</v>
      </c>
      <c r="I560" t="s">
        <v>1942</v>
      </c>
    </row>
    <row r="561" spans="1:9" x14ac:dyDescent="0.25">
      <c r="A561" s="17" t="s">
        <v>1097</v>
      </c>
      <c r="B561" s="17" t="s">
        <v>4405</v>
      </c>
      <c r="C561" s="17" t="s">
        <v>4406</v>
      </c>
      <c r="D561" s="17" t="s">
        <v>4407</v>
      </c>
      <c r="E561" s="17" t="s">
        <v>4408</v>
      </c>
      <c r="F561" s="17" t="s">
        <v>3121</v>
      </c>
      <c r="G561" s="17" t="s">
        <v>1941</v>
      </c>
      <c r="H561" s="17">
        <v>53263</v>
      </c>
      <c r="I561" t="s">
        <v>1942</v>
      </c>
    </row>
    <row r="562" spans="1:9" x14ac:dyDescent="0.25">
      <c r="A562" s="17" t="s">
        <v>1099</v>
      </c>
      <c r="B562" s="17" t="s">
        <v>4409</v>
      </c>
      <c r="C562" s="22" t="s">
        <v>6197</v>
      </c>
      <c r="D562" s="17" t="s">
        <v>4410</v>
      </c>
      <c r="E562" s="17" t="s">
        <v>4411</v>
      </c>
      <c r="F562" s="17" t="s">
        <v>4412</v>
      </c>
      <c r="G562" s="17" t="s">
        <v>1941</v>
      </c>
      <c r="H562" s="17">
        <v>79176</v>
      </c>
      <c r="I562" t="s">
        <v>1942</v>
      </c>
    </row>
    <row r="563" spans="1:9" x14ac:dyDescent="0.25">
      <c r="A563" s="17" t="s">
        <v>1101</v>
      </c>
      <c r="B563" s="17" t="s">
        <v>4413</v>
      </c>
      <c r="C563" s="22" t="s">
        <v>6197</v>
      </c>
      <c r="D563" s="17" t="s">
        <v>4414</v>
      </c>
      <c r="E563" s="17" t="s">
        <v>4415</v>
      </c>
      <c r="F563" s="17" t="s">
        <v>4416</v>
      </c>
      <c r="G563" s="17" t="s">
        <v>1949</v>
      </c>
      <c r="H563" s="17" t="s">
        <v>4417</v>
      </c>
      <c r="I563" t="s">
        <v>1942</v>
      </c>
    </row>
    <row r="564" spans="1:9" x14ac:dyDescent="0.25">
      <c r="A564" s="17" t="s">
        <v>1103</v>
      </c>
      <c r="B564" s="17" t="s">
        <v>4418</v>
      </c>
      <c r="C564" s="17" t="s">
        <v>4419</v>
      </c>
      <c r="D564" s="17" t="s">
        <v>4420</v>
      </c>
      <c r="E564" s="17" t="s">
        <v>4421</v>
      </c>
      <c r="F564" s="17" t="s">
        <v>4422</v>
      </c>
      <c r="G564" s="17" t="s">
        <v>2116</v>
      </c>
      <c r="H564" s="17" t="s">
        <v>4423</v>
      </c>
      <c r="I564" t="s">
        <v>1951</v>
      </c>
    </row>
    <row r="565" spans="1:9" x14ac:dyDescent="0.25">
      <c r="A565" s="17" t="s">
        <v>4424</v>
      </c>
      <c r="B565" s="17" t="s">
        <v>4425</v>
      </c>
      <c r="C565" s="17" t="s">
        <v>4426</v>
      </c>
      <c r="D565" s="17" t="s">
        <v>4427</v>
      </c>
      <c r="E565" s="17" t="s">
        <v>4428</v>
      </c>
      <c r="F565" s="17" t="s">
        <v>3049</v>
      </c>
      <c r="G565" s="17" t="s">
        <v>1941</v>
      </c>
      <c r="H565" s="17">
        <v>30323</v>
      </c>
      <c r="I565" t="s">
        <v>1951</v>
      </c>
    </row>
    <row r="566" spans="1:9" x14ac:dyDescent="0.25">
      <c r="A566" s="17" t="s">
        <v>1107</v>
      </c>
      <c r="B566" s="17" t="s">
        <v>4429</v>
      </c>
      <c r="C566" s="17" t="s">
        <v>4430</v>
      </c>
      <c r="D566" s="17" t="s">
        <v>4431</v>
      </c>
      <c r="E566" s="17" t="s">
        <v>4432</v>
      </c>
      <c r="F566" s="17" t="s">
        <v>3412</v>
      </c>
      <c r="G566" s="17" t="s">
        <v>1941</v>
      </c>
      <c r="H566" s="17">
        <v>37924</v>
      </c>
      <c r="I566" t="s">
        <v>1951</v>
      </c>
    </row>
    <row r="567" spans="1:9" x14ac:dyDescent="0.25">
      <c r="A567" s="17" t="s">
        <v>1109</v>
      </c>
      <c r="B567" s="17" t="s">
        <v>4433</v>
      </c>
      <c r="C567" s="17" t="s">
        <v>4434</v>
      </c>
      <c r="D567" s="17" t="s">
        <v>4435</v>
      </c>
      <c r="E567" s="17" t="s">
        <v>4436</v>
      </c>
      <c r="F567" s="17" t="s">
        <v>2988</v>
      </c>
      <c r="G567" s="17" t="s">
        <v>1941</v>
      </c>
      <c r="H567" s="17">
        <v>66225</v>
      </c>
      <c r="I567" t="s">
        <v>1951</v>
      </c>
    </row>
    <row r="568" spans="1:9" x14ac:dyDescent="0.25">
      <c r="A568" s="17" t="s">
        <v>1111</v>
      </c>
      <c r="B568" s="17" t="s">
        <v>4437</v>
      </c>
      <c r="C568" s="17" t="s">
        <v>4438</v>
      </c>
      <c r="D568" s="17" t="s">
        <v>4439</v>
      </c>
      <c r="E568" s="17" t="s">
        <v>4440</v>
      </c>
      <c r="F568" s="17" t="s">
        <v>2191</v>
      </c>
      <c r="G568" s="17" t="s">
        <v>1941</v>
      </c>
      <c r="H568" s="17">
        <v>33330</v>
      </c>
      <c r="I568" t="s">
        <v>1942</v>
      </c>
    </row>
    <row r="569" spans="1:9" x14ac:dyDescent="0.25">
      <c r="A569" s="17" t="s">
        <v>1113</v>
      </c>
      <c r="B569" s="17" t="s">
        <v>4441</v>
      </c>
      <c r="C569" s="22" t="s">
        <v>6197</v>
      </c>
      <c r="D569" s="17" t="s">
        <v>4442</v>
      </c>
      <c r="E569" s="17" t="s">
        <v>4443</v>
      </c>
      <c r="F569" s="17" t="s">
        <v>2076</v>
      </c>
      <c r="G569" s="17" t="s">
        <v>1949</v>
      </c>
      <c r="H569" s="17" t="s">
        <v>2077</v>
      </c>
      <c r="I569" t="s">
        <v>1951</v>
      </c>
    </row>
    <row r="570" spans="1:9" x14ac:dyDescent="0.25">
      <c r="A570" s="17" t="s">
        <v>1115</v>
      </c>
      <c r="B570" s="17" t="s">
        <v>4444</v>
      </c>
      <c r="C570" s="17" t="s">
        <v>4445</v>
      </c>
      <c r="D570" s="17" t="s">
        <v>4446</v>
      </c>
      <c r="E570" s="17" t="s">
        <v>4447</v>
      </c>
      <c r="F570" s="17" t="s">
        <v>2387</v>
      </c>
      <c r="G570" s="17" t="s">
        <v>1941</v>
      </c>
      <c r="H570" s="17">
        <v>78715</v>
      </c>
      <c r="I570" t="s">
        <v>1942</v>
      </c>
    </row>
    <row r="571" spans="1:9" x14ac:dyDescent="0.25">
      <c r="A571" s="17" t="s">
        <v>4448</v>
      </c>
      <c r="B571" s="17" t="s">
        <v>4449</v>
      </c>
      <c r="C571" s="17" t="s">
        <v>4450</v>
      </c>
      <c r="D571" s="17" t="s">
        <v>4451</v>
      </c>
      <c r="E571" s="17" t="s">
        <v>4452</v>
      </c>
      <c r="F571" s="17" t="s">
        <v>4193</v>
      </c>
      <c r="G571" s="17" t="s">
        <v>1941</v>
      </c>
      <c r="H571" s="17">
        <v>44105</v>
      </c>
      <c r="I571" t="s">
        <v>1951</v>
      </c>
    </row>
    <row r="572" spans="1:9" x14ac:dyDescent="0.25">
      <c r="A572" s="17" t="s">
        <v>1118</v>
      </c>
      <c r="B572" s="17" t="s">
        <v>4453</v>
      </c>
      <c r="C572" s="17" t="s">
        <v>4454</v>
      </c>
      <c r="D572" s="17" t="s">
        <v>4455</v>
      </c>
      <c r="E572" s="17" t="s">
        <v>4456</v>
      </c>
      <c r="F572" s="17" t="s">
        <v>4457</v>
      </c>
      <c r="G572" s="17" t="s">
        <v>1941</v>
      </c>
      <c r="H572" s="17">
        <v>20784</v>
      </c>
      <c r="I572" t="s">
        <v>1951</v>
      </c>
    </row>
    <row r="573" spans="1:9" x14ac:dyDescent="0.25">
      <c r="A573" s="17" t="s">
        <v>1120</v>
      </c>
      <c r="B573" s="17" t="s">
        <v>4458</v>
      </c>
      <c r="C573" s="17" t="s">
        <v>4459</v>
      </c>
      <c r="D573" s="17" t="s">
        <v>4460</v>
      </c>
      <c r="E573" s="17" t="s">
        <v>4461</v>
      </c>
      <c r="F573" s="17" t="s">
        <v>4462</v>
      </c>
      <c r="G573" s="17" t="s">
        <v>2116</v>
      </c>
      <c r="H573" s="17" t="s">
        <v>4463</v>
      </c>
      <c r="I573" t="s">
        <v>1951</v>
      </c>
    </row>
    <row r="574" spans="1:9" x14ac:dyDescent="0.25">
      <c r="A574" s="17" t="s">
        <v>1122</v>
      </c>
      <c r="B574" s="17" t="s">
        <v>4464</v>
      </c>
      <c r="C574" s="22" t="s">
        <v>6197</v>
      </c>
      <c r="D574" s="17" t="s">
        <v>6197</v>
      </c>
      <c r="E574" s="17" t="s">
        <v>4465</v>
      </c>
      <c r="F574" s="17" t="s">
        <v>2947</v>
      </c>
      <c r="G574" s="17" t="s">
        <v>1941</v>
      </c>
      <c r="H574" s="17">
        <v>91103</v>
      </c>
      <c r="I574" t="s">
        <v>1942</v>
      </c>
    </row>
    <row r="575" spans="1:9" x14ac:dyDescent="0.25">
      <c r="A575" s="17" t="s">
        <v>1124</v>
      </c>
      <c r="B575" s="17" t="s">
        <v>4466</v>
      </c>
      <c r="C575" s="17" t="s">
        <v>4467</v>
      </c>
      <c r="D575" s="17" t="s">
        <v>4468</v>
      </c>
      <c r="E575" s="17" t="s">
        <v>4469</v>
      </c>
      <c r="F575" s="17" t="s">
        <v>3524</v>
      </c>
      <c r="G575" s="17" t="s">
        <v>1941</v>
      </c>
      <c r="H575" s="17">
        <v>71161</v>
      </c>
      <c r="I575" t="s">
        <v>1951</v>
      </c>
    </row>
    <row r="576" spans="1:9" x14ac:dyDescent="0.25">
      <c r="A576" s="17" t="s">
        <v>1126</v>
      </c>
      <c r="B576" s="17" t="s">
        <v>4470</v>
      </c>
      <c r="C576" s="17" t="s">
        <v>4471</v>
      </c>
      <c r="D576" s="17" t="s">
        <v>6197</v>
      </c>
      <c r="E576" s="17" t="s">
        <v>4472</v>
      </c>
      <c r="F576" s="17" t="s">
        <v>2225</v>
      </c>
      <c r="G576" s="17" t="s">
        <v>1941</v>
      </c>
      <c r="H576" s="17">
        <v>32590</v>
      </c>
      <c r="I576" t="s">
        <v>1942</v>
      </c>
    </row>
    <row r="577" spans="1:9" x14ac:dyDescent="0.25">
      <c r="A577" s="17" t="s">
        <v>1128</v>
      </c>
      <c r="B577" s="17" t="s">
        <v>4473</v>
      </c>
      <c r="C577" s="17" t="s">
        <v>4474</v>
      </c>
      <c r="D577" s="17" t="s">
        <v>4475</v>
      </c>
      <c r="E577" s="17" t="s">
        <v>4476</v>
      </c>
      <c r="F577" s="17" t="s">
        <v>1986</v>
      </c>
      <c r="G577" s="17" t="s">
        <v>1941</v>
      </c>
      <c r="H577" s="17">
        <v>90035</v>
      </c>
      <c r="I577" t="s">
        <v>1951</v>
      </c>
    </row>
    <row r="578" spans="1:9" x14ac:dyDescent="0.25">
      <c r="A578" s="17" t="s">
        <v>1130</v>
      </c>
      <c r="B578" s="17" t="s">
        <v>4477</v>
      </c>
      <c r="C578" s="17" t="s">
        <v>4478</v>
      </c>
      <c r="D578" s="17" t="s">
        <v>4479</v>
      </c>
      <c r="E578" s="17" t="s">
        <v>4480</v>
      </c>
      <c r="F578" s="17" t="s">
        <v>4481</v>
      </c>
      <c r="G578" s="17" t="s">
        <v>1941</v>
      </c>
      <c r="H578" s="17">
        <v>27705</v>
      </c>
      <c r="I578" t="s">
        <v>1951</v>
      </c>
    </row>
    <row r="579" spans="1:9" x14ac:dyDescent="0.25">
      <c r="A579" s="17" t="s">
        <v>1105</v>
      </c>
      <c r="B579" s="17" t="s">
        <v>4482</v>
      </c>
      <c r="C579" s="17" t="s">
        <v>4483</v>
      </c>
      <c r="D579" s="17" t="s">
        <v>6197</v>
      </c>
      <c r="E579" s="17" t="s">
        <v>4484</v>
      </c>
      <c r="F579" s="17" t="s">
        <v>4485</v>
      </c>
      <c r="G579" s="17" t="s">
        <v>2116</v>
      </c>
      <c r="H579" s="17" t="s">
        <v>4486</v>
      </c>
      <c r="I579" t="s">
        <v>1951</v>
      </c>
    </row>
    <row r="580" spans="1:9" x14ac:dyDescent="0.25">
      <c r="A580" s="17" t="s">
        <v>1133</v>
      </c>
      <c r="B580" s="17" t="s">
        <v>4487</v>
      </c>
      <c r="C580" s="17" t="s">
        <v>4488</v>
      </c>
      <c r="D580" s="17" t="s">
        <v>4489</v>
      </c>
      <c r="E580" s="17" t="s">
        <v>4490</v>
      </c>
      <c r="F580" s="17" t="s">
        <v>4491</v>
      </c>
      <c r="G580" s="17" t="s">
        <v>1949</v>
      </c>
      <c r="H580" s="17" t="s">
        <v>4492</v>
      </c>
      <c r="I580" t="s">
        <v>1951</v>
      </c>
    </row>
    <row r="581" spans="1:9" x14ac:dyDescent="0.25">
      <c r="A581" s="17" t="s">
        <v>4493</v>
      </c>
      <c r="B581" s="17" t="s">
        <v>4494</v>
      </c>
      <c r="C581" s="17" t="s">
        <v>4495</v>
      </c>
      <c r="D581" s="17" t="s">
        <v>4496</v>
      </c>
      <c r="E581" s="17" t="s">
        <v>4497</v>
      </c>
      <c r="F581" s="17" t="s">
        <v>4416</v>
      </c>
      <c r="G581" s="17" t="s">
        <v>1949</v>
      </c>
      <c r="H581" s="17" t="s">
        <v>4417</v>
      </c>
      <c r="I581" t="s">
        <v>1951</v>
      </c>
    </row>
    <row r="582" spans="1:9" x14ac:dyDescent="0.25">
      <c r="A582" s="17" t="s">
        <v>1135</v>
      </c>
      <c r="B582" s="17" t="s">
        <v>4498</v>
      </c>
      <c r="C582" s="17" t="s">
        <v>4499</v>
      </c>
      <c r="D582" s="17" t="s">
        <v>4500</v>
      </c>
      <c r="E582" s="17" t="s">
        <v>4501</v>
      </c>
      <c r="F582" s="17" t="s">
        <v>2758</v>
      </c>
      <c r="G582" s="17" t="s">
        <v>1941</v>
      </c>
      <c r="H582" s="17">
        <v>90605</v>
      </c>
      <c r="I582" t="s">
        <v>1942</v>
      </c>
    </row>
    <row r="583" spans="1:9" x14ac:dyDescent="0.25">
      <c r="A583" s="17" t="s">
        <v>1137</v>
      </c>
      <c r="B583" s="17" t="s">
        <v>4502</v>
      </c>
      <c r="C583" s="17" t="s">
        <v>4503</v>
      </c>
      <c r="D583" s="17" t="s">
        <v>6197</v>
      </c>
      <c r="E583" s="17" t="s">
        <v>4504</v>
      </c>
      <c r="F583" s="17" t="s">
        <v>2172</v>
      </c>
      <c r="G583" s="17" t="s">
        <v>2116</v>
      </c>
      <c r="H583" s="17" t="s">
        <v>2486</v>
      </c>
      <c r="I583" t="s">
        <v>1942</v>
      </c>
    </row>
    <row r="584" spans="1:9" x14ac:dyDescent="0.25">
      <c r="A584" s="17" t="s">
        <v>1139</v>
      </c>
      <c r="B584" s="17" t="s">
        <v>4505</v>
      </c>
      <c r="C584" s="17" t="s">
        <v>4506</v>
      </c>
      <c r="D584" s="17" t="s">
        <v>4507</v>
      </c>
      <c r="E584" s="17" t="s">
        <v>4508</v>
      </c>
      <c r="F584" s="17" t="s">
        <v>2004</v>
      </c>
      <c r="G584" s="17" t="s">
        <v>1941</v>
      </c>
      <c r="H584" s="17">
        <v>23237</v>
      </c>
      <c r="I584" t="s">
        <v>1951</v>
      </c>
    </row>
    <row r="585" spans="1:9" x14ac:dyDescent="0.25">
      <c r="A585" s="17" t="s">
        <v>1141</v>
      </c>
      <c r="B585" s="17" t="s">
        <v>4509</v>
      </c>
      <c r="C585" s="17" t="s">
        <v>4510</v>
      </c>
      <c r="D585" s="17" t="s">
        <v>4511</v>
      </c>
      <c r="E585" s="17" t="s">
        <v>4512</v>
      </c>
      <c r="F585" s="17" t="s">
        <v>4074</v>
      </c>
      <c r="G585" s="17" t="s">
        <v>1941</v>
      </c>
      <c r="H585" s="17">
        <v>20167</v>
      </c>
      <c r="I585" t="s">
        <v>1942</v>
      </c>
    </row>
    <row r="586" spans="1:9" x14ac:dyDescent="0.25">
      <c r="A586" s="17" t="s">
        <v>1143</v>
      </c>
      <c r="B586" s="17" t="s">
        <v>4513</v>
      </c>
      <c r="C586" s="17" t="s">
        <v>4514</v>
      </c>
      <c r="D586" s="17" t="s">
        <v>4515</v>
      </c>
      <c r="E586" s="17" t="s">
        <v>4516</v>
      </c>
      <c r="F586" s="17" t="s">
        <v>2625</v>
      </c>
      <c r="G586" s="17" t="s">
        <v>1941</v>
      </c>
      <c r="H586" s="17">
        <v>89706</v>
      </c>
      <c r="I586" t="s">
        <v>1951</v>
      </c>
    </row>
    <row r="587" spans="1:9" x14ac:dyDescent="0.25">
      <c r="A587" s="17" t="s">
        <v>4517</v>
      </c>
      <c r="B587" s="17" t="s">
        <v>4518</v>
      </c>
      <c r="C587" s="17" t="s">
        <v>4519</v>
      </c>
      <c r="D587" s="17" t="s">
        <v>4520</v>
      </c>
      <c r="E587" s="17" t="s">
        <v>4521</v>
      </c>
      <c r="F587" s="17" t="s">
        <v>2673</v>
      </c>
      <c r="G587" s="17" t="s">
        <v>1949</v>
      </c>
      <c r="H587" s="17" t="s">
        <v>2674</v>
      </c>
      <c r="I587" t="s">
        <v>1942</v>
      </c>
    </row>
    <row r="588" spans="1:9" x14ac:dyDescent="0.25">
      <c r="A588" s="17" t="s">
        <v>1147</v>
      </c>
      <c r="B588" s="17" t="s">
        <v>4522</v>
      </c>
      <c r="C588" s="22" t="s">
        <v>6197</v>
      </c>
      <c r="D588" s="17" t="s">
        <v>4523</v>
      </c>
      <c r="E588" s="17" t="s">
        <v>4524</v>
      </c>
      <c r="F588" s="17" t="s">
        <v>2233</v>
      </c>
      <c r="G588" s="17" t="s">
        <v>1941</v>
      </c>
      <c r="H588" s="17">
        <v>55123</v>
      </c>
      <c r="I588" t="s">
        <v>1951</v>
      </c>
    </row>
    <row r="589" spans="1:9" x14ac:dyDescent="0.25">
      <c r="A589" s="17" t="s">
        <v>1149</v>
      </c>
      <c r="B589" s="17" t="s">
        <v>4525</v>
      </c>
      <c r="C589" s="17" t="s">
        <v>4526</v>
      </c>
      <c r="D589" s="17" t="s">
        <v>6197</v>
      </c>
      <c r="E589" s="17" t="s">
        <v>4527</v>
      </c>
      <c r="F589" s="17" t="s">
        <v>2567</v>
      </c>
      <c r="G589" s="17" t="s">
        <v>1941</v>
      </c>
      <c r="H589" s="17">
        <v>35895</v>
      </c>
      <c r="I589" t="s">
        <v>1942</v>
      </c>
    </row>
    <row r="590" spans="1:9" x14ac:dyDescent="0.25">
      <c r="A590" s="17" t="s">
        <v>1151</v>
      </c>
      <c r="B590" s="17" t="s">
        <v>4528</v>
      </c>
      <c r="C590" s="17" t="s">
        <v>4529</v>
      </c>
      <c r="D590" s="17" t="s">
        <v>4530</v>
      </c>
      <c r="E590" s="17" t="s">
        <v>4531</v>
      </c>
      <c r="F590" s="17" t="s">
        <v>2448</v>
      </c>
      <c r="G590" s="17" t="s">
        <v>1941</v>
      </c>
      <c r="H590" s="17">
        <v>88553</v>
      </c>
      <c r="I590" t="s">
        <v>1942</v>
      </c>
    </row>
    <row r="591" spans="1:9" x14ac:dyDescent="0.25">
      <c r="A591" s="17" t="s">
        <v>1153</v>
      </c>
      <c r="B591" s="17" t="s">
        <v>4532</v>
      </c>
      <c r="C591" s="17" t="s">
        <v>4533</v>
      </c>
      <c r="D591" s="17" t="s">
        <v>6197</v>
      </c>
      <c r="E591" s="17" t="s">
        <v>4534</v>
      </c>
      <c r="F591" s="17" t="s">
        <v>4535</v>
      </c>
      <c r="G591" s="17" t="s">
        <v>1941</v>
      </c>
      <c r="H591" s="17">
        <v>30033</v>
      </c>
      <c r="I591" t="s">
        <v>1951</v>
      </c>
    </row>
    <row r="592" spans="1:9" x14ac:dyDescent="0.25">
      <c r="A592" s="17" t="s">
        <v>1155</v>
      </c>
      <c r="B592" s="17" t="s">
        <v>4536</v>
      </c>
      <c r="C592" s="17" t="s">
        <v>4537</v>
      </c>
      <c r="D592" s="17" t="s">
        <v>4538</v>
      </c>
      <c r="E592" s="17" t="s">
        <v>4539</v>
      </c>
      <c r="F592" s="17" t="s">
        <v>2616</v>
      </c>
      <c r="G592" s="17" t="s">
        <v>1941</v>
      </c>
      <c r="H592" s="17">
        <v>92668</v>
      </c>
      <c r="I592" t="s">
        <v>1942</v>
      </c>
    </row>
    <row r="593" spans="1:9" x14ac:dyDescent="0.25">
      <c r="A593" s="17" t="s">
        <v>1157</v>
      </c>
      <c r="B593" s="17" t="s">
        <v>4540</v>
      </c>
      <c r="C593" s="17" t="s">
        <v>4541</v>
      </c>
      <c r="D593" s="17" t="s">
        <v>6197</v>
      </c>
      <c r="E593" s="17" t="s">
        <v>4542</v>
      </c>
      <c r="F593" s="17" t="s">
        <v>4543</v>
      </c>
      <c r="G593" s="17" t="s">
        <v>1941</v>
      </c>
      <c r="H593" s="17">
        <v>92648</v>
      </c>
      <c r="I593" t="s">
        <v>1942</v>
      </c>
    </row>
    <row r="594" spans="1:9" x14ac:dyDescent="0.25">
      <c r="A594" s="17" t="s">
        <v>1159</v>
      </c>
      <c r="B594" s="17" t="s">
        <v>4544</v>
      </c>
      <c r="C594" s="22" t="s">
        <v>6197</v>
      </c>
      <c r="D594" s="17" t="s">
        <v>4545</v>
      </c>
      <c r="E594" s="17" t="s">
        <v>4546</v>
      </c>
      <c r="F594" s="17" t="s">
        <v>3121</v>
      </c>
      <c r="G594" s="17" t="s">
        <v>1941</v>
      </c>
      <c r="H594" s="17">
        <v>53285</v>
      </c>
      <c r="I594" t="s">
        <v>1951</v>
      </c>
    </row>
    <row r="595" spans="1:9" x14ac:dyDescent="0.25">
      <c r="A595" s="17" t="s">
        <v>1145</v>
      </c>
      <c r="B595" s="17" t="s">
        <v>4547</v>
      </c>
      <c r="C595" s="17" t="s">
        <v>4548</v>
      </c>
      <c r="D595" s="17" t="s">
        <v>6197</v>
      </c>
      <c r="E595" s="17" t="s">
        <v>4549</v>
      </c>
      <c r="F595" s="17" t="s">
        <v>2115</v>
      </c>
      <c r="G595" s="17" t="s">
        <v>2116</v>
      </c>
      <c r="H595" s="17" t="s">
        <v>2117</v>
      </c>
      <c r="I595" t="s">
        <v>1942</v>
      </c>
    </row>
    <row r="596" spans="1:9" x14ac:dyDescent="0.25">
      <c r="A596" s="17" t="s">
        <v>1162</v>
      </c>
      <c r="B596" s="17" t="s">
        <v>4550</v>
      </c>
      <c r="C596" s="17" t="s">
        <v>4551</v>
      </c>
      <c r="D596" s="17" t="s">
        <v>4552</v>
      </c>
      <c r="E596" s="17" t="s">
        <v>4553</v>
      </c>
      <c r="F596" s="17" t="s">
        <v>2678</v>
      </c>
      <c r="G596" s="17" t="s">
        <v>1941</v>
      </c>
      <c r="H596" s="17">
        <v>37416</v>
      </c>
      <c r="I596" t="s">
        <v>1951</v>
      </c>
    </row>
    <row r="597" spans="1:9" x14ac:dyDescent="0.25">
      <c r="A597" s="17" t="s">
        <v>1164</v>
      </c>
      <c r="B597" s="17" t="s">
        <v>4554</v>
      </c>
      <c r="C597" s="22" t="s">
        <v>6197</v>
      </c>
      <c r="D597" s="17" t="s">
        <v>6197</v>
      </c>
      <c r="E597" s="17" t="s">
        <v>4555</v>
      </c>
      <c r="F597" s="17" t="s">
        <v>4556</v>
      </c>
      <c r="G597" s="17" t="s">
        <v>2116</v>
      </c>
      <c r="H597" s="17" t="s">
        <v>4557</v>
      </c>
      <c r="I597" t="s">
        <v>1951</v>
      </c>
    </row>
    <row r="598" spans="1:9" x14ac:dyDescent="0.25">
      <c r="A598" s="17" t="s">
        <v>1166</v>
      </c>
      <c r="B598" s="17" t="s">
        <v>4558</v>
      </c>
      <c r="C598" s="17" t="s">
        <v>4559</v>
      </c>
      <c r="D598" s="17" t="s">
        <v>4560</v>
      </c>
      <c r="E598" s="17" t="s">
        <v>4561</v>
      </c>
      <c r="F598" s="17" t="s">
        <v>2287</v>
      </c>
      <c r="G598" s="17" t="s">
        <v>1941</v>
      </c>
      <c r="H598" s="17">
        <v>43268</v>
      </c>
      <c r="I598" t="s">
        <v>1951</v>
      </c>
    </row>
    <row r="599" spans="1:9" x14ac:dyDescent="0.25">
      <c r="A599" s="17" t="s">
        <v>1168</v>
      </c>
      <c r="B599" s="17" t="s">
        <v>4562</v>
      </c>
      <c r="C599" s="17" t="s">
        <v>4563</v>
      </c>
      <c r="D599" s="17" t="s">
        <v>4564</v>
      </c>
      <c r="E599" s="17" t="s">
        <v>4565</v>
      </c>
      <c r="F599" s="17" t="s">
        <v>2947</v>
      </c>
      <c r="G599" s="17" t="s">
        <v>1941</v>
      </c>
      <c r="H599" s="17">
        <v>91186</v>
      </c>
      <c r="I599" t="s">
        <v>1942</v>
      </c>
    </row>
    <row r="600" spans="1:9" x14ac:dyDescent="0.25">
      <c r="A600" s="17" t="s">
        <v>1170</v>
      </c>
      <c r="B600" s="17" t="s">
        <v>4566</v>
      </c>
      <c r="C600" s="17" t="s">
        <v>4567</v>
      </c>
      <c r="D600" s="17" t="s">
        <v>4568</v>
      </c>
      <c r="E600" s="17" t="s">
        <v>4569</v>
      </c>
      <c r="F600" s="17" t="s">
        <v>3090</v>
      </c>
      <c r="G600" s="17" t="s">
        <v>1941</v>
      </c>
      <c r="H600" s="17">
        <v>94159</v>
      </c>
      <c r="I600" t="s">
        <v>1942</v>
      </c>
    </row>
    <row r="601" spans="1:9" x14ac:dyDescent="0.25">
      <c r="A601" s="17" t="s">
        <v>1172</v>
      </c>
      <c r="B601" s="17" t="s">
        <v>4570</v>
      </c>
      <c r="C601" s="17" t="s">
        <v>4571</v>
      </c>
      <c r="D601" s="17" t="s">
        <v>6197</v>
      </c>
      <c r="E601" s="17" t="s">
        <v>4572</v>
      </c>
      <c r="F601" s="17" t="s">
        <v>3524</v>
      </c>
      <c r="G601" s="17" t="s">
        <v>1941</v>
      </c>
      <c r="H601" s="17">
        <v>71137</v>
      </c>
      <c r="I601" t="s">
        <v>1942</v>
      </c>
    </row>
    <row r="602" spans="1:9" x14ac:dyDescent="0.25">
      <c r="A602" s="17" t="s">
        <v>1174</v>
      </c>
      <c r="B602" s="17" t="s">
        <v>4573</v>
      </c>
      <c r="C602" s="17" t="s">
        <v>4574</v>
      </c>
      <c r="D602" s="17" t="s">
        <v>4575</v>
      </c>
      <c r="E602" s="17" t="s">
        <v>4576</v>
      </c>
      <c r="F602" s="17" t="s">
        <v>2017</v>
      </c>
      <c r="G602" s="17" t="s">
        <v>1941</v>
      </c>
      <c r="H602" s="17">
        <v>19141</v>
      </c>
      <c r="I602" t="s">
        <v>1951</v>
      </c>
    </row>
    <row r="603" spans="1:9" x14ac:dyDescent="0.25">
      <c r="A603" s="17" t="s">
        <v>1176</v>
      </c>
      <c r="B603" s="17" t="s">
        <v>4577</v>
      </c>
      <c r="C603" s="17" t="s">
        <v>4578</v>
      </c>
      <c r="D603" s="17" t="s">
        <v>4579</v>
      </c>
      <c r="E603" s="17" t="s">
        <v>4580</v>
      </c>
      <c r="F603" s="17" t="s">
        <v>2008</v>
      </c>
      <c r="G603" s="17" t="s">
        <v>1941</v>
      </c>
      <c r="H603" s="17">
        <v>41905</v>
      </c>
      <c r="I603" t="s">
        <v>1942</v>
      </c>
    </row>
    <row r="604" spans="1:9" x14ac:dyDescent="0.25">
      <c r="A604" s="17" t="s">
        <v>1178</v>
      </c>
      <c r="B604" s="17" t="s">
        <v>4581</v>
      </c>
      <c r="C604" s="17" t="s">
        <v>4582</v>
      </c>
      <c r="D604" s="17" t="s">
        <v>4583</v>
      </c>
      <c r="E604" s="17" t="s">
        <v>4584</v>
      </c>
      <c r="F604" s="17" t="s">
        <v>2211</v>
      </c>
      <c r="G604" s="17" t="s">
        <v>1941</v>
      </c>
      <c r="H604" s="17">
        <v>43666</v>
      </c>
      <c r="I604" t="s">
        <v>1942</v>
      </c>
    </row>
    <row r="605" spans="1:9" x14ac:dyDescent="0.25">
      <c r="A605" s="17" t="s">
        <v>1180</v>
      </c>
      <c r="B605" s="17" t="s">
        <v>4585</v>
      </c>
      <c r="C605" s="17" t="s">
        <v>4586</v>
      </c>
      <c r="D605" s="17" t="s">
        <v>6197</v>
      </c>
      <c r="E605" s="17" t="s">
        <v>4587</v>
      </c>
      <c r="F605" s="17" t="s">
        <v>2340</v>
      </c>
      <c r="G605" s="17" t="s">
        <v>1941</v>
      </c>
      <c r="H605" s="17">
        <v>80945</v>
      </c>
      <c r="I605" t="s">
        <v>1951</v>
      </c>
    </row>
    <row r="606" spans="1:9" x14ac:dyDescent="0.25">
      <c r="A606" s="17" t="s">
        <v>1182</v>
      </c>
      <c r="B606" s="17" t="s">
        <v>4588</v>
      </c>
      <c r="C606" s="22" t="s">
        <v>6197</v>
      </c>
      <c r="D606" s="17" t="s">
        <v>4589</v>
      </c>
      <c r="E606" s="17" t="s">
        <v>4590</v>
      </c>
      <c r="F606" s="17" t="s">
        <v>3839</v>
      </c>
      <c r="G606" s="17" t="s">
        <v>1949</v>
      </c>
      <c r="H606" s="17" t="s">
        <v>3840</v>
      </c>
      <c r="I606" t="s">
        <v>1951</v>
      </c>
    </row>
    <row r="607" spans="1:9" x14ac:dyDescent="0.25">
      <c r="A607" s="17" t="s">
        <v>1184</v>
      </c>
      <c r="B607" s="17" t="s">
        <v>4591</v>
      </c>
      <c r="C607" s="17" t="s">
        <v>4592</v>
      </c>
      <c r="D607" s="17" t="s">
        <v>4593</v>
      </c>
      <c r="E607" s="17" t="s">
        <v>4594</v>
      </c>
      <c r="F607" s="17" t="s">
        <v>4595</v>
      </c>
      <c r="G607" s="17" t="s">
        <v>1941</v>
      </c>
      <c r="H607" s="17">
        <v>15274</v>
      </c>
      <c r="I607" t="s">
        <v>1942</v>
      </c>
    </row>
    <row r="608" spans="1:9" x14ac:dyDescent="0.25">
      <c r="A608" s="17" t="s">
        <v>4596</v>
      </c>
      <c r="B608" s="17" t="s">
        <v>4597</v>
      </c>
      <c r="C608" s="17" t="s">
        <v>4598</v>
      </c>
      <c r="D608" s="17" t="s">
        <v>4599</v>
      </c>
      <c r="E608" s="17" t="s">
        <v>4600</v>
      </c>
      <c r="F608" s="17" t="s">
        <v>3388</v>
      </c>
      <c r="G608" s="17" t="s">
        <v>1941</v>
      </c>
      <c r="H608" s="17">
        <v>33411</v>
      </c>
      <c r="I608" t="s">
        <v>1951</v>
      </c>
    </row>
    <row r="609" spans="1:9" x14ac:dyDescent="0.25">
      <c r="A609" s="17" t="s">
        <v>1187</v>
      </c>
      <c r="B609" s="17" t="s">
        <v>4601</v>
      </c>
      <c r="C609" s="17" t="s">
        <v>4602</v>
      </c>
      <c r="D609" s="17" t="s">
        <v>4603</v>
      </c>
      <c r="E609" s="17" t="s">
        <v>4604</v>
      </c>
      <c r="F609" s="17" t="s">
        <v>3524</v>
      </c>
      <c r="G609" s="17" t="s">
        <v>1941</v>
      </c>
      <c r="H609" s="17">
        <v>71115</v>
      </c>
      <c r="I609" t="s">
        <v>1942</v>
      </c>
    </row>
    <row r="610" spans="1:9" x14ac:dyDescent="0.25">
      <c r="A610" s="17" t="s">
        <v>1189</v>
      </c>
      <c r="B610" s="17" t="s">
        <v>4605</v>
      </c>
      <c r="C610" s="22" t="s">
        <v>6197</v>
      </c>
      <c r="D610" s="17" t="s">
        <v>6197</v>
      </c>
      <c r="E610" s="17" t="s">
        <v>4606</v>
      </c>
      <c r="F610" s="17" t="s">
        <v>4193</v>
      </c>
      <c r="G610" s="17" t="s">
        <v>1941</v>
      </c>
      <c r="H610" s="17">
        <v>44105</v>
      </c>
      <c r="I610" t="s">
        <v>1951</v>
      </c>
    </row>
    <row r="611" spans="1:9" x14ac:dyDescent="0.25">
      <c r="A611" s="17" t="s">
        <v>1191</v>
      </c>
      <c r="B611" s="17" t="s">
        <v>4607</v>
      </c>
      <c r="C611" s="17" t="s">
        <v>4608</v>
      </c>
      <c r="D611" s="17" t="s">
        <v>4609</v>
      </c>
      <c r="E611" s="17" t="s">
        <v>4610</v>
      </c>
      <c r="F611" s="17" t="s">
        <v>3121</v>
      </c>
      <c r="G611" s="17" t="s">
        <v>1941</v>
      </c>
      <c r="H611" s="17">
        <v>53234</v>
      </c>
      <c r="I611" t="s">
        <v>1942</v>
      </c>
    </row>
    <row r="612" spans="1:9" x14ac:dyDescent="0.25">
      <c r="A612" s="17" t="s">
        <v>1193</v>
      </c>
      <c r="B612" s="17" t="s">
        <v>4611</v>
      </c>
      <c r="C612" s="17" t="s">
        <v>4612</v>
      </c>
      <c r="D612" s="17" t="s">
        <v>4613</v>
      </c>
      <c r="E612" s="17" t="s">
        <v>4614</v>
      </c>
      <c r="F612" s="17" t="s">
        <v>2191</v>
      </c>
      <c r="G612" s="17" t="s">
        <v>1941</v>
      </c>
      <c r="H612" s="17">
        <v>33345</v>
      </c>
      <c r="I612" t="s">
        <v>1951</v>
      </c>
    </row>
    <row r="613" spans="1:9" x14ac:dyDescent="0.25">
      <c r="A613" s="17" t="s">
        <v>1195</v>
      </c>
      <c r="B613" s="17" t="s">
        <v>4615</v>
      </c>
      <c r="C613" s="17" t="s">
        <v>4616</v>
      </c>
      <c r="D613" s="17" t="s">
        <v>4617</v>
      </c>
      <c r="E613" s="17" t="s">
        <v>4618</v>
      </c>
      <c r="F613" s="17" t="s">
        <v>3524</v>
      </c>
      <c r="G613" s="17" t="s">
        <v>1941</v>
      </c>
      <c r="H613" s="17">
        <v>71105</v>
      </c>
      <c r="I613" t="s">
        <v>1951</v>
      </c>
    </row>
    <row r="614" spans="1:9" x14ac:dyDescent="0.25">
      <c r="A614" s="17" t="s">
        <v>1197</v>
      </c>
      <c r="B614" s="17" t="s">
        <v>4619</v>
      </c>
      <c r="C614" s="22" t="s">
        <v>6197</v>
      </c>
      <c r="D614" s="17" t="s">
        <v>4620</v>
      </c>
      <c r="E614" s="17" t="s">
        <v>4621</v>
      </c>
      <c r="F614" s="17" t="s">
        <v>2366</v>
      </c>
      <c r="G614" s="17" t="s">
        <v>1949</v>
      </c>
      <c r="H614" s="17" t="s">
        <v>2545</v>
      </c>
      <c r="I614" t="s">
        <v>1951</v>
      </c>
    </row>
    <row r="615" spans="1:9" x14ac:dyDescent="0.25">
      <c r="A615" s="17" t="s">
        <v>1199</v>
      </c>
      <c r="B615" s="17" t="s">
        <v>4622</v>
      </c>
      <c r="C615" s="22" t="s">
        <v>6197</v>
      </c>
      <c r="D615" s="17" t="s">
        <v>4623</v>
      </c>
      <c r="E615" s="17" t="s">
        <v>4624</v>
      </c>
      <c r="F615" s="17" t="s">
        <v>2999</v>
      </c>
      <c r="G615" s="17" t="s">
        <v>1941</v>
      </c>
      <c r="H615" s="17">
        <v>94207</v>
      </c>
      <c r="I615" t="s">
        <v>1951</v>
      </c>
    </row>
    <row r="616" spans="1:9" x14ac:dyDescent="0.25">
      <c r="A616" s="17" t="s">
        <v>4625</v>
      </c>
      <c r="B616" s="17" t="s">
        <v>4626</v>
      </c>
      <c r="C616" s="22" t="s">
        <v>6197</v>
      </c>
      <c r="D616" s="17" t="s">
        <v>4627</v>
      </c>
      <c r="E616" s="17" t="s">
        <v>4628</v>
      </c>
      <c r="F616" s="17" t="s">
        <v>2506</v>
      </c>
      <c r="G616" s="17" t="s">
        <v>1941</v>
      </c>
      <c r="H616" s="17">
        <v>37240</v>
      </c>
      <c r="I616" t="s">
        <v>1951</v>
      </c>
    </row>
    <row r="617" spans="1:9" x14ac:dyDescent="0.25">
      <c r="A617" s="17" t="s">
        <v>1202</v>
      </c>
      <c r="B617" s="17" t="s">
        <v>4629</v>
      </c>
      <c r="C617" s="17" t="s">
        <v>4630</v>
      </c>
      <c r="D617" s="17" t="s">
        <v>4631</v>
      </c>
      <c r="E617" s="17" t="s">
        <v>4632</v>
      </c>
      <c r="F617" s="17" t="s">
        <v>2550</v>
      </c>
      <c r="G617" s="17" t="s">
        <v>1941</v>
      </c>
      <c r="H617" s="17">
        <v>58122</v>
      </c>
      <c r="I617" t="s">
        <v>1942</v>
      </c>
    </row>
    <row r="618" spans="1:9" x14ac:dyDescent="0.25">
      <c r="A618" s="17" t="s">
        <v>1204</v>
      </c>
      <c r="B618" s="17" t="s">
        <v>4633</v>
      </c>
      <c r="C618" s="17" t="s">
        <v>4634</v>
      </c>
      <c r="D618" s="17" t="s">
        <v>4635</v>
      </c>
      <c r="E618" s="17" t="s">
        <v>4636</v>
      </c>
      <c r="F618" s="17" t="s">
        <v>4637</v>
      </c>
      <c r="G618" s="17" t="s">
        <v>2116</v>
      </c>
      <c r="H618" s="17" t="s">
        <v>4638</v>
      </c>
      <c r="I618" t="s">
        <v>1951</v>
      </c>
    </row>
    <row r="619" spans="1:9" x14ac:dyDescent="0.25">
      <c r="A619" s="17" t="s">
        <v>1206</v>
      </c>
      <c r="B619" s="17" t="s">
        <v>4639</v>
      </c>
      <c r="C619" s="17" t="s">
        <v>4640</v>
      </c>
      <c r="D619" s="17" t="s">
        <v>4641</v>
      </c>
      <c r="E619" s="17" t="s">
        <v>4642</v>
      </c>
      <c r="F619" s="17" t="s">
        <v>2816</v>
      </c>
      <c r="G619" s="17" t="s">
        <v>1941</v>
      </c>
      <c r="H619" s="17">
        <v>74184</v>
      </c>
      <c r="I619" t="s">
        <v>1951</v>
      </c>
    </row>
    <row r="620" spans="1:9" x14ac:dyDescent="0.25">
      <c r="A620" s="17" t="s">
        <v>1208</v>
      </c>
      <c r="B620" s="17" t="s">
        <v>4643</v>
      </c>
      <c r="C620" s="17" t="s">
        <v>4644</v>
      </c>
      <c r="D620" s="17" t="s">
        <v>4645</v>
      </c>
      <c r="E620" s="17" t="s">
        <v>4646</v>
      </c>
      <c r="F620" s="17" t="s">
        <v>2037</v>
      </c>
      <c r="G620" s="17" t="s">
        <v>1941</v>
      </c>
      <c r="H620" s="17">
        <v>10045</v>
      </c>
      <c r="I620" t="s">
        <v>1942</v>
      </c>
    </row>
    <row r="621" spans="1:9" x14ac:dyDescent="0.25">
      <c r="A621" s="17" t="s">
        <v>1210</v>
      </c>
      <c r="B621" s="17" t="s">
        <v>4647</v>
      </c>
      <c r="C621" s="17" t="s">
        <v>4648</v>
      </c>
      <c r="D621" s="17" t="s">
        <v>4649</v>
      </c>
      <c r="E621" s="17" t="s">
        <v>4650</v>
      </c>
      <c r="F621" s="17" t="s">
        <v>4651</v>
      </c>
      <c r="G621" s="17" t="s">
        <v>1941</v>
      </c>
      <c r="H621" s="17">
        <v>34642</v>
      </c>
      <c r="I621" t="s">
        <v>1942</v>
      </c>
    </row>
    <row r="622" spans="1:9" x14ac:dyDescent="0.25">
      <c r="A622" s="17" t="s">
        <v>4652</v>
      </c>
      <c r="B622" s="17" t="s">
        <v>4653</v>
      </c>
      <c r="C622" s="17" t="s">
        <v>4654</v>
      </c>
      <c r="D622" s="17" t="s">
        <v>4655</v>
      </c>
      <c r="E622" s="17" t="s">
        <v>4656</v>
      </c>
      <c r="F622" s="17" t="s">
        <v>3918</v>
      </c>
      <c r="G622" s="17" t="s">
        <v>1949</v>
      </c>
      <c r="H622" s="17" t="s">
        <v>3919</v>
      </c>
      <c r="I622" t="s">
        <v>1951</v>
      </c>
    </row>
    <row r="623" spans="1:9" x14ac:dyDescent="0.25">
      <c r="A623" s="17" t="s">
        <v>1214</v>
      </c>
      <c r="B623" s="17" t="s">
        <v>4657</v>
      </c>
      <c r="C623" s="17" t="s">
        <v>4658</v>
      </c>
      <c r="D623" s="17" t="s">
        <v>4659</v>
      </c>
      <c r="E623" s="17" t="s">
        <v>4660</v>
      </c>
      <c r="F623" s="17" t="s">
        <v>2022</v>
      </c>
      <c r="G623" s="17" t="s">
        <v>1941</v>
      </c>
      <c r="H623" s="17">
        <v>97296</v>
      </c>
      <c r="I623" t="s">
        <v>1951</v>
      </c>
    </row>
    <row r="624" spans="1:9" x14ac:dyDescent="0.25">
      <c r="A624" s="17" t="s">
        <v>1216</v>
      </c>
      <c r="B624" s="17" t="s">
        <v>4661</v>
      </c>
      <c r="C624" s="17" t="s">
        <v>4662</v>
      </c>
      <c r="D624" s="17" t="s">
        <v>6197</v>
      </c>
      <c r="E624" s="17" t="s">
        <v>4663</v>
      </c>
      <c r="F624" s="17" t="s">
        <v>3370</v>
      </c>
      <c r="G624" s="17" t="s">
        <v>1941</v>
      </c>
      <c r="H624" s="17">
        <v>89115</v>
      </c>
      <c r="I624" t="s">
        <v>1951</v>
      </c>
    </row>
    <row r="625" spans="1:9" x14ac:dyDescent="0.25">
      <c r="A625" s="17" t="s">
        <v>1218</v>
      </c>
      <c r="B625" s="17" t="s">
        <v>4664</v>
      </c>
      <c r="C625" s="22" t="s">
        <v>6197</v>
      </c>
      <c r="D625" s="17" t="s">
        <v>4665</v>
      </c>
      <c r="E625" s="17" t="s">
        <v>4666</v>
      </c>
      <c r="F625" s="17" t="s">
        <v>4667</v>
      </c>
      <c r="G625" s="17" t="s">
        <v>2116</v>
      </c>
      <c r="H625" s="17" t="s">
        <v>4668</v>
      </c>
      <c r="I625" t="s">
        <v>1951</v>
      </c>
    </row>
    <row r="626" spans="1:9" x14ac:dyDescent="0.25">
      <c r="A626" s="17" t="s">
        <v>1220</v>
      </c>
      <c r="B626" s="17" t="s">
        <v>4669</v>
      </c>
      <c r="C626" s="17" t="s">
        <v>4670</v>
      </c>
      <c r="D626" s="17" t="s">
        <v>6197</v>
      </c>
      <c r="E626" s="17" t="s">
        <v>4671</v>
      </c>
      <c r="F626" s="17" t="s">
        <v>4672</v>
      </c>
      <c r="G626" s="17" t="s">
        <v>1949</v>
      </c>
      <c r="H626" s="17" t="s">
        <v>4673</v>
      </c>
      <c r="I626" t="s">
        <v>1942</v>
      </c>
    </row>
    <row r="627" spans="1:9" x14ac:dyDescent="0.25">
      <c r="A627" s="17" t="s">
        <v>1222</v>
      </c>
      <c r="B627" s="17" t="s">
        <v>4674</v>
      </c>
      <c r="C627" s="17" t="s">
        <v>4675</v>
      </c>
      <c r="D627" s="17" t="s">
        <v>4676</v>
      </c>
      <c r="E627" s="17" t="s">
        <v>4677</v>
      </c>
      <c r="F627" s="17" t="s">
        <v>3090</v>
      </c>
      <c r="G627" s="17" t="s">
        <v>1941</v>
      </c>
      <c r="H627" s="17">
        <v>94159</v>
      </c>
      <c r="I627" t="s">
        <v>1951</v>
      </c>
    </row>
    <row r="628" spans="1:9" x14ac:dyDescent="0.25">
      <c r="A628" s="17" t="s">
        <v>1224</v>
      </c>
      <c r="B628" s="17" t="s">
        <v>4678</v>
      </c>
      <c r="C628" s="17" t="s">
        <v>4679</v>
      </c>
      <c r="D628" s="17" t="s">
        <v>4680</v>
      </c>
      <c r="E628" s="17" t="s">
        <v>4681</v>
      </c>
      <c r="F628" s="17" t="s">
        <v>4595</v>
      </c>
      <c r="G628" s="17" t="s">
        <v>1941</v>
      </c>
      <c r="H628" s="17">
        <v>15274</v>
      </c>
      <c r="I628" t="s">
        <v>1951</v>
      </c>
    </row>
    <row r="629" spans="1:9" x14ac:dyDescent="0.25">
      <c r="A629" s="17" t="s">
        <v>1226</v>
      </c>
      <c r="B629" s="17" t="s">
        <v>4682</v>
      </c>
      <c r="C629" s="17" t="s">
        <v>4683</v>
      </c>
      <c r="D629" s="17" t="s">
        <v>4684</v>
      </c>
      <c r="E629" s="17" t="s">
        <v>4685</v>
      </c>
      <c r="F629" s="17" t="s">
        <v>2027</v>
      </c>
      <c r="G629" s="17" t="s">
        <v>1941</v>
      </c>
      <c r="H629" s="17">
        <v>77281</v>
      </c>
      <c r="I629" t="s">
        <v>1942</v>
      </c>
    </row>
    <row r="630" spans="1:9" x14ac:dyDescent="0.25">
      <c r="A630" s="17" t="s">
        <v>1228</v>
      </c>
      <c r="B630" s="17" t="s">
        <v>4686</v>
      </c>
      <c r="C630" s="17" t="s">
        <v>4687</v>
      </c>
      <c r="D630" s="17" t="s">
        <v>4688</v>
      </c>
      <c r="E630" s="17" t="s">
        <v>4689</v>
      </c>
      <c r="F630" s="17" t="s">
        <v>4690</v>
      </c>
      <c r="G630" s="17" t="s">
        <v>1949</v>
      </c>
      <c r="H630" s="17" t="s">
        <v>2032</v>
      </c>
      <c r="I630" t="s">
        <v>1942</v>
      </c>
    </row>
    <row r="631" spans="1:9" x14ac:dyDescent="0.25">
      <c r="A631" s="17" t="s">
        <v>1212</v>
      </c>
      <c r="B631" s="17" t="s">
        <v>4691</v>
      </c>
      <c r="C631" s="17" t="s">
        <v>4692</v>
      </c>
      <c r="D631" s="17" t="s">
        <v>6197</v>
      </c>
      <c r="E631" s="17" t="s">
        <v>4693</v>
      </c>
      <c r="F631" s="17" t="s">
        <v>2191</v>
      </c>
      <c r="G631" s="17" t="s">
        <v>1941</v>
      </c>
      <c r="H631" s="17">
        <v>33345</v>
      </c>
      <c r="I631" t="s">
        <v>1951</v>
      </c>
    </row>
    <row r="632" spans="1:9" x14ac:dyDescent="0.25">
      <c r="A632" s="17" t="s">
        <v>4694</v>
      </c>
      <c r="B632" s="17" t="s">
        <v>4695</v>
      </c>
      <c r="C632" s="17" t="s">
        <v>4696</v>
      </c>
      <c r="D632" s="17" t="s">
        <v>4697</v>
      </c>
      <c r="E632" s="17" t="s">
        <v>4698</v>
      </c>
      <c r="F632" s="17" t="s">
        <v>3179</v>
      </c>
      <c r="G632" s="17" t="s">
        <v>1941</v>
      </c>
      <c r="H632" s="17">
        <v>76210</v>
      </c>
      <c r="I632" t="s">
        <v>1951</v>
      </c>
    </row>
    <row r="633" spans="1:9" x14ac:dyDescent="0.25">
      <c r="A633" s="17" t="s">
        <v>4699</v>
      </c>
      <c r="B633" s="17" t="s">
        <v>4700</v>
      </c>
      <c r="C633" s="17" t="s">
        <v>4701</v>
      </c>
      <c r="D633" s="17" t="s">
        <v>4702</v>
      </c>
      <c r="E633" s="17" t="s">
        <v>4703</v>
      </c>
      <c r="F633" s="17" t="s">
        <v>3967</v>
      </c>
      <c r="G633" s="17" t="s">
        <v>1949</v>
      </c>
      <c r="H633" s="17" t="s">
        <v>2771</v>
      </c>
      <c r="I633" t="s">
        <v>1942</v>
      </c>
    </row>
    <row r="634" spans="1:9" x14ac:dyDescent="0.25">
      <c r="A634" s="17" t="s">
        <v>1230</v>
      </c>
      <c r="B634" s="17" t="s">
        <v>4704</v>
      </c>
      <c r="C634" s="17" t="s">
        <v>4705</v>
      </c>
      <c r="D634" s="17" t="s">
        <v>4706</v>
      </c>
      <c r="E634" s="17" t="s">
        <v>4707</v>
      </c>
      <c r="F634" s="17" t="s">
        <v>1986</v>
      </c>
      <c r="G634" s="17" t="s">
        <v>1941</v>
      </c>
      <c r="H634" s="17">
        <v>90005</v>
      </c>
      <c r="I634" t="s">
        <v>1951</v>
      </c>
    </row>
    <row r="635" spans="1:9" x14ac:dyDescent="0.25">
      <c r="A635" s="17" t="s">
        <v>1232</v>
      </c>
      <c r="B635" s="17" t="s">
        <v>4708</v>
      </c>
      <c r="C635" s="17" t="s">
        <v>4709</v>
      </c>
      <c r="D635" s="17" t="s">
        <v>4710</v>
      </c>
      <c r="E635" s="17" t="s">
        <v>4711</v>
      </c>
      <c r="F635" s="17" t="s">
        <v>3004</v>
      </c>
      <c r="G635" s="17" t="s">
        <v>1941</v>
      </c>
      <c r="H635" s="17">
        <v>18706</v>
      </c>
      <c r="I635" t="s">
        <v>1951</v>
      </c>
    </row>
    <row r="636" spans="1:9" x14ac:dyDescent="0.25">
      <c r="A636" s="17" t="s">
        <v>1234</v>
      </c>
      <c r="B636" s="17" t="s">
        <v>4712</v>
      </c>
      <c r="C636" s="17" t="s">
        <v>4713</v>
      </c>
      <c r="D636" s="17" t="s">
        <v>4714</v>
      </c>
      <c r="E636" s="17" t="s">
        <v>4715</v>
      </c>
      <c r="F636" s="17" t="s">
        <v>3179</v>
      </c>
      <c r="G636" s="17" t="s">
        <v>1941</v>
      </c>
      <c r="H636" s="17">
        <v>76205</v>
      </c>
      <c r="I636" t="s">
        <v>1951</v>
      </c>
    </row>
    <row r="637" spans="1:9" x14ac:dyDescent="0.25">
      <c r="A637" s="17" t="s">
        <v>1236</v>
      </c>
      <c r="B637" s="17" t="s">
        <v>4716</v>
      </c>
      <c r="C637" s="17" t="s">
        <v>4717</v>
      </c>
      <c r="D637" s="17" t="s">
        <v>4718</v>
      </c>
      <c r="E637" s="17" t="s">
        <v>4719</v>
      </c>
      <c r="F637" s="17" t="s">
        <v>2957</v>
      </c>
      <c r="G637" s="17" t="s">
        <v>1941</v>
      </c>
      <c r="H637" s="17">
        <v>64082</v>
      </c>
      <c r="I637" t="s">
        <v>1942</v>
      </c>
    </row>
    <row r="638" spans="1:9" x14ac:dyDescent="0.25">
      <c r="A638" s="17" t="s">
        <v>1238</v>
      </c>
      <c r="B638" s="17" t="s">
        <v>4720</v>
      </c>
      <c r="C638" s="17" t="s">
        <v>4721</v>
      </c>
      <c r="D638" s="17" t="s">
        <v>4722</v>
      </c>
      <c r="E638" s="17" t="s">
        <v>4723</v>
      </c>
      <c r="F638" s="17" t="s">
        <v>2127</v>
      </c>
      <c r="G638" s="17" t="s">
        <v>1941</v>
      </c>
      <c r="H638" s="17">
        <v>72209</v>
      </c>
      <c r="I638" t="s">
        <v>1942</v>
      </c>
    </row>
    <row r="639" spans="1:9" x14ac:dyDescent="0.25">
      <c r="A639" s="17" t="s">
        <v>1240</v>
      </c>
      <c r="B639" s="17" t="s">
        <v>4724</v>
      </c>
      <c r="C639" s="17" t="s">
        <v>4725</v>
      </c>
      <c r="D639" s="17" t="s">
        <v>4726</v>
      </c>
      <c r="E639" s="17" t="s">
        <v>4727</v>
      </c>
      <c r="F639" s="17" t="s">
        <v>4728</v>
      </c>
      <c r="G639" s="17" t="s">
        <v>1949</v>
      </c>
      <c r="H639" s="17" t="s">
        <v>2831</v>
      </c>
      <c r="I639" t="s">
        <v>1942</v>
      </c>
    </row>
    <row r="640" spans="1:9" x14ac:dyDescent="0.25">
      <c r="A640" s="17" t="s">
        <v>1242</v>
      </c>
      <c r="B640" s="17" t="s">
        <v>4729</v>
      </c>
      <c r="C640" s="22" t="s">
        <v>6197</v>
      </c>
      <c r="D640" s="17" t="s">
        <v>4730</v>
      </c>
      <c r="E640" s="17" t="s">
        <v>4731</v>
      </c>
      <c r="F640" s="17" t="s">
        <v>4416</v>
      </c>
      <c r="G640" s="17" t="s">
        <v>1949</v>
      </c>
      <c r="H640" s="17" t="s">
        <v>4417</v>
      </c>
      <c r="I640" t="s">
        <v>1942</v>
      </c>
    </row>
    <row r="641" spans="1:9" x14ac:dyDescent="0.25">
      <c r="A641" s="17" t="s">
        <v>1244</v>
      </c>
      <c r="B641" s="17" t="s">
        <v>4732</v>
      </c>
      <c r="C641" s="17" t="s">
        <v>4733</v>
      </c>
      <c r="D641" s="17" t="s">
        <v>4734</v>
      </c>
      <c r="E641" s="17" t="s">
        <v>4735</v>
      </c>
      <c r="F641" s="17" t="s">
        <v>3143</v>
      </c>
      <c r="G641" s="17" t="s">
        <v>1941</v>
      </c>
      <c r="H641" s="17">
        <v>16534</v>
      </c>
      <c r="I641" t="s">
        <v>1942</v>
      </c>
    </row>
    <row r="642" spans="1:9" x14ac:dyDescent="0.25">
      <c r="A642" s="17" t="s">
        <v>4736</v>
      </c>
      <c r="B642" s="17" t="s">
        <v>4737</v>
      </c>
      <c r="C642" s="22" t="s">
        <v>6197</v>
      </c>
      <c r="D642" s="17" t="s">
        <v>4738</v>
      </c>
      <c r="E642" s="17" t="s">
        <v>4739</v>
      </c>
      <c r="F642" s="17" t="s">
        <v>3164</v>
      </c>
      <c r="G642" s="17" t="s">
        <v>2116</v>
      </c>
      <c r="H642" s="17" t="s">
        <v>3165</v>
      </c>
      <c r="I642" t="s">
        <v>1951</v>
      </c>
    </row>
    <row r="643" spans="1:9" x14ac:dyDescent="0.25">
      <c r="A643" s="17" t="s">
        <v>1248</v>
      </c>
      <c r="B643" s="17" t="s">
        <v>4740</v>
      </c>
      <c r="C643" s="17" t="s">
        <v>4741</v>
      </c>
      <c r="D643" s="17" t="s">
        <v>4742</v>
      </c>
      <c r="E643" s="17" t="s">
        <v>4743</v>
      </c>
      <c r="F643" s="17" t="s">
        <v>4595</v>
      </c>
      <c r="G643" s="17" t="s">
        <v>1941</v>
      </c>
      <c r="H643" s="17">
        <v>15255</v>
      </c>
      <c r="I643" t="s">
        <v>1942</v>
      </c>
    </row>
    <row r="644" spans="1:9" x14ac:dyDescent="0.25">
      <c r="A644" s="17" t="s">
        <v>1250</v>
      </c>
      <c r="B644" s="17" t="s">
        <v>4744</v>
      </c>
      <c r="C644" s="17" t="s">
        <v>4745</v>
      </c>
      <c r="D644" s="17" t="s">
        <v>4746</v>
      </c>
      <c r="E644" s="17" t="s">
        <v>4747</v>
      </c>
      <c r="F644" s="17" t="s">
        <v>4748</v>
      </c>
      <c r="G644" s="17" t="s">
        <v>2116</v>
      </c>
      <c r="H644" s="17" t="s">
        <v>4749</v>
      </c>
      <c r="I644" t="s">
        <v>1942</v>
      </c>
    </row>
    <row r="645" spans="1:9" x14ac:dyDescent="0.25">
      <c r="A645" s="17" t="s">
        <v>1252</v>
      </c>
      <c r="B645" s="17" t="s">
        <v>4750</v>
      </c>
      <c r="C645" s="17" t="s">
        <v>4751</v>
      </c>
      <c r="D645" s="17" t="s">
        <v>6197</v>
      </c>
      <c r="E645" s="17" t="s">
        <v>4752</v>
      </c>
      <c r="F645" s="17" t="s">
        <v>2325</v>
      </c>
      <c r="G645" s="17" t="s">
        <v>1941</v>
      </c>
      <c r="H645" s="17">
        <v>75260</v>
      </c>
      <c r="I645" t="s">
        <v>1942</v>
      </c>
    </row>
    <row r="646" spans="1:9" x14ac:dyDescent="0.25">
      <c r="A646" s="17" t="s">
        <v>1254</v>
      </c>
      <c r="B646" s="17" t="s">
        <v>4753</v>
      </c>
      <c r="C646" s="22" t="s">
        <v>6197</v>
      </c>
      <c r="D646" s="17" t="s">
        <v>4754</v>
      </c>
      <c r="E646" s="17" t="s">
        <v>4755</v>
      </c>
      <c r="F646" s="17" t="s">
        <v>3581</v>
      </c>
      <c r="G646" s="17" t="s">
        <v>1941</v>
      </c>
      <c r="H646" s="17">
        <v>33233</v>
      </c>
      <c r="I646" t="s">
        <v>1951</v>
      </c>
    </row>
    <row r="647" spans="1:9" x14ac:dyDescent="0.25">
      <c r="A647" s="17" t="s">
        <v>1256</v>
      </c>
      <c r="B647" s="17" t="s">
        <v>4756</v>
      </c>
      <c r="C647" s="17" t="s">
        <v>4757</v>
      </c>
      <c r="D647" s="17" t="s">
        <v>4758</v>
      </c>
      <c r="E647" s="17" t="s">
        <v>4759</v>
      </c>
      <c r="F647" s="17" t="s">
        <v>4760</v>
      </c>
      <c r="G647" s="17" t="s">
        <v>1941</v>
      </c>
      <c r="H647" s="17">
        <v>76905</v>
      </c>
      <c r="I647" t="s">
        <v>1942</v>
      </c>
    </row>
    <row r="648" spans="1:9" x14ac:dyDescent="0.25">
      <c r="A648" s="17" t="s">
        <v>1258</v>
      </c>
      <c r="B648" s="17" t="s">
        <v>4761</v>
      </c>
      <c r="C648" s="17" t="s">
        <v>4762</v>
      </c>
      <c r="D648" s="17" t="s">
        <v>4763</v>
      </c>
      <c r="E648" s="17" t="s">
        <v>4764</v>
      </c>
      <c r="F648" s="17" t="s">
        <v>2881</v>
      </c>
      <c r="G648" s="17" t="s">
        <v>1941</v>
      </c>
      <c r="H648" s="17">
        <v>12205</v>
      </c>
      <c r="I648" t="s">
        <v>1942</v>
      </c>
    </row>
    <row r="649" spans="1:9" x14ac:dyDescent="0.25">
      <c r="A649" s="17" t="s">
        <v>1260</v>
      </c>
      <c r="B649" s="17" t="s">
        <v>4765</v>
      </c>
      <c r="C649" s="17" t="s">
        <v>4766</v>
      </c>
      <c r="D649" s="17" t="s">
        <v>4767</v>
      </c>
      <c r="E649" s="17" t="s">
        <v>4768</v>
      </c>
      <c r="F649" s="17" t="s">
        <v>4769</v>
      </c>
      <c r="G649" s="17" t="s">
        <v>2116</v>
      </c>
      <c r="H649" s="17" t="s">
        <v>4770</v>
      </c>
      <c r="I649" t="s">
        <v>1942</v>
      </c>
    </row>
    <row r="650" spans="1:9" x14ac:dyDescent="0.25">
      <c r="A650" s="17" t="s">
        <v>1246</v>
      </c>
      <c r="B650" s="17" t="s">
        <v>4771</v>
      </c>
      <c r="C650" s="17" t="s">
        <v>4772</v>
      </c>
      <c r="D650" s="17" t="s">
        <v>4773</v>
      </c>
      <c r="E650" s="17" t="s">
        <v>4774</v>
      </c>
      <c r="F650" s="17" t="s">
        <v>2287</v>
      </c>
      <c r="G650" s="17" t="s">
        <v>1941</v>
      </c>
      <c r="H650" s="17">
        <v>43240</v>
      </c>
      <c r="I650" t="s">
        <v>1951</v>
      </c>
    </row>
    <row r="651" spans="1:9" x14ac:dyDescent="0.25">
      <c r="A651" s="17" t="s">
        <v>1263</v>
      </c>
      <c r="B651" s="17" t="s">
        <v>4775</v>
      </c>
      <c r="C651" s="17" t="s">
        <v>4776</v>
      </c>
      <c r="D651" s="17" t="s">
        <v>4777</v>
      </c>
      <c r="E651" s="17" t="s">
        <v>4778</v>
      </c>
      <c r="F651" s="17" t="s">
        <v>4779</v>
      </c>
      <c r="G651" s="17" t="s">
        <v>2116</v>
      </c>
      <c r="H651" s="17" t="s">
        <v>4780</v>
      </c>
      <c r="I651" t="s">
        <v>1951</v>
      </c>
    </row>
    <row r="652" spans="1:9" x14ac:dyDescent="0.25">
      <c r="A652" s="17" t="s">
        <v>1265</v>
      </c>
      <c r="B652" s="17" t="s">
        <v>4781</v>
      </c>
      <c r="C652" s="17" t="s">
        <v>4782</v>
      </c>
      <c r="D652" s="17" t="s">
        <v>4783</v>
      </c>
      <c r="E652" s="17" t="s">
        <v>4784</v>
      </c>
      <c r="F652" s="17" t="s">
        <v>2383</v>
      </c>
      <c r="G652" s="17" t="s">
        <v>1941</v>
      </c>
      <c r="H652" s="17">
        <v>92883</v>
      </c>
      <c r="I652" t="s">
        <v>1942</v>
      </c>
    </row>
    <row r="653" spans="1:9" x14ac:dyDescent="0.25">
      <c r="A653" s="17" t="s">
        <v>1267</v>
      </c>
      <c r="B653" s="17" t="s">
        <v>4785</v>
      </c>
      <c r="C653" s="22" t="s">
        <v>6197</v>
      </c>
      <c r="D653" s="17" t="s">
        <v>4786</v>
      </c>
      <c r="E653" s="17" t="s">
        <v>4787</v>
      </c>
      <c r="F653" s="17" t="s">
        <v>2186</v>
      </c>
      <c r="G653" s="17" t="s">
        <v>1941</v>
      </c>
      <c r="H653" s="17">
        <v>20436</v>
      </c>
      <c r="I653" t="s">
        <v>1951</v>
      </c>
    </row>
    <row r="654" spans="1:9" x14ac:dyDescent="0.25">
      <c r="A654" s="17" t="s">
        <v>1269</v>
      </c>
      <c r="B654" s="17" t="s">
        <v>4788</v>
      </c>
      <c r="C654" s="17" t="s">
        <v>4789</v>
      </c>
      <c r="D654" s="17" t="s">
        <v>6197</v>
      </c>
      <c r="E654" s="17" t="s">
        <v>4790</v>
      </c>
      <c r="F654" s="17" t="s">
        <v>4791</v>
      </c>
      <c r="G654" s="17" t="s">
        <v>1949</v>
      </c>
      <c r="H654" s="17" t="s">
        <v>1950</v>
      </c>
      <c r="I654" t="s">
        <v>1951</v>
      </c>
    </row>
    <row r="655" spans="1:9" x14ac:dyDescent="0.25">
      <c r="A655" s="17" t="s">
        <v>1271</v>
      </c>
      <c r="B655" s="17" t="s">
        <v>4792</v>
      </c>
      <c r="C655" s="17" t="s">
        <v>4793</v>
      </c>
      <c r="D655" s="17" t="s">
        <v>4794</v>
      </c>
      <c r="E655" s="17" t="s">
        <v>4795</v>
      </c>
      <c r="F655" s="17" t="s">
        <v>2211</v>
      </c>
      <c r="G655" s="17" t="s">
        <v>1941</v>
      </c>
      <c r="H655" s="17">
        <v>43610</v>
      </c>
      <c r="I655" t="s">
        <v>1951</v>
      </c>
    </row>
    <row r="656" spans="1:9" x14ac:dyDescent="0.25">
      <c r="A656" s="17" t="s">
        <v>1273</v>
      </c>
      <c r="B656" s="17" t="s">
        <v>4796</v>
      </c>
      <c r="C656" s="17" t="s">
        <v>4797</v>
      </c>
      <c r="D656" s="17" t="s">
        <v>4798</v>
      </c>
      <c r="E656" s="17" t="s">
        <v>4799</v>
      </c>
      <c r="F656" s="17" t="s">
        <v>2186</v>
      </c>
      <c r="G656" s="17" t="s">
        <v>1941</v>
      </c>
      <c r="H656" s="17">
        <v>20088</v>
      </c>
      <c r="I656" t="s">
        <v>1951</v>
      </c>
    </row>
    <row r="657" spans="1:9" x14ac:dyDescent="0.25">
      <c r="A657" s="17" t="s">
        <v>1275</v>
      </c>
      <c r="B657" s="17" t="s">
        <v>4800</v>
      </c>
      <c r="C657" s="17" t="s">
        <v>4801</v>
      </c>
      <c r="D657" s="17" t="s">
        <v>6197</v>
      </c>
      <c r="E657" s="17" t="s">
        <v>4802</v>
      </c>
      <c r="F657" s="17" t="s">
        <v>4803</v>
      </c>
      <c r="G657" s="17" t="s">
        <v>1941</v>
      </c>
      <c r="H657" s="17">
        <v>52405</v>
      </c>
      <c r="I657" t="s">
        <v>1942</v>
      </c>
    </row>
    <row r="658" spans="1:9" x14ac:dyDescent="0.25">
      <c r="A658" s="17" t="s">
        <v>1277</v>
      </c>
      <c r="B658" s="17" t="s">
        <v>4804</v>
      </c>
      <c r="C658" s="17" t="s">
        <v>4805</v>
      </c>
      <c r="D658" s="17" t="s">
        <v>6197</v>
      </c>
      <c r="E658" s="17" t="s">
        <v>4806</v>
      </c>
      <c r="F658" s="17" t="s">
        <v>2093</v>
      </c>
      <c r="G658" s="17" t="s">
        <v>1941</v>
      </c>
      <c r="H658" s="17">
        <v>80045</v>
      </c>
      <c r="I658" t="s">
        <v>1951</v>
      </c>
    </row>
    <row r="659" spans="1:9" x14ac:dyDescent="0.25">
      <c r="A659" s="17" t="s">
        <v>1279</v>
      </c>
      <c r="B659" s="17" t="s">
        <v>4807</v>
      </c>
      <c r="C659" s="17" t="s">
        <v>4808</v>
      </c>
      <c r="D659" s="17" t="s">
        <v>4809</v>
      </c>
      <c r="E659" s="17" t="s">
        <v>4810</v>
      </c>
      <c r="F659" s="17" t="s">
        <v>4811</v>
      </c>
      <c r="G659" s="17" t="s">
        <v>1941</v>
      </c>
      <c r="H659" s="17">
        <v>94089</v>
      </c>
      <c r="I659" t="s">
        <v>1942</v>
      </c>
    </row>
    <row r="660" spans="1:9" x14ac:dyDescent="0.25">
      <c r="A660" s="17" t="s">
        <v>4812</v>
      </c>
      <c r="B660" s="17" t="s">
        <v>4813</v>
      </c>
      <c r="C660" s="22" t="s">
        <v>6197</v>
      </c>
      <c r="D660" s="17" t="s">
        <v>6197</v>
      </c>
      <c r="E660" s="17" t="s">
        <v>4814</v>
      </c>
      <c r="F660" s="17" t="s">
        <v>4355</v>
      </c>
      <c r="G660" s="17" t="s">
        <v>1949</v>
      </c>
      <c r="H660" s="17" t="s">
        <v>4356</v>
      </c>
      <c r="I660" t="s">
        <v>1942</v>
      </c>
    </row>
    <row r="661" spans="1:9" x14ac:dyDescent="0.25">
      <c r="A661" s="17" t="s">
        <v>1283</v>
      </c>
      <c r="B661" s="17" t="s">
        <v>4815</v>
      </c>
      <c r="C661" s="17" t="s">
        <v>4816</v>
      </c>
      <c r="D661" s="17" t="s">
        <v>4817</v>
      </c>
      <c r="E661" s="17" t="s">
        <v>4818</v>
      </c>
      <c r="F661" s="17" t="s">
        <v>4819</v>
      </c>
      <c r="G661" s="17" t="s">
        <v>1949</v>
      </c>
      <c r="H661" s="17" t="s">
        <v>4417</v>
      </c>
      <c r="I661" t="s">
        <v>1942</v>
      </c>
    </row>
    <row r="662" spans="1:9" x14ac:dyDescent="0.25">
      <c r="A662" s="17" t="s">
        <v>1285</v>
      </c>
      <c r="B662" s="17" t="s">
        <v>4820</v>
      </c>
      <c r="C662" s="17" t="s">
        <v>4821</v>
      </c>
      <c r="D662" s="17" t="s">
        <v>4822</v>
      </c>
      <c r="E662" s="17" t="s">
        <v>4823</v>
      </c>
      <c r="F662" s="17" t="s">
        <v>2800</v>
      </c>
      <c r="G662" s="17" t="s">
        <v>1941</v>
      </c>
      <c r="H662" s="17">
        <v>48930</v>
      </c>
      <c r="I662" t="s">
        <v>1951</v>
      </c>
    </row>
    <row r="663" spans="1:9" x14ac:dyDescent="0.25">
      <c r="A663" s="17" t="s">
        <v>1287</v>
      </c>
      <c r="B663" s="17" t="s">
        <v>4824</v>
      </c>
      <c r="C663" s="17" t="s">
        <v>4825</v>
      </c>
      <c r="D663" s="17" t="s">
        <v>4826</v>
      </c>
      <c r="E663" s="17" t="s">
        <v>4827</v>
      </c>
      <c r="F663" s="17" t="s">
        <v>2027</v>
      </c>
      <c r="G663" s="17" t="s">
        <v>1941</v>
      </c>
      <c r="H663" s="17">
        <v>77281</v>
      </c>
      <c r="I663" t="s">
        <v>1942</v>
      </c>
    </row>
    <row r="664" spans="1:9" x14ac:dyDescent="0.25">
      <c r="A664" s="17" t="s">
        <v>1289</v>
      </c>
      <c r="B664" s="17" t="s">
        <v>4828</v>
      </c>
      <c r="C664" s="17" t="s">
        <v>4829</v>
      </c>
      <c r="D664" s="17" t="s">
        <v>6197</v>
      </c>
      <c r="E664" s="17" t="s">
        <v>4830</v>
      </c>
      <c r="F664" s="17" t="s">
        <v>4831</v>
      </c>
      <c r="G664" s="17" t="s">
        <v>1941</v>
      </c>
      <c r="H664" s="17">
        <v>37131</v>
      </c>
      <c r="I664" t="s">
        <v>1951</v>
      </c>
    </row>
    <row r="665" spans="1:9" x14ac:dyDescent="0.25">
      <c r="A665" s="17" t="s">
        <v>1291</v>
      </c>
      <c r="B665" s="17" t="s">
        <v>4832</v>
      </c>
      <c r="C665" s="17" t="s">
        <v>4833</v>
      </c>
      <c r="D665" s="17" t="s">
        <v>6197</v>
      </c>
      <c r="E665" s="17" t="s">
        <v>4834</v>
      </c>
      <c r="F665" s="17" t="s">
        <v>2122</v>
      </c>
      <c r="G665" s="17" t="s">
        <v>1941</v>
      </c>
      <c r="H665" s="17">
        <v>25362</v>
      </c>
      <c r="I665" t="s">
        <v>1951</v>
      </c>
    </row>
    <row r="666" spans="1:9" x14ac:dyDescent="0.25">
      <c r="A666" s="17" t="s">
        <v>1293</v>
      </c>
      <c r="B666" s="17" t="s">
        <v>4835</v>
      </c>
      <c r="C666" s="17" t="s">
        <v>4836</v>
      </c>
      <c r="D666" s="17" t="s">
        <v>4837</v>
      </c>
      <c r="E666" s="17" t="s">
        <v>4838</v>
      </c>
      <c r="F666" s="17" t="s">
        <v>3143</v>
      </c>
      <c r="G666" s="17" t="s">
        <v>1941</v>
      </c>
      <c r="H666" s="17">
        <v>16534</v>
      </c>
      <c r="I666" t="s">
        <v>1951</v>
      </c>
    </row>
    <row r="667" spans="1:9" x14ac:dyDescent="0.25">
      <c r="A667" s="17" t="s">
        <v>4839</v>
      </c>
      <c r="B667" s="17" t="s">
        <v>4840</v>
      </c>
      <c r="C667" s="17" t="s">
        <v>4841</v>
      </c>
      <c r="D667" s="17" t="s">
        <v>4842</v>
      </c>
      <c r="E667" s="17" t="s">
        <v>4843</v>
      </c>
      <c r="F667" s="17" t="s">
        <v>3858</v>
      </c>
      <c r="G667" s="17" t="s">
        <v>1941</v>
      </c>
      <c r="H667" s="17">
        <v>39204</v>
      </c>
      <c r="I667" t="s">
        <v>1942</v>
      </c>
    </row>
    <row r="668" spans="1:9" x14ac:dyDescent="0.25">
      <c r="A668" s="17" t="s">
        <v>1295</v>
      </c>
      <c r="B668" s="17" t="s">
        <v>4844</v>
      </c>
      <c r="C668" s="17" t="s">
        <v>4845</v>
      </c>
      <c r="D668" s="17" t="s">
        <v>4846</v>
      </c>
      <c r="E668" s="17" t="s">
        <v>4847</v>
      </c>
      <c r="F668" s="17" t="s">
        <v>2901</v>
      </c>
      <c r="G668" s="17" t="s">
        <v>1941</v>
      </c>
      <c r="H668" s="17">
        <v>79491</v>
      </c>
      <c r="I668" t="s">
        <v>1951</v>
      </c>
    </row>
    <row r="669" spans="1:9" x14ac:dyDescent="0.25">
      <c r="A669" s="17" t="s">
        <v>1297</v>
      </c>
      <c r="B669" s="17" t="s">
        <v>4848</v>
      </c>
      <c r="C669" s="17" t="s">
        <v>4849</v>
      </c>
      <c r="D669" s="17" t="s">
        <v>4850</v>
      </c>
      <c r="E669" s="17" t="s">
        <v>4851</v>
      </c>
      <c r="F669" s="17" t="s">
        <v>4852</v>
      </c>
      <c r="G669" s="17" t="s">
        <v>1949</v>
      </c>
      <c r="H669" s="17" t="s">
        <v>2089</v>
      </c>
      <c r="I669" t="s">
        <v>1951</v>
      </c>
    </row>
    <row r="670" spans="1:9" x14ac:dyDescent="0.25">
      <c r="A670" s="17" t="s">
        <v>1281</v>
      </c>
      <c r="B670" s="17" t="s">
        <v>4853</v>
      </c>
      <c r="C670" s="17" t="s">
        <v>4854</v>
      </c>
      <c r="D670" s="17" t="s">
        <v>4855</v>
      </c>
      <c r="E670" s="17" t="s">
        <v>4856</v>
      </c>
      <c r="F670" s="17" t="s">
        <v>4481</v>
      </c>
      <c r="G670" s="17" t="s">
        <v>1941</v>
      </c>
      <c r="H670" s="17">
        <v>27717</v>
      </c>
      <c r="I670" t="s">
        <v>1942</v>
      </c>
    </row>
    <row r="671" spans="1:9" x14ac:dyDescent="0.25">
      <c r="A671" s="17" t="s">
        <v>1300</v>
      </c>
      <c r="B671" s="17" t="s">
        <v>4857</v>
      </c>
      <c r="C671" s="17" t="s">
        <v>4858</v>
      </c>
      <c r="D671" s="17" t="s">
        <v>4859</v>
      </c>
      <c r="E671" s="17" t="s">
        <v>4860</v>
      </c>
      <c r="F671" s="17" t="s">
        <v>4861</v>
      </c>
      <c r="G671" s="17" t="s">
        <v>1941</v>
      </c>
      <c r="H671" s="17">
        <v>29505</v>
      </c>
      <c r="I671" t="s">
        <v>1951</v>
      </c>
    </row>
    <row r="672" spans="1:9" x14ac:dyDescent="0.25">
      <c r="A672" s="17" t="s">
        <v>1302</v>
      </c>
      <c r="B672" s="17" t="s">
        <v>4862</v>
      </c>
      <c r="C672" s="17" t="s">
        <v>4863</v>
      </c>
      <c r="D672" s="17" t="s">
        <v>4864</v>
      </c>
      <c r="E672" s="17" t="s">
        <v>4865</v>
      </c>
      <c r="F672" s="17" t="s">
        <v>4866</v>
      </c>
      <c r="G672" s="17" t="s">
        <v>1941</v>
      </c>
      <c r="H672" s="17">
        <v>13205</v>
      </c>
      <c r="I672" t="s">
        <v>1942</v>
      </c>
    </row>
    <row r="673" spans="1:9" x14ac:dyDescent="0.25">
      <c r="A673" s="17" t="s">
        <v>1304</v>
      </c>
      <c r="B673" s="17" t="s">
        <v>4867</v>
      </c>
      <c r="C673" s="17" t="s">
        <v>4868</v>
      </c>
      <c r="D673" s="17" t="s">
        <v>4869</v>
      </c>
      <c r="E673" s="17" t="s">
        <v>4870</v>
      </c>
      <c r="F673" s="17" t="s">
        <v>3682</v>
      </c>
      <c r="G673" s="17" t="s">
        <v>1941</v>
      </c>
      <c r="H673" s="17">
        <v>30245</v>
      </c>
      <c r="I673" t="s">
        <v>1951</v>
      </c>
    </row>
    <row r="674" spans="1:9" x14ac:dyDescent="0.25">
      <c r="A674" s="17" t="s">
        <v>1306</v>
      </c>
      <c r="B674" s="17" t="s">
        <v>4871</v>
      </c>
      <c r="C674" s="17" t="s">
        <v>4872</v>
      </c>
      <c r="D674" s="17" t="s">
        <v>6197</v>
      </c>
      <c r="E674" s="17" t="s">
        <v>4873</v>
      </c>
      <c r="F674" s="17" t="s">
        <v>2027</v>
      </c>
      <c r="G674" s="17" t="s">
        <v>1941</v>
      </c>
      <c r="H674" s="17">
        <v>77070</v>
      </c>
      <c r="I674" t="s">
        <v>1942</v>
      </c>
    </row>
    <row r="675" spans="1:9" x14ac:dyDescent="0.25">
      <c r="A675" s="17" t="s">
        <v>1308</v>
      </c>
      <c r="B675" s="17" t="s">
        <v>4874</v>
      </c>
      <c r="C675" s="17" t="s">
        <v>4875</v>
      </c>
      <c r="D675" s="17" t="s">
        <v>4876</v>
      </c>
      <c r="E675" s="17" t="s">
        <v>4877</v>
      </c>
      <c r="F675" s="17" t="s">
        <v>2375</v>
      </c>
      <c r="G675" s="17" t="s">
        <v>1941</v>
      </c>
      <c r="H675" s="17">
        <v>66160</v>
      </c>
      <c r="I675" t="s">
        <v>1942</v>
      </c>
    </row>
    <row r="676" spans="1:9" x14ac:dyDescent="0.25">
      <c r="A676" s="17" t="s">
        <v>1310</v>
      </c>
      <c r="B676" s="17" t="s">
        <v>4878</v>
      </c>
      <c r="C676" s="17" t="s">
        <v>4879</v>
      </c>
      <c r="D676" s="17" t="s">
        <v>4880</v>
      </c>
      <c r="E676" s="17" t="s">
        <v>4881</v>
      </c>
      <c r="F676" s="17" t="s">
        <v>4882</v>
      </c>
      <c r="G676" s="17" t="s">
        <v>1941</v>
      </c>
      <c r="H676" s="17">
        <v>34282</v>
      </c>
      <c r="I676" t="s">
        <v>1942</v>
      </c>
    </row>
    <row r="677" spans="1:9" x14ac:dyDescent="0.25">
      <c r="A677" s="17" t="s">
        <v>1312</v>
      </c>
      <c r="B677" s="17" t="s">
        <v>4883</v>
      </c>
      <c r="C677" s="22" t="s">
        <v>6197</v>
      </c>
      <c r="D677" s="17" t="s">
        <v>4884</v>
      </c>
      <c r="E677" s="17" t="s">
        <v>4885</v>
      </c>
      <c r="F677" s="17" t="s">
        <v>4886</v>
      </c>
      <c r="G677" s="17" t="s">
        <v>1941</v>
      </c>
      <c r="H677" s="17">
        <v>18105</v>
      </c>
      <c r="I677" t="s">
        <v>1942</v>
      </c>
    </row>
    <row r="678" spans="1:9" x14ac:dyDescent="0.25">
      <c r="A678" s="17" t="s">
        <v>1314</v>
      </c>
      <c r="B678" s="17" t="s">
        <v>4887</v>
      </c>
      <c r="C678" s="22" t="s">
        <v>6197</v>
      </c>
      <c r="D678" s="17" t="s">
        <v>4888</v>
      </c>
      <c r="E678" s="17" t="s">
        <v>4889</v>
      </c>
      <c r="F678" s="17" t="s">
        <v>4890</v>
      </c>
      <c r="G678" s="17" t="s">
        <v>1941</v>
      </c>
      <c r="H678" s="17">
        <v>23663</v>
      </c>
      <c r="I678" t="s">
        <v>1951</v>
      </c>
    </row>
    <row r="679" spans="1:9" x14ac:dyDescent="0.25">
      <c r="A679" s="17" t="s">
        <v>1316</v>
      </c>
      <c r="B679" s="17" t="s">
        <v>4891</v>
      </c>
      <c r="C679" s="17" t="s">
        <v>4892</v>
      </c>
      <c r="D679" s="17" t="s">
        <v>4893</v>
      </c>
      <c r="E679" s="17" t="s">
        <v>4894</v>
      </c>
      <c r="F679" s="17" t="s">
        <v>3749</v>
      </c>
      <c r="G679" s="17" t="s">
        <v>1949</v>
      </c>
      <c r="H679" s="17" t="s">
        <v>3750</v>
      </c>
      <c r="I679" t="s">
        <v>1951</v>
      </c>
    </row>
    <row r="680" spans="1:9" x14ac:dyDescent="0.25">
      <c r="A680" s="17" t="s">
        <v>1318</v>
      </c>
      <c r="B680" s="17" t="s">
        <v>4895</v>
      </c>
      <c r="C680" s="17" t="s">
        <v>4896</v>
      </c>
      <c r="D680" s="17" t="s">
        <v>4897</v>
      </c>
      <c r="E680" s="17" t="s">
        <v>4898</v>
      </c>
      <c r="F680" s="17" t="s">
        <v>4899</v>
      </c>
      <c r="G680" s="17" t="s">
        <v>1941</v>
      </c>
      <c r="H680" s="17">
        <v>67260</v>
      </c>
      <c r="I680" t="s">
        <v>1942</v>
      </c>
    </row>
    <row r="681" spans="1:9" x14ac:dyDescent="0.25">
      <c r="A681" s="17" t="s">
        <v>1320</v>
      </c>
      <c r="B681" s="17" t="s">
        <v>4900</v>
      </c>
      <c r="C681" s="17" t="s">
        <v>4901</v>
      </c>
      <c r="D681" s="17" t="s">
        <v>4902</v>
      </c>
      <c r="E681" s="17" t="s">
        <v>4903</v>
      </c>
      <c r="F681" s="17" t="s">
        <v>4769</v>
      </c>
      <c r="G681" s="17" t="s">
        <v>2116</v>
      </c>
      <c r="H681" s="17" t="s">
        <v>4770</v>
      </c>
      <c r="I681" t="s">
        <v>1951</v>
      </c>
    </row>
    <row r="682" spans="1:9" x14ac:dyDescent="0.25">
      <c r="A682" s="17" t="s">
        <v>1322</v>
      </c>
      <c r="B682" s="17" t="s">
        <v>4904</v>
      </c>
      <c r="C682" s="17" t="s">
        <v>4905</v>
      </c>
      <c r="D682" s="17" t="s">
        <v>6197</v>
      </c>
      <c r="E682" s="17" t="s">
        <v>4906</v>
      </c>
      <c r="F682" s="17" t="s">
        <v>3283</v>
      </c>
      <c r="G682" s="17" t="s">
        <v>1941</v>
      </c>
      <c r="H682" s="17">
        <v>6816</v>
      </c>
      <c r="I682" t="s">
        <v>1951</v>
      </c>
    </row>
    <row r="683" spans="1:9" x14ac:dyDescent="0.25">
      <c r="A683" s="17" t="s">
        <v>1324</v>
      </c>
      <c r="B683" s="17" t="s">
        <v>4907</v>
      </c>
      <c r="C683" s="17" t="s">
        <v>4908</v>
      </c>
      <c r="D683" s="17" t="s">
        <v>4909</v>
      </c>
      <c r="E683" s="17" t="s">
        <v>4910</v>
      </c>
      <c r="F683" s="17" t="s">
        <v>2199</v>
      </c>
      <c r="G683" s="17" t="s">
        <v>2116</v>
      </c>
      <c r="H683" s="17" t="s">
        <v>2200</v>
      </c>
      <c r="I683" t="s">
        <v>1942</v>
      </c>
    </row>
    <row r="684" spans="1:9" x14ac:dyDescent="0.25">
      <c r="A684" s="17" t="s">
        <v>1326</v>
      </c>
      <c r="B684" s="17" t="s">
        <v>4911</v>
      </c>
      <c r="C684" s="17" t="s">
        <v>4912</v>
      </c>
      <c r="D684" s="17" t="s">
        <v>4913</v>
      </c>
      <c r="E684" s="17" t="s">
        <v>4914</v>
      </c>
      <c r="F684" s="17" t="s">
        <v>3488</v>
      </c>
      <c r="G684" s="17" t="s">
        <v>1941</v>
      </c>
      <c r="H684" s="17">
        <v>32209</v>
      </c>
      <c r="I684" t="s">
        <v>1942</v>
      </c>
    </row>
    <row r="685" spans="1:9" x14ac:dyDescent="0.25">
      <c r="A685" s="17" t="s">
        <v>1328</v>
      </c>
      <c r="B685" s="17" t="s">
        <v>4915</v>
      </c>
      <c r="C685" s="17" t="s">
        <v>4916</v>
      </c>
      <c r="D685" s="17" t="s">
        <v>4917</v>
      </c>
      <c r="E685" s="17" t="s">
        <v>4918</v>
      </c>
      <c r="F685" s="17" t="s">
        <v>2027</v>
      </c>
      <c r="G685" s="17" t="s">
        <v>1941</v>
      </c>
      <c r="H685" s="17">
        <v>77299</v>
      </c>
      <c r="I685" t="s">
        <v>1951</v>
      </c>
    </row>
    <row r="686" spans="1:9" x14ac:dyDescent="0.25">
      <c r="A686" s="17" t="s">
        <v>1330</v>
      </c>
      <c r="B686" s="17" t="s">
        <v>4919</v>
      </c>
      <c r="C686" s="22" t="s">
        <v>6197</v>
      </c>
      <c r="D686" s="17" t="s">
        <v>4920</v>
      </c>
      <c r="E686" s="17" t="s">
        <v>4921</v>
      </c>
      <c r="F686" s="17" t="s">
        <v>2022</v>
      </c>
      <c r="G686" s="17" t="s">
        <v>1941</v>
      </c>
      <c r="H686" s="17">
        <v>97255</v>
      </c>
      <c r="I686" t="s">
        <v>1951</v>
      </c>
    </row>
    <row r="687" spans="1:9" x14ac:dyDescent="0.25">
      <c r="A687" s="17" t="s">
        <v>1332</v>
      </c>
      <c r="B687" s="17" t="s">
        <v>4922</v>
      </c>
      <c r="C687" s="17" t="s">
        <v>4923</v>
      </c>
      <c r="D687" s="17" t="s">
        <v>4924</v>
      </c>
      <c r="E687" s="17" t="s">
        <v>4925</v>
      </c>
      <c r="F687" s="17" t="s">
        <v>2947</v>
      </c>
      <c r="G687" s="17" t="s">
        <v>1941</v>
      </c>
      <c r="H687" s="17">
        <v>91186</v>
      </c>
      <c r="I687" t="s">
        <v>1942</v>
      </c>
    </row>
    <row r="688" spans="1:9" x14ac:dyDescent="0.25">
      <c r="A688" s="17" t="s">
        <v>1334</v>
      </c>
      <c r="B688" s="17" t="s">
        <v>4926</v>
      </c>
      <c r="C688" s="17" t="s">
        <v>4927</v>
      </c>
      <c r="D688" s="17" t="s">
        <v>4928</v>
      </c>
      <c r="E688" s="17" t="s">
        <v>4929</v>
      </c>
      <c r="F688" s="17" t="s">
        <v>2572</v>
      </c>
      <c r="G688" s="17" t="s">
        <v>1941</v>
      </c>
      <c r="H688" s="17">
        <v>92725</v>
      </c>
      <c r="I688" t="s">
        <v>1942</v>
      </c>
    </row>
    <row r="689" spans="1:9" x14ac:dyDescent="0.25">
      <c r="A689" s="17" t="s">
        <v>1336</v>
      </c>
      <c r="B689" s="17" t="s">
        <v>4930</v>
      </c>
      <c r="C689" s="17" t="s">
        <v>4931</v>
      </c>
      <c r="D689" s="17" t="s">
        <v>4932</v>
      </c>
      <c r="E689" s="17" t="s">
        <v>4933</v>
      </c>
      <c r="F689" s="17" t="s">
        <v>1995</v>
      </c>
      <c r="G689" s="17" t="s">
        <v>1941</v>
      </c>
      <c r="H689" s="17">
        <v>95160</v>
      </c>
      <c r="I689" t="s">
        <v>1951</v>
      </c>
    </row>
    <row r="690" spans="1:9" x14ac:dyDescent="0.25">
      <c r="A690" s="17" t="s">
        <v>1338</v>
      </c>
      <c r="B690" s="17" t="s">
        <v>4934</v>
      </c>
      <c r="C690" s="17" t="s">
        <v>4935</v>
      </c>
      <c r="D690" s="17" t="s">
        <v>4936</v>
      </c>
      <c r="E690" s="17" t="s">
        <v>4937</v>
      </c>
      <c r="F690" s="17" t="s">
        <v>4938</v>
      </c>
      <c r="G690" s="17" t="s">
        <v>1949</v>
      </c>
      <c r="H690" s="17" t="s">
        <v>2043</v>
      </c>
      <c r="I690" t="s">
        <v>1951</v>
      </c>
    </row>
    <row r="691" spans="1:9" x14ac:dyDescent="0.25">
      <c r="A691" s="17" t="s">
        <v>1340</v>
      </c>
      <c r="B691" s="17" t="s">
        <v>4939</v>
      </c>
      <c r="C691" s="17" t="s">
        <v>4940</v>
      </c>
      <c r="D691" s="17" t="s">
        <v>4941</v>
      </c>
      <c r="E691" s="17" t="s">
        <v>4942</v>
      </c>
      <c r="F691" s="17" t="s">
        <v>2340</v>
      </c>
      <c r="G691" s="17" t="s">
        <v>1941</v>
      </c>
      <c r="H691" s="17">
        <v>80935</v>
      </c>
      <c r="I691" t="s">
        <v>1951</v>
      </c>
    </row>
    <row r="692" spans="1:9" x14ac:dyDescent="0.25">
      <c r="A692" s="17" t="s">
        <v>1342</v>
      </c>
      <c r="B692" s="17" t="s">
        <v>4943</v>
      </c>
      <c r="C692" s="22" t="s">
        <v>6197</v>
      </c>
      <c r="D692" s="17" t="s">
        <v>6197</v>
      </c>
      <c r="E692" s="17" t="s">
        <v>4944</v>
      </c>
      <c r="F692" s="17" t="s">
        <v>2211</v>
      </c>
      <c r="G692" s="17" t="s">
        <v>1941</v>
      </c>
      <c r="H692" s="17">
        <v>43605</v>
      </c>
      <c r="I692" t="s">
        <v>1951</v>
      </c>
    </row>
    <row r="693" spans="1:9" x14ac:dyDescent="0.25">
      <c r="A693" s="17" t="s">
        <v>4945</v>
      </c>
      <c r="B693" s="17" t="s">
        <v>4946</v>
      </c>
      <c r="C693" s="17" t="s">
        <v>4947</v>
      </c>
      <c r="D693" s="17" t="s">
        <v>4948</v>
      </c>
      <c r="E693" s="17" t="s">
        <v>4949</v>
      </c>
      <c r="F693" s="17" t="s">
        <v>3442</v>
      </c>
      <c r="G693" s="17" t="s">
        <v>1941</v>
      </c>
      <c r="H693" s="17">
        <v>33436</v>
      </c>
      <c r="I693" t="s">
        <v>1942</v>
      </c>
    </row>
    <row r="694" spans="1:9" x14ac:dyDescent="0.25">
      <c r="A694" s="17" t="s">
        <v>1346</v>
      </c>
      <c r="B694" s="17" t="s">
        <v>4950</v>
      </c>
      <c r="C694" s="17" t="s">
        <v>4951</v>
      </c>
      <c r="D694" s="17" t="s">
        <v>4952</v>
      </c>
      <c r="E694" s="17" t="s">
        <v>4953</v>
      </c>
      <c r="F694" s="17" t="s">
        <v>3037</v>
      </c>
      <c r="G694" s="17" t="s">
        <v>1941</v>
      </c>
      <c r="H694" s="17">
        <v>45999</v>
      </c>
      <c r="I694" t="s">
        <v>1951</v>
      </c>
    </row>
    <row r="695" spans="1:9" x14ac:dyDescent="0.25">
      <c r="A695" s="17" t="s">
        <v>1348</v>
      </c>
      <c r="B695" s="17" t="s">
        <v>4954</v>
      </c>
      <c r="C695" s="17" t="s">
        <v>4955</v>
      </c>
      <c r="D695" s="17" t="s">
        <v>4956</v>
      </c>
      <c r="E695" s="17" t="s">
        <v>4957</v>
      </c>
      <c r="F695" s="17" t="s">
        <v>2013</v>
      </c>
      <c r="G695" s="17" t="s">
        <v>1941</v>
      </c>
      <c r="H695" s="17">
        <v>63121</v>
      </c>
      <c r="I695" t="s">
        <v>1942</v>
      </c>
    </row>
    <row r="696" spans="1:9" x14ac:dyDescent="0.25">
      <c r="A696" s="17" t="s">
        <v>1350</v>
      </c>
      <c r="B696" s="17" t="s">
        <v>4958</v>
      </c>
      <c r="C696" s="17" t="s">
        <v>4959</v>
      </c>
      <c r="D696" s="17" t="s">
        <v>4960</v>
      </c>
      <c r="E696" s="17" t="s">
        <v>4961</v>
      </c>
      <c r="F696" s="17" t="s">
        <v>4962</v>
      </c>
      <c r="G696" s="17" t="s">
        <v>1941</v>
      </c>
      <c r="H696" s="17">
        <v>10705</v>
      </c>
      <c r="I696" t="s">
        <v>1951</v>
      </c>
    </row>
    <row r="697" spans="1:9" x14ac:dyDescent="0.25">
      <c r="A697" s="17" t="s">
        <v>1352</v>
      </c>
      <c r="B697" s="17" t="s">
        <v>4963</v>
      </c>
      <c r="C697" s="17" t="s">
        <v>4964</v>
      </c>
      <c r="D697" s="17" t="s">
        <v>4965</v>
      </c>
      <c r="E697" s="17" t="s">
        <v>4966</v>
      </c>
      <c r="F697" s="17" t="s">
        <v>3316</v>
      </c>
      <c r="G697" s="17" t="s">
        <v>1941</v>
      </c>
      <c r="H697" s="17">
        <v>21290</v>
      </c>
      <c r="I697" t="s">
        <v>1942</v>
      </c>
    </row>
    <row r="698" spans="1:9" x14ac:dyDescent="0.25">
      <c r="A698" s="17" t="s">
        <v>1354</v>
      </c>
      <c r="B698" s="17" t="s">
        <v>4967</v>
      </c>
      <c r="C698" s="17" t="s">
        <v>4968</v>
      </c>
      <c r="D698" s="17" t="s">
        <v>4969</v>
      </c>
      <c r="E698" s="17" t="s">
        <v>4970</v>
      </c>
      <c r="F698" s="17" t="s">
        <v>3488</v>
      </c>
      <c r="G698" s="17" t="s">
        <v>1941</v>
      </c>
      <c r="H698" s="17">
        <v>32230</v>
      </c>
      <c r="I698" t="s">
        <v>1951</v>
      </c>
    </row>
    <row r="699" spans="1:9" x14ac:dyDescent="0.25">
      <c r="A699" s="17" t="s">
        <v>1356</v>
      </c>
      <c r="B699" s="17" t="s">
        <v>4971</v>
      </c>
      <c r="C699" s="22" t="s">
        <v>6197</v>
      </c>
      <c r="D699" s="17" t="s">
        <v>6197</v>
      </c>
      <c r="E699" s="17" t="s">
        <v>4972</v>
      </c>
      <c r="F699" s="17" t="s">
        <v>4973</v>
      </c>
      <c r="G699" s="17" t="s">
        <v>1949</v>
      </c>
      <c r="H699" s="17" t="s">
        <v>4974</v>
      </c>
      <c r="I699" t="s">
        <v>1951</v>
      </c>
    </row>
    <row r="700" spans="1:9" x14ac:dyDescent="0.25">
      <c r="A700" s="17" t="s">
        <v>1344</v>
      </c>
      <c r="B700" s="17" t="s">
        <v>4975</v>
      </c>
      <c r="C700" s="17" t="s">
        <v>4976</v>
      </c>
      <c r="D700" s="17" t="s">
        <v>4977</v>
      </c>
      <c r="E700" s="17" t="s">
        <v>4978</v>
      </c>
      <c r="F700" s="17" t="s">
        <v>2366</v>
      </c>
      <c r="G700" s="17" t="s">
        <v>1949</v>
      </c>
      <c r="H700" s="17" t="s">
        <v>2545</v>
      </c>
      <c r="I700" t="s">
        <v>1951</v>
      </c>
    </row>
    <row r="701" spans="1:9" x14ac:dyDescent="0.25">
      <c r="A701" s="17" t="s">
        <v>1359</v>
      </c>
      <c r="B701" s="17" t="s">
        <v>4979</v>
      </c>
      <c r="C701" s="17" t="s">
        <v>4980</v>
      </c>
      <c r="D701" s="17" t="s">
        <v>4981</v>
      </c>
      <c r="E701" s="17" t="s">
        <v>4982</v>
      </c>
      <c r="F701" s="17" t="s">
        <v>3581</v>
      </c>
      <c r="G701" s="17" t="s">
        <v>1941</v>
      </c>
      <c r="H701" s="17">
        <v>33196</v>
      </c>
      <c r="I701" t="s">
        <v>1942</v>
      </c>
    </row>
    <row r="702" spans="1:9" x14ac:dyDescent="0.25">
      <c r="A702" s="17" t="s">
        <v>1361</v>
      </c>
      <c r="B702" s="17" t="s">
        <v>4983</v>
      </c>
      <c r="C702" s="17" t="s">
        <v>4984</v>
      </c>
      <c r="D702" s="17" t="s">
        <v>6197</v>
      </c>
      <c r="E702" s="17" t="s">
        <v>4985</v>
      </c>
      <c r="F702" s="17" t="s">
        <v>3090</v>
      </c>
      <c r="G702" s="17" t="s">
        <v>1941</v>
      </c>
      <c r="H702" s="17">
        <v>94121</v>
      </c>
      <c r="I702" t="s">
        <v>1951</v>
      </c>
    </row>
    <row r="703" spans="1:9" x14ac:dyDescent="0.25">
      <c r="A703" s="17" t="s">
        <v>1363</v>
      </c>
      <c r="B703" s="17" t="s">
        <v>4986</v>
      </c>
      <c r="C703" s="17" t="s">
        <v>4987</v>
      </c>
      <c r="D703" s="17" t="s">
        <v>4988</v>
      </c>
      <c r="E703" s="17" t="s">
        <v>4989</v>
      </c>
      <c r="F703" s="17" t="s">
        <v>3402</v>
      </c>
      <c r="G703" s="17" t="s">
        <v>1949</v>
      </c>
      <c r="H703" s="17" t="s">
        <v>2083</v>
      </c>
      <c r="I703" t="s">
        <v>1942</v>
      </c>
    </row>
    <row r="704" spans="1:9" x14ac:dyDescent="0.25">
      <c r="A704" s="17" t="s">
        <v>1365</v>
      </c>
      <c r="B704" s="17" t="s">
        <v>4990</v>
      </c>
      <c r="C704" s="17" t="s">
        <v>4991</v>
      </c>
      <c r="D704" s="17" t="s">
        <v>6197</v>
      </c>
      <c r="E704" s="17" t="s">
        <v>4992</v>
      </c>
      <c r="F704" s="17" t="s">
        <v>2053</v>
      </c>
      <c r="G704" s="17" t="s">
        <v>1941</v>
      </c>
      <c r="H704" s="17">
        <v>33982</v>
      </c>
      <c r="I704" t="s">
        <v>1942</v>
      </c>
    </row>
    <row r="705" spans="1:9" x14ac:dyDescent="0.25">
      <c r="A705" s="17" t="s">
        <v>1367</v>
      </c>
      <c r="B705" s="17" t="s">
        <v>4993</v>
      </c>
      <c r="C705" s="22" t="s">
        <v>6197</v>
      </c>
      <c r="D705" s="17" t="s">
        <v>4994</v>
      </c>
      <c r="E705" s="17" t="s">
        <v>4995</v>
      </c>
      <c r="F705" s="17" t="s">
        <v>2600</v>
      </c>
      <c r="G705" s="17" t="s">
        <v>1949</v>
      </c>
      <c r="H705" s="17" t="s">
        <v>2545</v>
      </c>
      <c r="I705" t="s">
        <v>1942</v>
      </c>
    </row>
    <row r="706" spans="1:9" x14ac:dyDescent="0.25">
      <c r="A706" s="17" t="s">
        <v>1369</v>
      </c>
      <c r="B706" s="17" t="s">
        <v>4996</v>
      </c>
      <c r="C706" s="22" t="s">
        <v>6197</v>
      </c>
      <c r="D706" s="17" t="s">
        <v>4997</v>
      </c>
      <c r="E706" s="17" t="s">
        <v>4998</v>
      </c>
      <c r="F706" s="17" t="s">
        <v>2037</v>
      </c>
      <c r="G706" s="17" t="s">
        <v>1941</v>
      </c>
      <c r="H706" s="17">
        <v>10125</v>
      </c>
      <c r="I706" t="s">
        <v>1942</v>
      </c>
    </row>
    <row r="707" spans="1:9" x14ac:dyDescent="0.25">
      <c r="A707" s="17" t="s">
        <v>1371</v>
      </c>
      <c r="B707" s="17" t="s">
        <v>4999</v>
      </c>
      <c r="C707" s="17" t="s">
        <v>5000</v>
      </c>
      <c r="D707" s="17" t="s">
        <v>5001</v>
      </c>
      <c r="E707" s="17" t="s">
        <v>5002</v>
      </c>
      <c r="F707" s="17" t="s">
        <v>2886</v>
      </c>
      <c r="G707" s="17" t="s">
        <v>1941</v>
      </c>
      <c r="H707" s="17">
        <v>29305</v>
      </c>
      <c r="I707" t="s">
        <v>1951</v>
      </c>
    </row>
    <row r="708" spans="1:9" x14ac:dyDescent="0.25">
      <c r="A708" s="17" t="s">
        <v>1373</v>
      </c>
      <c r="B708" s="17" t="s">
        <v>5003</v>
      </c>
      <c r="C708" s="17" t="s">
        <v>5004</v>
      </c>
      <c r="D708" s="17" t="s">
        <v>5005</v>
      </c>
      <c r="E708" s="17" t="s">
        <v>5006</v>
      </c>
      <c r="F708" s="17" t="s">
        <v>5007</v>
      </c>
      <c r="G708" s="17" t="s">
        <v>1941</v>
      </c>
      <c r="H708" s="17">
        <v>93305</v>
      </c>
      <c r="I708" t="s">
        <v>1951</v>
      </c>
    </row>
    <row r="709" spans="1:9" x14ac:dyDescent="0.25">
      <c r="A709" s="17" t="s">
        <v>1375</v>
      </c>
      <c r="B709" s="17" t="s">
        <v>5008</v>
      </c>
      <c r="C709" s="22" t="s">
        <v>6197</v>
      </c>
      <c r="D709" s="17" t="s">
        <v>5009</v>
      </c>
      <c r="E709" s="17" t="s">
        <v>5010</v>
      </c>
      <c r="F709" s="17" t="s">
        <v>5011</v>
      </c>
      <c r="G709" s="17" t="s">
        <v>1949</v>
      </c>
      <c r="H709" s="17" t="s">
        <v>3913</v>
      </c>
      <c r="I709" t="s">
        <v>1951</v>
      </c>
    </row>
    <row r="710" spans="1:9" x14ac:dyDescent="0.25">
      <c r="A710" s="17" t="s">
        <v>1377</v>
      </c>
      <c r="B710" s="17" t="s">
        <v>5012</v>
      </c>
      <c r="C710" s="17" t="s">
        <v>5013</v>
      </c>
      <c r="D710" s="17" t="s">
        <v>5014</v>
      </c>
      <c r="E710" s="17" t="s">
        <v>5015</v>
      </c>
      <c r="F710" s="17" t="s">
        <v>2013</v>
      </c>
      <c r="G710" s="17" t="s">
        <v>1941</v>
      </c>
      <c r="H710" s="17">
        <v>63169</v>
      </c>
      <c r="I710" t="s">
        <v>1942</v>
      </c>
    </row>
    <row r="711" spans="1:9" x14ac:dyDescent="0.25">
      <c r="A711" s="17" t="s">
        <v>1379</v>
      </c>
      <c r="B711" s="17" t="s">
        <v>5016</v>
      </c>
      <c r="C711" s="22" t="s">
        <v>6197</v>
      </c>
      <c r="D711" s="17" t="s">
        <v>5017</v>
      </c>
      <c r="E711" s="17" t="s">
        <v>5018</v>
      </c>
      <c r="F711" s="17" t="s">
        <v>2238</v>
      </c>
      <c r="G711" s="17" t="s">
        <v>1941</v>
      </c>
      <c r="H711" s="17">
        <v>46896</v>
      </c>
      <c r="I711" t="s">
        <v>1942</v>
      </c>
    </row>
    <row r="712" spans="1:9" x14ac:dyDescent="0.25">
      <c r="A712" s="17" t="s">
        <v>1381</v>
      </c>
      <c r="B712" s="17" t="s">
        <v>5019</v>
      </c>
      <c r="C712" s="17" t="s">
        <v>5020</v>
      </c>
      <c r="D712" s="17" t="s">
        <v>5021</v>
      </c>
      <c r="E712" s="17" t="s">
        <v>5022</v>
      </c>
      <c r="F712" s="17" t="s">
        <v>5023</v>
      </c>
      <c r="G712" s="17" t="s">
        <v>1941</v>
      </c>
      <c r="H712" s="17">
        <v>55564</v>
      </c>
      <c r="I712" t="s">
        <v>1951</v>
      </c>
    </row>
    <row r="713" spans="1:9" x14ac:dyDescent="0.25">
      <c r="A713" s="17" t="s">
        <v>1383</v>
      </c>
      <c r="B713" s="17" t="s">
        <v>5024</v>
      </c>
      <c r="C713" s="17" t="s">
        <v>5025</v>
      </c>
      <c r="D713" s="17" t="s">
        <v>5026</v>
      </c>
      <c r="E713" s="17" t="s">
        <v>5027</v>
      </c>
      <c r="F713" s="17" t="s">
        <v>5028</v>
      </c>
      <c r="G713" s="17" t="s">
        <v>1941</v>
      </c>
      <c r="H713" s="17">
        <v>72905</v>
      </c>
      <c r="I713" t="s">
        <v>1951</v>
      </c>
    </row>
    <row r="714" spans="1:9" x14ac:dyDescent="0.25">
      <c r="A714" s="17" t="s">
        <v>1385</v>
      </c>
      <c r="B714" s="17" t="s">
        <v>5029</v>
      </c>
      <c r="C714" s="22" t="s">
        <v>6197</v>
      </c>
      <c r="D714" s="17" t="s">
        <v>6197</v>
      </c>
      <c r="E714" s="17" t="s">
        <v>5030</v>
      </c>
      <c r="F714" s="17" t="s">
        <v>3563</v>
      </c>
      <c r="G714" s="17" t="s">
        <v>2116</v>
      </c>
      <c r="H714" s="17" t="s">
        <v>3564</v>
      </c>
      <c r="I714" t="s">
        <v>1951</v>
      </c>
    </row>
    <row r="715" spans="1:9" x14ac:dyDescent="0.25">
      <c r="A715" s="17" t="s">
        <v>1387</v>
      </c>
      <c r="B715" s="17" t="s">
        <v>5031</v>
      </c>
      <c r="C715" s="17" t="s">
        <v>5032</v>
      </c>
      <c r="D715" s="17" t="s">
        <v>5033</v>
      </c>
      <c r="E715" s="17" t="s">
        <v>5034</v>
      </c>
      <c r="F715" s="17" t="s">
        <v>2419</v>
      </c>
      <c r="G715" s="17" t="s">
        <v>1941</v>
      </c>
      <c r="H715" s="17">
        <v>95210</v>
      </c>
      <c r="I715" t="s">
        <v>1951</v>
      </c>
    </row>
    <row r="716" spans="1:9" x14ac:dyDescent="0.25">
      <c r="A716" s="17" t="s">
        <v>1389</v>
      </c>
      <c r="B716" s="17" t="s">
        <v>5035</v>
      </c>
      <c r="C716" s="17" t="s">
        <v>5036</v>
      </c>
      <c r="D716" s="17" t="s">
        <v>5037</v>
      </c>
      <c r="E716" s="17" t="s">
        <v>5038</v>
      </c>
      <c r="F716" s="17" t="s">
        <v>5039</v>
      </c>
      <c r="G716" s="17" t="s">
        <v>1949</v>
      </c>
      <c r="H716" s="17" t="s">
        <v>2536</v>
      </c>
      <c r="I716" t="s">
        <v>1942</v>
      </c>
    </row>
    <row r="717" spans="1:9" x14ac:dyDescent="0.25">
      <c r="A717" s="17" t="s">
        <v>1391</v>
      </c>
      <c r="B717" s="17" t="s">
        <v>5040</v>
      </c>
      <c r="C717" s="17" t="s">
        <v>5041</v>
      </c>
      <c r="D717" s="17" t="s">
        <v>6197</v>
      </c>
      <c r="E717" s="17" t="s">
        <v>5042</v>
      </c>
      <c r="F717" s="17" t="s">
        <v>2220</v>
      </c>
      <c r="G717" s="17" t="s">
        <v>1941</v>
      </c>
      <c r="H717" s="17">
        <v>33686</v>
      </c>
      <c r="I717" t="s">
        <v>1951</v>
      </c>
    </row>
    <row r="718" spans="1:9" x14ac:dyDescent="0.25">
      <c r="A718" s="17" t="s">
        <v>5043</v>
      </c>
      <c r="B718" s="17" t="s">
        <v>5044</v>
      </c>
      <c r="C718" s="17" t="s">
        <v>5045</v>
      </c>
      <c r="D718" s="17" t="s">
        <v>5046</v>
      </c>
      <c r="E718" s="17" t="s">
        <v>5047</v>
      </c>
      <c r="F718" s="17" t="s">
        <v>2725</v>
      </c>
      <c r="G718" s="17" t="s">
        <v>1949</v>
      </c>
      <c r="H718" s="17" t="s">
        <v>2726</v>
      </c>
      <c r="I718" t="s">
        <v>1951</v>
      </c>
    </row>
    <row r="719" spans="1:9" x14ac:dyDescent="0.25">
      <c r="A719" s="17" t="s">
        <v>1394</v>
      </c>
      <c r="B719" s="17" t="s">
        <v>5048</v>
      </c>
      <c r="C719" s="17" t="s">
        <v>5049</v>
      </c>
      <c r="D719" s="17" t="s">
        <v>5050</v>
      </c>
      <c r="E719" s="17" t="s">
        <v>5051</v>
      </c>
      <c r="F719" s="17" t="s">
        <v>2017</v>
      </c>
      <c r="G719" s="17" t="s">
        <v>1941</v>
      </c>
      <c r="H719" s="17">
        <v>19104</v>
      </c>
      <c r="I719" t="s">
        <v>1951</v>
      </c>
    </row>
    <row r="720" spans="1:9" x14ac:dyDescent="0.25">
      <c r="A720" s="17" t="s">
        <v>1396</v>
      </c>
      <c r="B720" s="17" t="s">
        <v>5052</v>
      </c>
      <c r="C720" s="17" t="s">
        <v>5053</v>
      </c>
      <c r="D720" s="17" t="s">
        <v>5054</v>
      </c>
      <c r="E720" s="17" t="s">
        <v>5055</v>
      </c>
      <c r="F720" s="17" t="s">
        <v>4760</v>
      </c>
      <c r="G720" s="17" t="s">
        <v>1941</v>
      </c>
      <c r="H720" s="17">
        <v>76905</v>
      </c>
      <c r="I720" t="s">
        <v>1951</v>
      </c>
    </row>
    <row r="721" spans="1:9" x14ac:dyDescent="0.25">
      <c r="A721" s="17" t="s">
        <v>1398</v>
      </c>
      <c r="B721" s="17" t="s">
        <v>5056</v>
      </c>
      <c r="C721" s="17" t="s">
        <v>5057</v>
      </c>
      <c r="D721" s="17" t="s">
        <v>5058</v>
      </c>
      <c r="E721" s="17" t="s">
        <v>5059</v>
      </c>
      <c r="F721" s="17" t="s">
        <v>1986</v>
      </c>
      <c r="G721" s="17" t="s">
        <v>1941</v>
      </c>
      <c r="H721" s="17">
        <v>90035</v>
      </c>
      <c r="I721" t="s">
        <v>1942</v>
      </c>
    </row>
    <row r="722" spans="1:9" x14ac:dyDescent="0.25">
      <c r="A722" s="17" t="s">
        <v>1400</v>
      </c>
      <c r="B722" s="17" t="s">
        <v>5060</v>
      </c>
      <c r="C722" s="17" t="s">
        <v>5061</v>
      </c>
      <c r="D722" s="17" t="s">
        <v>5062</v>
      </c>
      <c r="E722" s="17" t="s">
        <v>5063</v>
      </c>
      <c r="F722" s="17" t="s">
        <v>2800</v>
      </c>
      <c r="G722" s="17" t="s">
        <v>1941</v>
      </c>
      <c r="H722" s="17">
        <v>48912</v>
      </c>
      <c r="I722" t="s">
        <v>1942</v>
      </c>
    </row>
    <row r="723" spans="1:9" x14ac:dyDescent="0.25">
      <c r="A723" s="17" t="s">
        <v>1402</v>
      </c>
      <c r="B723" s="17" t="s">
        <v>5064</v>
      </c>
      <c r="C723" s="17" t="s">
        <v>5065</v>
      </c>
      <c r="D723" s="17" t="s">
        <v>5066</v>
      </c>
      <c r="E723" s="17" t="s">
        <v>5067</v>
      </c>
      <c r="F723" s="17" t="s">
        <v>2713</v>
      </c>
      <c r="G723" s="17" t="s">
        <v>1941</v>
      </c>
      <c r="H723" s="17">
        <v>34615</v>
      </c>
      <c r="I723" t="s">
        <v>1942</v>
      </c>
    </row>
    <row r="724" spans="1:9" x14ac:dyDescent="0.25">
      <c r="A724" s="17" t="s">
        <v>1404</v>
      </c>
      <c r="B724" s="17" t="s">
        <v>5068</v>
      </c>
      <c r="C724" s="22" t="s">
        <v>6197</v>
      </c>
      <c r="D724" s="17" t="s">
        <v>5069</v>
      </c>
      <c r="E724" s="17" t="s">
        <v>5070</v>
      </c>
      <c r="F724" s="17" t="s">
        <v>2758</v>
      </c>
      <c r="G724" s="17" t="s">
        <v>1941</v>
      </c>
      <c r="H724" s="17">
        <v>90605</v>
      </c>
      <c r="I724" t="s">
        <v>1951</v>
      </c>
    </row>
    <row r="725" spans="1:9" x14ac:dyDescent="0.25">
      <c r="A725" s="17" t="s">
        <v>1406</v>
      </c>
      <c r="B725" s="17" t="s">
        <v>5071</v>
      </c>
      <c r="C725" s="17" t="s">
        <v>5072</v>
      </c>
      <c r="D725" s="17" t="s">
        <v>5073</v>
      </c>
      <c r="E725" s="17" t="s">
        <v>5074</v>
      </c>
      <c r="F725" s="17" t="s">
        <v>2355</v>
      </c>
      <c r="G725" s="17" t="s">
        <v>1941</v>
      </c>
      <c r="H725" s="17">
        <v>93773</v>
      </c>
      <c r="I725" t="s">
        <v>1951</v>
      </c>
    </row>
    <row r="726" spans="1:9" x14ac:dyDescent="0.25">
      <c r="A726" s="17" t="s">
        <v>1408</v>
      </c>
      <c r="B726" s="17" t="s">
        <v>5075</v>
      </c>
      <c r="C726" s="22" t="s">
        <v>6197</v>
      </c>
      <c r="D726" s="17" t="s">
        <v>5076</v>
      </c>
      <c r="E726" s="17" t="s">
        <v>5077</v>
      </c>
      <c r="F726" s="17" t="s">
        <v>2037</v>
      </c>
      <c r="G726" s="17" t="s">
        <v>1941</v>
      </c>
      <c r="H726" s="17">
        <v>10155</v>
      </c>
      <c r="I726" t="s">
        <v>1942</v>
      </c>
    </row>
    <row r="727" spans="1:9" x14ac:dyDescent="0.25">
      <c r="A727" s="17" t="s">
        <v>1410</v>
      </c>
      <c r="B727" s="17" t="s">
        <v>5078</v>
      </c>
      <c r="C727" s="17" t="s">
        <v>5079</v>
      </c>
      <c r="D727" s="17" t="s">
        <v>5080</v>
      </c>
      <c r="E727" s="17" t="s">
        <v>5081</v>
      </c>
      <c r="F727" s="17" t="s">
        <v>2340</v>
      </c>
      <c r="G727" s="17" t="s">
        <v>1941</v>
      </c>
      <c r="H727" s="17">
        <v>80935</v>
      </c>
      <c r="I727" t="s">
        <v>1951</v>
      </c>
    </row>
    <row r="728" spans="1:9" x14ac:dyDescent="0.25">
      <c r="A728" s="17" t="s">
        <v>1412</v>
      </c>
      <c r="B728" s="17" t="s">
        <v>5082</v>
      </c>
      <c r="C728" s="22" t="s">
        <v>6197</v>
      </c>
      <c r="D728" s="17" t="s">
        <v>5083</v>
      </c>
      <c r="E728" s="17" t="s">
        <v>5084</v>
      </c>
      <c r="F728" s="17" t="s">
        <v>5085</v>
      </c>
      <c r="G728" s="17" t="s">
        <v>1941</v>
      </c>
      <c r="H728" s="17">
        <v>90831</v>
      </c>
      <c r="I728" t="s">
        <v>1951</v>
      </c>
    </row>
    <row r="729" spans="1:9" x14ac:dyDescent="0.25">
      <c r="A729" s="17" t="s">
        <v>1414</v>
      </c>
      <c r="B729" s="17" t="s">
        <v>5086</v>
      </c>
      <c r="C729" s="17" t="s">
        <v>5087</v>
      </c>
      <c r="D729" s="17" t="s">
        <v>5088</v>
      </c>
      <c r="E729" s="17" t="s">
        <v>5089</v>
      </c>
      <c r="F729" s="17" t="s">
        <v>5090</v>
      </c>
      <c r="G729" s="17" t="s">
        <v>1949</v>
      </c>
      <c r="H729" s="17" t="s">
        <v>5091</v>
      </c>
      <c r="I729" t="s">
        <v>1942</v>
      </c>
    </row>
    <row r="730" spans="1:9" x14ac:dyDescent="0.25">
      <c r="A730" s="17" t="s">
        <v>1416</v>
      </c>
      <c r="B730" s="17" t="s">
        <v>5092</v>
      </c>
      <c r="C730" s="17" t="s">
        <v>5093</v>
      </c>
      <c r="D730" s="17" t="s">
        <v>5094</v>
      </c>
      <c r="E730" s="17" t="s">
        <v>5095</v>
      </c>
      <c r="F730" s="17" t="s">
        <v>2370</v>
      </c>
      <c r="G730" s="17" t="s">
        <v>1941</v>
      </c>
      <c r="H730" s="17">
        <v>89510</v>
      </c>
      <c r="I730" t="s">
        <v>1942</v>
      </c>
    </row>
    <row r="731" spans="1:9" x14ac:dyDescent="0.25">
      <c r="A731" s="17" t="s">
        <v>1418</v>
      </c>
      <c r="B731" s="17" t="s">
        <v>5096</v>
      </c>
      <c r="C731" s="17" t="s">
        <v>5097</v>
      </c>
      <c r="D731" s="17" t="s">
        <v>5098</v>
      </c>
      <c r="E731" s="17" t="s">
        <v>5099</v>
      </c>
      <c r="F731" s="17" t="s">
        <v>2115</v>
      </c>
      <c r="G731" s="17" t="s">
        <v>2116</v>
      </c>
      <c r="H731" s="17" t="s">
        <v>2117</v>
      </c>
      <c r="I731" t="s">
        <v>1951</v>
      </c>
    </row>
    <row r="732" spans="1:9" x14ac:dyDescent="0.25">
      <c r="A732" s="17" t="s">
        <v>1420</v>
      </c>
      <c r="B732" s="17" t="s">
        <v>5100</v>
      </c>
      <c r="C732" s="17" t="s">
        <v>5101</v>
      </c>
      <c r="D732" s="17" t="s">
        <v>5102</v>
      </c>
      <c r="E732" s="17" t="s">
        <v>5103</v>
      </c>
      <c r="F732" s="17" t="s">
        <v>3370</v>
      </c>
      <c r="G732" s="17" t="s">
        <v>1941</v>
      </c>
      <c r="H732" s="17">
        <v>89155</v>
      </c>
      <c r="I732" t="s">
        <v>1951</v>
      </c>
    </row>
    <row r="733" spans="1:9" x14ac:dyDescent="0.25">
      <c r="A733" s="17" t="s">
        <v>1422</v>
      </c>
      <c r="B733" s="17" t="s">
        <v>5104</v>
      </c>
      <c r="C733" s="22" t="s">
        <v>6197</v>
      </c>
      <c r="D733" s="17" t="s">
        <v>5105</v>
      </c>
      <c r="E733" s="17" t="s">
        <v>5106</v>
      </c>
      <c r="F733" s="17" t="s">
        <v>5107</v>
      </c>
      <c r="G733" s="17" t="s">
        <v>1941</v>
      </c>
      <c r="H733" s="17">
        <v>19805</v>
      </c>
      <c r="I733" t="s">
        <v>1942</v>
      </c>
    </row>
    <row r="734" spans="1:9" x14ac:dyDescent="0.25">
      <c r="A734" s="17" t="s">
        <v>1424</v>
      </c>
      <c r="B734" s="17" t="s">
        <v>5108</v>
      </c>
      <c r="C734" s="17" t="s">
        <v>5109</v>
      </c>
      <c r="D734" s="17" t="s">
        <v>5110</v>
      </c>
      <c r="E734" s="17" t="s">
        <v>5111</v>
      </c>
      <c r="F734" s="17" t="s">
        <v>2370</v>
      </c>
      <c r="G734" s="17" t="s">
        <v>1941</v>
      </c>
      <c r="H734" s="17">
        <v>89550</v>
      </c>
      <c r="I734" t="s">
        <v>1951</v>
      </c>
    </row>
    <row r="735" spans="1:9" x14ac:dyDescent="0.25">
      <c r="A735" s="17" t="s">
        <v>1426</v>
      </c>
      <c r="B735" s="17" t="s">
        <v>5112</v>
      </c>
      <c r="C735" s="17" t="s">
        <v>5113</v>
      </c>
      <c r="D735" s="17" t="s">
        <v>5114</v>
      </c>
      <c r="E735" s="17" t="s">
        <v>5115</v>
      </c>
      <c r="F735" s="17" t="s">
        <v>2439</v>
      </c>
      <c r="G735" s="17" t="s">
        <v>1941</v>
      </c>
      <c r="H735" s="17">
        <v>35487</v>
      </c>
      <c r="I735" t="s">
        <v>1942</v>
      </c>
    </row>
    <row r="736" spans="1:9" x14ac:dyDescent="0.25">
      <c r="A736" s="17" t="s">
        <v>1428</v>
      </c>
      <c r="B736" s="17" t="s">
        <v>5116</v>
      </c>
      <c r="C736" s="22" t="s">
        <v>6197</v>
      </c>
      <c r="D736" s="17" t="s">
        <v>5117</v>
      </c>
      <c r="E736" s="17" t="s">
        <v>5118</v>
      </c>
      <c r="F736" s="17" t="s">
        <v>5119</v>
      </c>
      <c r="G736" s="17" t="s">
        <v>1941</v>
      </c>
      <c r="H736" s="17">
        <v>92645</v>
      </c>
      <c r="I736" t="s">
        <v>1951</v>
      </c>
    </row>
    <row r="737" spans="1:9" x14ac:dyDescent="0.25">
      <c r="A737" s="17" t="s">
        <v>1430</v>
      </c>
      <c r="B737" s="17" t="s">
        <v>5120</v>
      </c>
      <c r="C737" s="17" t="s">
        <v>5121</v>
      </c>
      <c r="D737" s="17" t="s">
        <v>6197</v>
      </c>
      <c r="E737" s="17" t="s">
        <v>5122</v>
      </c>
      <c r="F737" s="17" t="s">
        <v>2988</v>
      </c>
      <c r="G737" s="17" t="s">
        <v>1941</v>
      </c>
      <c r="H737" s="17">
        <v>66225</v>
      </c>
      <c r="I737" t="s">
        <v>1951</v>
      </c>
    </row>
    <row r="738" spans="1:9" x14ac:dyDescent="0.25">
      <c r="A738" s="17" t="s">
        <v>1432</v>
      </c>
      <c r="B738" s="17" t="s">
        <v>5123</v>
      </c>
      <c r="C738" s="17" t="s">
        <v>5124</v>
      </c>
      <c r="D738" s="17" t="s">
        <v>5125</v>
      </c>
      <c r="E738" s="17" t="s">
        <v>5126</v>
      </c>
      <c r="F738" s="17" t="s">
        <v>2600</v>
      </c>
      <c r="G738" s="17" t="s">
        <v>1949</v>
      </c>
      <c r="H738" s="17" t="s">
        <v>2545</v>
      </c>
      <c r="I738" t="s">
        <v>1942</v>
      </c>
    </row>
    <row r="739" spans="1:9" x14ac:dyDescent="0.25">
      <c r="A739" s="17" t="s">
        <v>1434</v>
      </c>
      <c r="B739" s="17" t="s">
        <v>5127</v>
      </c>
      <c r="C739" s="17" t="s">
        <v>5128</v>
      </c>
      <c r="D739" s="17" t="s">
        <v>5129</v>
      </c>
      <c r="E739" s="17" t="s">
        <v>5130</v>
      </c>
      <c r="F739" s="17" t="s">
        <v>3037</v>
      </c>
      <c r="G739" s="17" t="s">
        <v>1941</v>
      </c>
      <c r="H739" s="17">
        <v>45228</v>
      </c>
      <c r="I739" t="s">
        <v>1951</v>
      </c>
    </row>
    <row r="740" spans="1:9" x14ac:dyDescent="0.25">
      <c r="A740" s="17" t="s">
        <v>1436</v>
      </c>
      <c r="B740" s="17" t="s">
        <v>5131</v>
      </c>
      <c r="C740" s="17" t="s">
        <v>5132</v>
      </c>
      <c r="D740" s="17" t="s">
        <v>5133</v>
      </c>
      <c r="E740" s="17" t="s">
        <v>5134</v>
      </c>
      <c r="F740" s="17" t="s">
        <v>2912</v>
      </c>
      <c r="G740" s="17" t="s">
        <v>2116</v>
      </c>
      <c r="H740" s="17" t="s">
        <v>2913</v>
      </c>
      <c r="I740" t="s">
        <v>1951</v>
      </c>
    </row>
    <row r="741" spans="1:9" x14ac:dyDescent="0.25">
      <c r="A741" s="17" t="s">
        <v>5135</v>
      </c>
      <c r="B741" s="17" t="s">
        <v>5136</v>
      </c>
      <c r="C741" s="22" t="s">
        <v>6197</v>
      </c>
      <c r="D741" s="17" t="s">
        <v>5137</v>
      </c>
      <c r="E741" s="17" t="s">
        <v>5138</v>
      </c>
      <c r="F741" s="17" t="s">
        <v>2022</v>
      </c>
      <c r="G741" s="17" t="s">
        <v>1941</v>
      </c>
      <c r="H741" s="17">
        <v>97296</v>
      </c>
      <c r="I741" t="s">
        <v>1942</v>
      </c>
    </row>
    <row r="742" spans="1:9" x14ac:dyDescent="0.25">
      <c r="A742" s="17" t="s">
        <v>1439</v>
      </c>
      <c r="B742" s="17" t="s">
        <v>5139</v>
      </c>
      <c r="C742" s="17" t="s">
        <v>5140</v>
      </c>
      <c r="D742" s="17" t="s">
        <v>5141</v>
      </c>
      <c r="E742" s="17" t="s">
        <v>5142</v>
      </c>
      <c r="F742" s="17" t="s">
        <v>5011</v>
      </c>
      <c r="G742" s="17" t="s">
        <v>1949</v>
      </c>
      <c r="H742" s="17" t="s">
        <v>3913</v>
      </c>
      <c r="I742" t="s">
        <v>1951</v>
      </c>
    </row>
    <row r="743" spans="1:9" x14ac:dyDescent="0.25">
      <c r="A743" s="17" t="s">
        <v>1441</v>
      </c>
      <c r="B743" s="17" t="s">
        <v>5143</v>
      </c>
      <c r="C743" s="17" t="s">
        <v>5144</v>
      </c>
      <c r="D743" s="17" t="s">
        <v>5145</v>
      </c>
      <c r="E743" s="17" t="s">
        <v>5146</v>
      </c>
      <c r="F743" s="17" t="s">
        <v>4811</v>
      </c>
      <c r="G743" s="17" t="s">
        <v>1941</v>
      </c>
      <c r="H743" s="17">
        <v>94089</v>
      </c>
      <c r="I743" t="s">
        <v>1951</v>
      </c>
    </row>
    <row r="744" spans="1:9" x14ac:dyDescent="0.25">
      <c r="A744" s="17" t="s">
        <v>1443</v>
      </c>
      <c r="B744" s="17" t="s">
        <v>5147</v>
      </c>
      <c r="C744" s="17" t="s">
        <v>5148</v>
      </c>
      <c r="D744" s="17" t="s">
        <v>5149</v>
      </c>
      <c r="E744" s="17" t="s">
        <v>5150</v>
      </c>
      <c r="F744" s="17" t="s">
        <v>2845</v>
      </c>
      <c r="G744" s="17" t="s">
        <v>1941</v>
      </c>
      <c r="H744" s="17">
        <v>38188</v>
      </c>
      <c r="I744" t="s">
        <v>1951</v>
      </c>
    </row>
    <row r="745" spans="1:9" x14ac:dyDescent="0.25">
      <c r="A745" s="17" t="s">
        <v>1445</v>
      </c>
      <c r="B745" s="17" t="s">
        <v>5151</v>
      </c>
      <c r="C745" s="17" t="s">
        <v>5152</v>
      </c>
      <c r="D745" s="17" t="s">
        <v>5153</v>
      </c>
      <c r="E745" s="17" t="s">
        <v>5154</v>
      </c>
      <c r="F745" s="17" t="s">
        <v>4401</v>
      </c>
      <c r="G745" s="17" t="s">
        <v>1941</v>
      </c>
      <c r="H745" s="17">
        <v>32868</v>
      </c>
      <c r="I745" t="s">
        <v>1951</v>
      </c>
    </row>
    <row r="746" spans="1:9" x14ac:dyDescent="0.25">
      <c r="A746" s="17" t="s">
        <v>1447</v>
      </c>
      <c r="B746" s="17" t="s">
        <v>5155</v>
      </c>
      <c r="C746" s="22" t="s">
        <v>6197</v>
      </c>
      <c r="D746" s="17" t="s">
        <v>5156</v>
      </c>
      <c r="E746" s="17" t="s">
        <v>5157</v>
      </c>
      <c r="F746" s="17" t="s">
        <v>2821</v>
      </c>
      <c r="G746" s="17" t="s">
        <v>1941</v>
      </c>
      <c r="H746" s="17">
        <v>48232</v>
      </c>
      <c r="I746" t="s">
        <v>1942</v>
      </c>
    </row>
    <row r="747" spans="1:9" x14ac:dyDescent="0.25">
      <c r="A747" s="17" t="s">
        <v>1449</v>
      </c>
      <c r="B747" s="17" t="s">
        <v>5158</v>
      </c>
      <c r="C747" s="17" t="s">
        <v>5159</v>
      </c>
      <c r="D747" s="17" t="s">
        <v>5160</v>
      </c>
      <c r="E747" s="17" t="s">
        <v>5161</v>
      </c>
      <c r="F747" s="17" t="s">
        <v>5162</v>
      </c>
      <c r="G747" s="17" t="s">
        <v>1949</v>
      </c>
      <c r="H747" s="17" t="s">
        <v>5163</v>
      </c>
      <c r="I747" t="s">
        <v>1951</v>
      </c>
    </row>
    <row r="748" spans="1:9" x14ac:dyDescent="0.25">
      <c r="A748" s="17" t="s">
        <v>1451</v>
      </c>
      <c r="B748" s="17" t="s">
        <v>5164</v>
      </c>
      <c r="C748" s="17" t="s">
        <v>5165</v>
      </c>
      <c r="D748" s="17" t="s">
        <v>5166</v>
      </c>
      <c r="E748" s="17" t="s">
        <v>5167</v>
      </c>
      <c r="F748" s="17" t="s">
        <v>5168</v>
      </c>
      <c r="G748" s="17" t="s">
        <v>1949</v>
      </c>
      <c r="H748" s="17" t="s">
        <v>2726</v>
      </c>
      <c r="I748" t="s">
        <v>1951</v>
      </c>
    </row>
    <row r="749" spans="1:9" x14ac:dyDescent="0.25">
      <c r="A749" s="17" t="s">
        <v>1453</v>
      </c>
      <c r="B749" s="17" t="s">
        <v>5169</v>
      </c>
      <c r="C749" s="17" t="s">
        <v>5170</v>
      </c>
      <c r="D749" s="17" t="s">
        <v>5171</v>
      </c>
      <c r="E749" s="17" t="s">
        <v>5172</v>
      </c>
      <c r="F749" s="17" t="s">
        <v>5173</v>
      </c>
      <c r="G749" s="17" t="s">
        <v>1949</v>
      </c>
      <c r="H749" s="17" t="s">
        <v>5174</v>
      </c>
      <c r="I749" t="s">
        <v>1942</v>
      </c>
    </row>
    <row r="750" spans="1:9" x14ac:dyDescent="0.25">
      <c r="A750" s="17" t="s">
        <v>1455</v>
      </c>
      <c r="B750" s="17" t="s">
        <v>5175</v>
      </c>
      <c r="C750" s="17" t="s">
        <v>5176</v>
      </c>
      <c r="D750" s="17" t="s">
        <v>5177</v>
      </c>
      <c r="E750" s="17" t="s">
        <v>5178</v>
      </c>
      <c r="F750" s="17" t="s">
        <v>2004</v>
      </c>
      <c r="G750" s="17" t="s">
        <v>1941</v>
      </c>
      <c r="H750" s="17">
        <v>23203</v>
      </c>
      <c r="I750" t="s">
        <v>1951</v>
      </c>
    </row>
    <row r="751" spans="1:9" x14ac:dyDescent="0.25">
      <c r="A751" s="17" t="s">
        <v>1457</v>
      </c>
      <c r="B751" s="17" t="s">
        <v>5179</v>
      </c>
      <c r="C751" s="17" t="s">
        <v>5180</v>
      </c>
      <c r="D751" s="17" t="s">
        <v>5181</v>
      </c>
      <c r="E751" s="17" t="s">
        <v>5182</v>
      </c>
      <c r="F751" s="17" t="s">
        <v>5183</v>
      </c>
      <c r="G751" s="17" t="s">
        <v>1949</v>
      </c>
      <c r="H751" s="17" t="s">
        <v>2536</v>
      </c>
      <c r="I751" t="s">
        <v>1942</v>
      </c>
    </row>
    <row r="752" spans="1:9" x14ac:dyDescent="0.25">
      <c r="A752" s="17" t="s">
        <v>1459</v>
      </c>
      <c r="B752" s="17" t="s">
        <v>5184</v>
      </c>
      <c r="C752" s="22" t="s">
        <v>6197</v>
      </c>
      <c r="D752" s="17" t="s">
        <v>5185</v>
      </c>
      <c r="E752" s="17" t="s">
        <v>5186</v>
      </c>
      <c r="F752" s="17" t="s">
        <v>2266</v>
      </c>
      <c r="G752" s="17" t="s">
        <v>1941</v>
      </c>
      <c r="H752" s="17">
        <v>76178</v>
      </c>
      <c r="I752" t="s">
        <v>1942</v>
      </c>
    </row>
    <row r="753" spans="1:9" x14ac:dyDescent="0.25">
      <c r="A753" s="17" t="s">
        <v>1461</v>
      </c>
      <c r="B753" s="17" t="s">
        <v>5187</v>
      </c>
      <c r="C753" s="17" t="s">
        <v>5188</v>
      </c>
      <c r="D753" s="17" t="s">
        <v>5189</v>
      </c>
      <c r="E753" s="17" t="s">
        <v>5190</v>
      </c>
      <c r="F753" s="17" t="s">
        <v>2776</v>
      </c>
      <c r="G753" s="17" t="s">
        <v>1941</v>
      </c>
      <c r="H753" s="17">
        <v>11254</v>
      </c>
      <c r="I753" t="s">
        <v>1951</v>
      </c>
    </row>
    <row r="754" spans="1:9" x14ac:dyDescent="0.25">
      <c r="A754" s="17" t="s">
        <v>1463</v>
      </c>
      <c r="B754" s="17" t="s">
        <v>5191</v>
      </c>
      <c r="C754" s="17" t="s">
        <v>5192</v>
      </c>
      <c r="D754" s="17" t="s">
        <v>5193</v>
      </c>
      <c r="E754" s="17" t="s">
        <v>5194</v>
      </c>
      <c r="F754" s="17" t="s">
        <v>2266</v>
      </c>
      <c r="G754" s="17" t="s">
        <v>1941</v>
      </c>
      <c r="H754" s="17">
        <v>76198</v>
      </c>
      <c r="I754" t="s">
        <v>1942</v>
      </c>
    </row>
    <row r="755" spans="1:9" x14ac:dyDescent="0.25">
      <c r="A755" s="17" t="s">
        <v>1465</v>
      </c>
      <c r="B755" s="17" t="s">
        <v>5195</v>
      </c>
      <c r="C755" s="17" t="s">
        <v>5196</v>
      </c>
      <c r="D755" s="17" t="s">
        <v>5197</v>
      </c>
      <c r="E755" s="17" t="s">
        <v>5198</v>
      </c>
      <c r="F755" s="17" t="s">
        <v>3099</v>
      </c>
      <c r="G755" s="17" t="s">
        <v>1941</v>
      </c>
      <c r="H755" s="17">
        <v>85053</v>
      </c>
      <c r="I755" t="s">
        <v>1951</v>
      </c>
    </row>
    <row r="756" spans="1:9" x14ac:dyDescent="0.25">
      <c r="A756" s="17" t="s">
        <v>5199</v>
      </c>
      <c r="B756" s="17" t="s">
        <v>5200</v>
      </c>
      <c r="C756" s="17" t="s">
        <v>5201</v>
      </c>
      <c r="D756" s="17" t="s">
        <v>6197</v>
      </c>
      <c r="E756" s="17" t="s">
        <v>5202</v>
      </c>
      <c r="F756" s="17" t="s">
        <v>2186</v>
      </c>
      <c r="G756" s="17" t="s">
        <v>1941</v>
      </c>
      <c r="H756" s="17">
        <v>20470</v>
      </c>
      <c r="I756" t="s">
        <v>1951</v>
      </c>
    </row>
    <row r="757" spans="1:9" x14ac:dyDescent="0.25">
      <c r="A757" s="17" t="s">
        <v>1468</v>
      </c>
      <c r="B757" s="17" t="s">
        <v>5203</v>
      </c>
      <c r="C757" s="17" t="s">
        <v>5204</v>
      </c>
      <c r="D757" s="17" t="s">
        <v>5205</v>
      </c>
      <c r="E757" s="17" t="s">
        <v>5206</v>
      </c>
      <c r="F757" s="17" t="s">
        <v>2325</v>
      </c>
      <c r="G757" s="17" t="s">
        <v>1941</v>
      </c>
      <c r="H757" s="17">
        <v>75287</v>
      </c>
      <c r="I757" t="s">
        <v>1951</v>
      </c>
    </row>
    <row r="758" spans="1:9" x14ac:dyDescent="0.25">
      <c r="A758" s="17" t="s">
        <v>1470</v>
      </c>
      <c r="B758" s="17" t="s">
        <v>5207</v>
      </c>
      <c r="C758" s="17" t="s">
        <v>5208</v>
      </c>
      <c r="D758" s="17" t="s">
        <v>5209</v>
      </c>
      <c r="E758" s="17" t="s">
        <v>5210</v>
      </c>
      <c r="F758" s="17" t="s">
        <v>3687</v>
      </c>
      <c r="G758" s="17" t="s">
        <v>1941</v>
      </c>
      <c r="H758" s="17">
        <v>28805</v>
      </c>
      <c r="I758" t="s">
        <v>1942</v>
      </c>
    </row>
    <row r="759" spans="1:9" x14ac:dyDescent="0.25">
      <c r="A759" s="17" t="s">
        <v>1472</v>
      </c>
      <c r="B759" s="17" t="s">
        <v>5211</v>
      </c>
      <c r="C759" s="17" t="s">
        <v>5212</v>
      </c>
      <c r="D759" s="17" t="s">
        <v>5213</v>
      </c>
      <c r="E759" s="17" t="s">
        <v>5214</v>
      </c>
      <c r="F759" s="17" t="s">
        <v>5215</v>
      </c>
      <c r="G759" s="17" t="s">
        <v>1941</v>
      </c>
      <c r="H759" s="17">
        <v>59112</v>
      </c>
      <c r="I759" t="s">
        <v>1942</v>
      </c>
    </row>
    <row r="760" spans="1:9" x14ac:dyDescent="0.25">
      <c r="A760" s="17" t="s">
        <v>1474</v>
      </c>
      <c r="B760" s="17" t="s">
        <v>5216</v>
      </c>
      <c r="C760" s="17" t="s">
        <v>5217</v>
      </c>
      <c r="D760" s="17" t="s">
        <v>6197</v>
      </c>
      <c r="E760" s="17" t="s">
        <v>5218</v>
      </c>
      <c r="F760" s="17" t="s">
        <v>2013</v>
      </c>
      <c r="G760" s="17" t="s">
        <v>1941</v>
      </c>
      <c r="H760" s="17">
        <v>63126</v>
      </c>
      <c r="I760" t="s">
        <v>1951</v>
      </c>
    </row>
    <row r="761" spans="1:9" x14ac:dyDescent="0.25">
      <c r="A761" s="17" t="s">
        <v>1476</v>
      </c>
      <c r="B761" s="17" t="s">
        <v>5219</v>
      </c>
      <c r="C761" s="17" t="s">
        <v>5220</v>
      </c>
      <c r="D761" s="17" t="s">
        <v>5221</v>
      </c>
      <c r="E761" s="17" t="s">
        <v>5222</v>
      </c>
      <c r="F761" s="17" t="s">
        <v>5223</v>
      </c>
      <c r="G761" s="17" t="s">
        <v>1941</v>
      </c>
      <c r="H761" s="17">
        <v>64054</v>
      </c>
      <c r="I761" t="s">
        <v>1942</v>
      </c>
    </row>
    <row r="762" spans="1:9" x14ac:dyDescent="0.25">
      <c r="A762" s="17" t="s">
        <v>1478</v>
      </c>
      <c r="B762" s="17" t="s">
        <v>5224</v>
      </c>
      <c r="C762" s="17" t="s">
        <v>5225</v>
      </c>
      <c r="D762" s="17" t="s">
        <v>6197</v>
      </c>
      <c r="E762" s="17" t="s">
        <v>5226</v>
      </c>
      <c r="F762" s="17" t="s">
        <v>2694</v>
      </c>
      <c r="G762" s="17" t="s">
        <v>1941</v>
      </c>
      <c r="H762" s="17">
        <v>27404</v>
      </c>
      <c r="I762" t="s">
        <v>1951</v>
      </c>
    </row>
    <row r="763" spans="1:9" x14ac:dyDescent="0.25">
      <c r="A763" s="17" t="s">
        <v>1480</v>
      </c>
      <c r="B763" s="17" t="s">
        <v>5227</v>
      </c>
      <c r="C763" s="17" t="s">
        <v>5228</v>
      </c>
      <c r="D763" s="17" t="s">
        <v>6197</v>
      </c>
      <c r="E763" s="17" t="s">
        <v>5229</v>
      </c>
      <c r="F763" s="17" t="s">
        <v>5230</v>
      </c>
      <c r="G763" s="17" t="s">
        <v>1941</v>
      </c>
      <c r="H763" s="17">
        <v>71213</v>
      </c>
      <c r="I763" t="s">
        <v>1942</v>
      </c>
    </row>
    <row r="764" spans="1:9" x14ac:dyDescent="0.25">
      <c r="A764" s="17" t="s">
        <v>1482</v>
      </c>
      <c r="B764" s="17" t="s">
        <v>5231</v>
      </c>
      <c r="C764" s="17" t="s">
        <v>5232</v>
      </c>
      <c r="D764" s="17" t="s">
        <v>5233</v>
      </c>
      <c r="E764" s="17" t="s">
        <v>5234</v>
      </c>
      <c r="F764" s="17" t="s">
        <v>4422</v>
      </c>
      <c r="G764" s="17" t="s">
        <v>2116</v>
      </c>
      <c r="H764" s="17" t="s">
        <v>4423</v>
      </c>
      <c r="I764" t="s">
        <v>1951</v>
      </c>
    </row>
    <row r="765" spans="1:9" x14ac:dyDescent="0.25">
      <c r="A765" s="17" t="s">
        <v>1484</v>
      </c>
      <c r="B765" s="17" t="s">
        <v>5235</v>
      </c>
      <c r="C765" s="22" t="s">
        <v>6197</v>
      </c>
      <c r="D765" s="17" t="s">
        <v>5236</v>
      </c>
      <c r="E765" s="17" t="s">
        <v>5237</v>
      </c>
      <c r="F765" s="17" t="s">
        <v>2266</v>
      </c>
      <c r="G765" s="17" t="s">
        <v>1941</v>
      </c>
      <c r="H765" s="17">
        <v>76129</v>
      </c>
      <c r="I765" t="s">
        <v>1951</v>
      </c>
    </row>
    <row r="766" spans="1:9" x14ac:dyDescent="0.25">
      <c r="A766" s="17" t="s">
        <v>1486</v>
      </c>
      <c r="B766" s="17" t="s">
        <v>5238</v>
      </c>
      <c r="C766" s="17" t="s">
        <v>5239</v>
      </c>
      <c r="D766" s="17" t="s">
        <v>5240</v>
      </c>
      <c r="E766" s="17" t="s">
        <v>5241</v>
      </c>
      <c r="F766" s="17" t="s">
        <v>2550</v>
      </c>
      <c r="G766" s="17" t="s">
        <v>1941</v>
      </c>
      <c r="H766" s="17">
        <v>58122</v>
      </c>
      <c r="I766" t="s">
        <v>1942</v>
      </c>
    </row>
    <row r="767" spans="1:9" x14ac:dyDescent="0.25">
      <c r="A767" s="17" t="s">
        <v>1488</v>
      </c>
      <c r="B767" s="17" t="s">
        <v>5242</v>
      </c>
      <c r="C767" s="17" t="s">
        <v>5243</v>
      </c>
      <c r="D767" s="17" t="s">
        <v>5244</v>
      </c>
      <c r="E767" s="17" t="s">
        <v>5245</v>
      </c>
      <c r="F767" s="17" t="s">
        <v>2791</v>
      </c>
      <c r="G767" s="17" t="s">
        <v>1941</v>
      </c>
      <c r="H767" s="17">
        <v>75044</v>
      </c>
      <c r="I767" t="s">
        <v>1942</v>
      </c>
    </row>
    <row r="768" spans="1:9" x14ac:dyDescent="0.25">
      <c r="A768" s="17" t="s">
        <v>5246</v>
      </c>
      <c r="B768" s="17" t="s">
        <v>5247</v>
      </c>
      <c r="C768" s="17" t="s">
        <v>5248</v>
      </c>
      <c r="D768" s="17" t="s">
        <v>5249</v>
      </c>
      <c r="E768" s="17" t="s">
        <v>5250</v>
      </c>
      <c r="F768" s="17" t="s">
        <v>2287</v>
      </c>
      <c r="G768" s="17" t="s">
        <v>1941</v>
      </c>
      <c r="H768" s="17">
        <v>43231</v>
      </c>
      <c r="I768" t="s">
        <v>1951</v>
      </c>
    </row>
    <row r="769" spans="1:9" x14ac:dyDescent="0.25">
      <c r="A769" s="17" t="s">
        <v>5251</v>
      </c>
      <c r="B769" s="17" t="s">
        <v>5252</v>
      </c>
      <c r="C769" s="17" t="s">
        <v>5253</v>
      </c>
      <c r="D769" s="17" t="s">
        <v>5254</v>
      </c>
      <c r="E769" s="17" t="s">
        <v>5255</v>
      </c>
      <c r="F769" s="17" t="s">
        <v>2387</v>
      </c>
      <c r="G769" s="17" t="s">
        <v>1941</v>
      </c>
      <c r="H769" s="17">
        <v>78737</v>
      </c>
      <c r="I769" t="s">
        <v>1951</v>
      </c>
    </row>
    <row r="770" spans="1:9" x14ac:dyDescent="0.25">
      <c r="A770" s="17" t="s">
        <v>5256</v>
      </c>
      <c r="B770" s="17" t="s">
        <v>5257</v>
      </c>
      <c r="C770" s="22" t="s">
        <v>6197</v>
      </c>
      <c r="D770" s="17" t="s">
        <v>5258</v>
      </c>
      <c r="E770" s="17" t="s">
        <v>5259</v>
      </c>
      <c r="F770" s="17" t="s">
        <v>2744</v>
      </c>
      <c r="G770" s="17" t="s">
        <v>1941</v>
      </c>
      <c r="H770" s="17">
        <v>36104</v>
      </c>
      <c r="I770" t="s">
        <v>1942</v>
      </c>
    </row>
    <row r="771" spans="1:9" x14ac:dyDescent="0.25">
      <c r="A771" s="17" t="s">
        <v>1492</v>
      </c>
      <c r="B771" s="17" t="s">
        <v>5260</v>
      </c>
      <c r="C771" s="17" t="s">
        <v>5261</v>
      </c>
      <c r="D771" s="17" t="s">
        <v>5262</v>
      </c>
      <c r="E771" s="17" t="s">
        <v>5263</v>
      </c>
      <c r="F771" s="17" t="s">
        <v>2172</v>
      </c>
      <c r="G771" s="17" t="s">
        <v>2116</v>
      </c>
      <c r="H771" s="17" t="s">
        <v>3927</v>
      </c>
      <c r="I771" t="s">
        <v>1951</v>
      </c>
    </row>
    <row r="772" spans="1:9" x14ac:dyDescent="0.25">
      <c r="A772" s="17" t="s">
        <v>1494</v>
      </c>
      <c r="B772" s="17" t="s">
        <v>5264</v>
      </c>
      <c r="C772" s="17" t="s">
        <v>5265</v>
      </c>
      <c r="D772" s="17" t="s">
        <v>6197</v>
      </c>
      <c r="E772" s="17" t="s">
        <v>5266</v>
      </c>
      <c r="F772" s="17" t="s">
        <v>1962</v>
      </c>
      <c r="G772" s="17" t="s">
        <v>1941</v>
      </c>
      <c r="H772" s="17">
        <v>22156</v>
      </c>
      <c r="I772" t="s">
        <v>1951</v>
      </c>
    </row>
    <row r="773" spans="1:9" x14ac:dyDescent="0.25">
      <c r="A773" s="17" t="s">
        <v>1496</v>
      </c>
      <c r="B773" s="17" t="s">
        <v>5267</v>
      </c>
      <c r="C773" s="17" t="s">
        <v>5268</v>
      </c>
      <c r="D773" s="17" t="s">
        <v>5269</v>
      </c>
      <c r="E773" s="17" t="s">
        <v>5270</v>
      </c>
      <c r="F773" s="17" t="s">
        <v>5271</v>
      </c>
      <c r="G773" s="17" t="s">
        <v>1941</v>
      </c>
      <c r="H773" s="17">
        <v>80126</v>
      </c>
      <c r="I773" t="s">
        <v>1951</v>
      </c>
    </row>
    <row r="774" spans="1:9" x14ac:dyDescent="0.25">
      <c r="A774" s="17" t="s">
        <v>1498</v>
      </c>
      <c r="B774" s="17" t="s">
        <v>5272</v>
      </c>
      <c r="C774" s="22" t="s">
        <v>6197</v>
      </c>
      <c r="D774" s="17" t="s">
        <v>5273</v>
      </c>
      <c r="E774" s="17" t="s">
        <v>5274</v>
      </c>
      <c r="F774" s="17" t="s">
        <v>3316</v>
      </c>
      <c r="G774" s="17" t="s">
        <v>1941</v>
      </c>
      <c r="H774" s="17">
        <v>21275</v>
      </c>
      <c r="I774" t="s">
        <v>1951</v>
      </c>
    </row>
    <row r="775" spans="1:9" x14ac:dyDescent="0.25">
      <c r="A775" s="17" t="s">
        <v>1500</v>
      </c>
      <c r="B775" s="17" t="s">
        <v>5275</v>
      </c>
      <c r="C775" s="17" t="s">
        <v>5276</v>
      </c>
      <c r="D775" s="17" t="s">
        <v>5277</v>
      </c>
      <c r="E775" s="17" t="s">
        <v>5278</v>
      </c>
      <c r="F775" s="17" t="s">
        <v>2314</v>
      </c>
      <c r="G775" s="17" t="s">
        <v>1949</v>
      </c>
      <c r="H775" s="17" t="s">
        <v>2315</v>
      </c>
      <c r="I775" t="s">
        <v>1951</v>
      </c>
    </row>
    <row r="776" spans="1:9" x14ac:dyDescent="0.25">
      <c r="A776" s="17" t="s">
        <v>1502</v>
      </c>
      <c r="B776" s="17" t="s">
        <v>5279</v>
      </c>
      <c r="C776" s="22" t="s">
        <v>6197</v>
      </c>
      <c r="D776" s="17" t="s">
        <v>5280</v>
      </c>
      <c r="E776" s="17" t="s">
        <v>5281</v>
      </c>
      <c r="F776" s="17" t="s">
        <v>2191</v>
      </c>
      <c r="G776" s="17" t="s">
        <v>1941</v>
      </c>
      <c r="H776" s="17">
        <v>33345</v>
      </c>
      <c r="I776" t="s">
        <v>1942</v>
      </c>
    </row>
    <row r="777" spans="1:9" x14ac:dyDescent="0.25">
      <c r="A777" s="17" t="s">
        <v>1504</v>
      </c>
      <c r="B777" s="17" t="s">
        <v>5282</v>
      </c>
      <c r="C777" s="17" t="s">
        <v>5283</v>
      </c>
      <c r="D777" s="17" t="s">
        <v>5284</v>
      </c>
      <c r="E777" s="17" t="s">
        <v>5285</v>
      </c>
      <c r="F777" s="17" t="s">
        <v>3785</v>
      </c>
      <c r="G777" s="17" t="s">
        <v>1941</v>
      </c>
      <c r="H777" s="17">
        <v>92191</v>
      </c>
      <c r="I777" t="s">
        <v>1942</v>
      </c>
    </row>
    <row r="778" spans="1:9" x14ac:dyDescent="0.25">
      <c r="A778" s="17" t="s">
        <v>1506</v>
      </c>
      <c r="B778" s="17" t="s">
        <v>5286</v>
      </c>
      <c r="C778" s="17" t="s">
        <v>5287</v>
      </c>
      <c r="D778" s="17" t="s">
        <v>5288</v>
      </c>
      <c r="E778" s="17" t="s">
        <v>5289</v>
      </c>
      <c r="F778" s="17" t="s">
        <v>2325</v>
      </c>
      <c r="G778" s="17" t="s">
        <v>1941</v>
      </c>
      <c r="H778" s="17">
        <v>75216</v>
      </c>
      <c r="I778" t="s">
        <v>1951</v>
      </c>
    </row>
    <row r="779" spans="1:9" x14ac:dyDescent="0.25">
      <c r="A779" s="17" t="s">
        <v>1508</v>
      </c>
      <c r="B779" s="17" t="s">
        <v>5290</v>
      </c>
      <c r="C779" s="17" t="s">
        <v>5291</v>
      </c>
      <c r="D779" s="17" t="s">
        <v>6197</v>
      </c>
      <c r="E779" s="17" t="s">
        <v>5292</v>
      </c>
      <c r="F779" s="17" t="s">
        <v>3325</v>
      </c>
      <c r="G779" s="17" t="s">
        <v>1941</v>
      </c>
      <c r="H779" s="17">
        <v>60435</v>
      </c>
      <c r="I779" t="s">
        <v>1951</v>
      </c>
    </row>
    <row r="780" spans="1:9" x14ac:dyDescent="0.25">
      <c r="A780" s="17" t="s">
        <v>5293</v>
      </c>
      <c r="B780" s="17" t="s">
        <v>5294</v>
      </c>
      <c r="C780" s="17" t="s">
        <v>5295</v>
      </c>
      <c r="D780" s="17" t="s">
        <v>5296</v>
      </c>
      <c r="E780" s="17" t="s">
        <v>5297</v>
      </c>
      <c r="F780" s="17" t="s">
        <v>2048</v>
      </c>
      <c r="G780" s="17" t="s">
        <v>1941</v>
      </c>
      <c r="H780" s="17">
        <v>49510</v>
      </c>
      <c r="I780" t="s">
        <v>1942</v>
      </c>
    </row>
    <row r="781" spans="1:9" x14ac:dyDescent="0.25">
      <c r="A781" s="17" t="s">
        <v>1512</v>
      </c>
      <c r="B781" s="17" t="s">
        <v>5298</v>
      </c>
      <c r="C781" s="17" t="s">
        <v>5299</v>
      </c>
      <c r="D781" s="17" t="s">
        <v>5300</v>
      </c>
      <c r="E781" s="17" t="s">
        <v>5301</v>
      </c>
      <c r="F781" s="17" t="s">
        <v>2713</v>
      </c>
      <c r="G781" s="17" t="s">
        <v>1941</v>
      </c>
      <c r="H781" s="17">
        <v>34620</v>
      </c>
      <c r="I781" t="s">
        <v>1942</v>
      </c>
    </row>
    <row r="782" spans="1:9" x14ac:dyDescent="0.25">
      <c r="A782" s="17" t="s">
        <v>1514</v>
      </c>
      <c r="B782" s="17" t="s">
        <v>5302</v>
      </c>
      <c r="C782" s="22" t="s">
        <v>6197</v>
      </c>
      <c r="D782" s="17" t="s">
        <v>5303</v>
      </c>
      <c r="E782" s="17" t="s">
        <v>5304</v>
      </c>
      <c r="F782" s="17" t="s">
        <v>2137</v>
      </c>
      <c r="G782" s="17" t="s">
        <v>1941</v>
      </c>
      <c r="H782" s="17">
        <v>55441</v>
      </c>
      <c r="I782" t="s">
        <v>1951</v>
      </c>
    </row>
    <row r="783" spans="1:9" x14ac:dyDescent="0.25">
      <c r="A783" s="17" t="s">
        <v>1516</v>
      </c>
      <c r="B783" s="17" t="s">
        <v>5305</v>
      </c>
      <c r="C783" s="17" t="s">
        <v>5306</v>
      </c>
      <c r="D783" s="17" t="s">
        <v>5307</v>
      </c>
      <c r="E783" s="17" t="s">
        <v>5308</v>
      </c>
      <c r="F783" s="17" t="s">
        <v>3682</v>
      </c>
      <c r="G783" s="17" t="s">
        <v>1941</v>
      </c>
      <c r="H783" s="17">
        <v>30045</v>
      </c>
      <c r="I783" t="s">
        <v>1951</v>
      </c>
    </row>
    <row r="784" spans="1:9" x14ac:dyDescent="0.25">
      <c r="A784" s="17" t="s">
        <v>1518</v>
      </c>
      <c r="B784" s="17" t="s">
        <v>5309</v>
      </c>
      <c r="C784" s="17" t="s">
        <v>5310</v>
      </c>
      <c r="D784" s="17" t="s">
        <v>5311</v>
      </c>
      <c r="E784" s="17" t="s">
        <v>5312</v>
      </c>
      <c r="F784" s="17" t="s">
        <v>5313</v>
      </c>
      <c r="G784" s="17" t="s">
        <v>1949</v>
      </c>
      <c r="H784" s="17" t="s">
        <v>5314</v>
      </c>
      <c r="I784" t="s">
        <v>1951</v>
      </c>
    </row>
    <row r="785" spans="1:9" x14ac:dyDescent="0.25">
      <c r="A785" s="17" t="s">
        <v>1520</v>
      </c>
      <c r="B785" s="17" t="s">
        <v>5315</v>
      </c>
      <c r="C785" s="17" t="s">
        <v>5316</v>
      </c>
      <c r="D785" s="17" t="s">
        <v>5317</v>
      </c>
      <c r="E785" s="17" t="s">
        <v>5318</v>
      </c>
      <c r="F785" s="17" t="s">
        <v>2220</v>
      </c>
      <c r="G785" s="17" t="s">
        <v>1941</v>
      </c>
      <c r="H785" s="17">
        <v>33673</v>
      </c>
      <c r="I785" t="s">
        <v>1942</v>
      </c>
    </row>
    <row r="786" spans="1:9" x14ac:dyDescent="0.25">
      <c r="A786" s="17" t="s">
        <v>1522</v>
      </c>
      <c r="B786" s="17" t="s">
        <v>5319</v>
      </c>
      <c r="C786" s="17" t="s">
        <v>5320</v>
      </c>
      <c r="D786" s="17" t="s">
        <v>6197</v>
      </c>
      <c r="E786" s="17" t="s">
        <v>5321</v>
      </c>
      <c r="F786" s="17" t="s">
        <v>2506</v>
      </c>
      <c r="G786" s="17" t="s">
        <v>1941</v>
      </c>
      <c r="H786" s="17">
        <v>37240</v>
      </c>
      <c r="I786" t="s">
        <v>1951</v>
      </c>
    </row>
    <row r="787" spans="1:9" x14ac:dyDescent="0.25">
      <c r="A787" s="17" t="s">
        <v>1524</v>
      </c>
      <c r="B787" s="17" t="s">
        <v>5322</v>
      </c>
      <c r="C787" s="17" t="s">
        <v>5323</v>
      </c>
      <c r="D787" s="17" t="s">
        <v>5324</v>
      </c>
      <c r="E787" s="17" t="s">
        <v>5325</v>
      </c>
      <c r="F787" s="17" t="s">
        <v>3581</v>
      </c>
      <c r="G787" s="17" t="s">
        <v>1941</v>
      </c>
      <c r="H787" s="17">
        <v>33175</v>
      </c>
      <c r="I787" t="s">
        <v>1951</v>
      </c>
    </row>
    <row r="788" spans="1:9" x14ac:dyDescent="0.25">
      <c r="A788" s="17" t="s">
        <v>1510</v>
      </c>
      <c r="B788" s="17" t="s">
        <v>5326</v>
      </c>
      <c r="C788" s="17" t="s">
        <v>5327</v>
      </c>
      <c r="D788" s="17" t="s">
        <v>5328</v>
      </c>
      <c r="E788" s="17" t="s">
        <v>5329</v>
      </c>
      <c r="F788" s="17" t="s">
        <v>1976</v>
      </c>
      <c r="G788" s="17" t="s">
        <v>1941</v>
      </c>
      <c r="H788" s="17">
        <v>45426</v>
      </c>
      <c r="I788" t="s">
        <v>1942</v>
      </c>
    </row>
    <row r="789" spans="1:9" x14ac:dyDescent="0.25">
      <c r="A789" s="17" t="s">
        <v>1527</v>
      </c>
      <c r="B789" s="17" t="s">
        <v>5330</v>
      </c>
      <c r="C789" s="22" t="s">
        <v>6197</v>
      </c>
      <c r="D789" s="17" t="s">
        <v>5331</v>
      </c>
      <c r="E789" s="17" t="s">
        <v>5332</v>
      </c>
      <c r="F789" s="17" t="s">
        <v>2252</v>
      </c>
      <c r="G789" s="17" t="s">
        <v>1941</v>
      </c>
      <c r="H789" s="17">
        <v>60686</v>
      </c>
      <c r="I789" t="s">
        <v>1942</v>
      </c>
    </row>
    <row r="790" spans="1:9" x14ac:dyDescent="0.25">
      <c r="A790" s="17" t="s">
        <v>1529</v>
      </c>
      <c r="B790" s="17" t="s">
        <v>5333</v>
      </c>
      <c r="C790" s="17" t="s">
        <v>5334</v>
      </c>
      <c r="D790" s="17" t="s">
        <v>5335</v>
      </c>
      <c r="E790" s="17" t="s">
        <v>5336</v>
      </c>
      <c r="F790" s="17" t="s">
        <v>5337</v>
      </c>
      <c r="G790" s="17" t="s">
        <v>1949</v>
      </c>
      <c r="H790" s="17" t="s">
        <v>5338</v>
      </c>
      <c r="I790" t="s">
        <v>1942</v>
      </c>
    </row>
    <row r="791" spans="1:9" x14ac:dyDescent="0.25">
      <c r="A791" s="17" t="s">
        <v>1531</v>
      </c>
      <c r="B791" s="17" t="s">
        <v>5339</v>
      </c>
      <c r="C791" s="17" t="s">
        <v>5340</v>
      </c>
      <c r="D791" s="17" t="s">
        <v>5341</v>
      </c>
      <c r="E791" s="17" t="s">
        <v>5342</v>
      </c>
      <c r="F791" s="17" t="s">
        <v>2004</v>
      </c>
      <c r="G791" s="17" t="s">
        <v>1941</v>
      </c>
      <c r="H791" s="17">
        <v>94807</v>
      </c>
      <c r="I791" t="s">
        <v>1951</v>
      </c>
    </row>
    <row r="792" spans="1:9" x14ac:dyDescent="0.25">
      <c r="A792" s="17" t="s">
        <v>1533</v>
      </c>
      <c r="B792" s="17" t="s">
        <v>5343</v>
      </c>
      <c r="C792" s="17" t="s">
        <v>5344</v>
      </c>
      <c r="D792" s="17" t="s">
        <v>5345</v>
      </c>
      <c r="E792" s="17" t="s">
        <v>5346</v>
      </c>
      <c r="F792" s="17" t="s">
        <v>5347</v>
      </c>
      <c r="G792" s="17" t="s">
        <v>1941</v>
      </c>
      <c r="H792" s="17">
        <v>98506</v>
      </c>
      <c r="I792" t="s">
        <v>1951</v>
      </c>
    </row>
    <row r="793" spans="1:9" x14ac:dyDescent="0.25">
      <c r="A793" s="17" t="s">
        <v>1535</v>
      </c>
      <c r="B793" s="17" t="s">
        <v>5348</v>
      </c>
      <c r="C793" s="17" t="s">
        <v>5349</v>
      </c>
      <c r="D793" s="17" t="s">
        <v>5350</v>
      </c>
      <c r="E793" s="17" t="s">
        <v>5351</v>
      </c>
      <c r="F793" s="17" t="s">
        <v>2668</v>
      </c>
      <c r="G793" s="17" t="s">
        <v>1941</v>
      </c>
      <c r="H793" s="17">
        <v>76011</v>
      </c>
      <c r="I793" t="s">
        <v>1942</v>
      </c>
    </row>
    <row r="794" spans="1:9" x14ac:dyDescent="0.25">
      <c r="A794" s="17" t="s">
        <v>1537</v>
      </c>
      <c r="B794" s="17" t="s">
        <v>5352</v>
      </c>
      <c r="C794" s="17" t="s">
        <v>5353</v>
      </c>
      <c r="D794" s="17" t="s">
        <v>5354</v>
      </c>
      <c r="E794" s="17" t="s">
        <v>5355</v>
      </c>
      <c r="F794" s="17" t="s">
        <v>5356</v>
      </c>
      <c r="G794" s="17" t="s">
        <v>2116</v>
      </c>
      <c r="H794" s="17" t="s">
        <v>5357</v>
      </c>
      <c r="I794" t="s">
        <v>1942</v>
      </c>
    </row>
    <row r="795" spans="1:9" x14ac:dyDescent="0.25">
      <c r="A795" s="17" t="s">
        <v>1539</v>
      </c>
      <c r="B795" s="17" t="s">
        <v>5358</v>
      </c>
      <c r="C795" s="17" t="s">
        <v>5359</v>
      </c>
      <c r="D795" s="17" t="s">
        <v>5360</v>
      </c>
      <c r="E795" s="17" t="s">
        <v>5361</v>
      </c>
      <c r="F795" s="17" t="s">
        <v>2643</v>
      </c>
      <c r="G795" s="17" t="s">
        <v>1941</v>
      </c>
      <c r="H795" s="17">
        <v>24009</v>
      </c>
      <c r="I795" t="s">
        <v>1951</v>
      </c>
    </row>
    <row r="796" spans="1:9" x14ac:dyDescent="0.25">
      <c r="A796" s="17" t="s">
        <v>1541</v>
      </c>
      <c r="B796" s="17" t="s">
        <v>5362</v>
      </c>
      <c r="C796" s="17" t="s">
        <v>5363</v>
      </c>
      <c r="D796" s="17" t="s">
        <v>5364</v>
      </c>
      <c r="E796" s="17" t="s">
        <v>5365</v>
      </c>
      <c r="F796" s="17" t="s">
        <v>5366</v>
      </c>
      <c r="G796" s="17" t="s">
        <v>1941</v>
      </c>
      <c r="H796" s="17">
        <v>11044</v>
      </c>
      <c r="I796" t="s">
        <v>1951</v>
      </c>
    </row>
    <row r="797" spans="1:9" x14ac:dyDescent="0.25">
      <c r="A797" s="17" t="s">
        <v>1543</v>
      </c>
      <c r="B797" s="17" t="s">
        <v>5367</v>
      </c>
      <c r="C797" s="17" t="s">
        <v>5368</v>
      </c>
      <c r="D797" s="17" t="s">
        <v>5369</v>
      </c>
      <c r="E797" s="17" t="s">
        <v>5370</v>
      </c>
      <c r="F797" s="17" t="s">
        <v>3589</v>
      </c>
      <c r="G797" s="17" t="s">
        <v>1941</v>
      </c>
      <c r="H797" s="17">
        <v>92825</v>
      </c>
      <c r="I797" t="s">
        <v>1951</v>
      </c>
    </row>
    <row r="798" spans="1:9" x14ac:dyDescent="0.25">
      <c r="A798" s="17" t="s">
        <v>1545</v>
      </c>
      <c r="B798" s="17" t="s">
        <v>5371</v>
      </c>
      <c r="C798" s="22" t="s">
        <v>6197</v>
      </c>
      <c r="D798" s="17" t="s">
        <v>5372</v>
      </c>
      <c r="E798" s="17" t="s">
        <v>5373</v>
      </c>
      <c r="F798" s="17" t="s">
        <v>3320</v>
      </c>
      <c r="G798" s="17" t="s">
        <v>1941</v>
      </c>
      <c r="H798" s="17">
        <v>40596</v>
      </c>
      <c r="I798" t="s">
        <v>1951</v>
      </c>
    </row>
    <row r="799" spans="1:9" x14ac:dyDescent="0.25">
      <c r="A799" s="17" t="s">
        <v>1547</v>
      </c>
      <c r="B799" s="17" t="s">
        <v>5374</v>
      </c>
      <c r="C799" s="17" t="s">
        <v>5375</v>
      </c>
      <c r="D799" s="17" t="s">
        <v>5376</v>
      </c>
      <c r="E799" s="17" t="s">
        <v>5377</v>
      </c>
      <c r="F799" s="17" t="s">
        <v>2220</v>
      </c>
      <c r="G799" s="17" t="s">
        <v>1941</v>
      </c>
      <c r="H799" s="17">
        <v>33673</v>
      </c>
      <c r="I799" t="s">
        <v>1951</v>
      </c>
    </row>
    <row r="800" spans="1:9" x14ac:dyDescent="0.25">
      <c r="A800" s="17" t="s">
        <v>1549</v>
      </c>
      <c r="B800" s="17" t="s">
        <v>5378</v>
      </c>
      <c r="C800" s="17" t="s">
        <v>5379</v>
      </c>
      <c r="D800" s="17" t="s">
        <v>5380</v>
      </c>
      <c r="E800" s="17" t="s">
        <v>5381</v>
      </c>
      <c r="F800" s="17" t="s">
        <v>1995</v>
      </c>
      <c r="G800" s="17" t="s">
        <v>1941</v>
      </c>
      <c r="H800" s="17">
        <v>95138</v>
      </c>
      <c r="I800" t="s">
        <v>1942</v>
      </c>
    </row>
    <row r="801" spans="1:9" x14ac:dyDescent="0.25">
      <c r="A801" s="17" t="s">
        <v>1551</v>
      </c>
      <c r="B801" s="17" t="s">
        <v>5382</v>
      </c>
      <c r="C801" s="22" t="s">
        <v>6197</v>
      </c>
      <c r="D801" s="17" t="s">
        <v>6197</v>
      </c>
      <c r="E801" s="17" t="s">
        <v>5383</v>
      </c>
      <c r="F801" s="17" t="s">
        <v>2186</v>
      </c>
      <c r="G801" s="17" t="s">
        <v>1941</v>
      </c>
      <c r="H801" s="17">
        <v>20470</v>
      </c>
      <c r="I801" t="s">
        <v>1942</v>
      </c>
    </row>
    <row r="802" spans="1:9" x14ac:dyDescent="0.25">
      <c r="A802" s="17" t="s">
        <v>1553</v>
      </c>
      <c r="B802" s="17" t="s">
        <v>5384</v>
      </c>
      <c r="C802" s="17" t="s">
        <v>5385</v>
      </c>
      <c r="D802" s="17" t="s">
        <v>5386</v>
      </c>
      <c r="E802" s="17" t="s">
        <v>5387</v>
      </c>
      <c r="F802" s="17" t="s">
        <v>4416</v>
      </c>
      <c r="G802" s="17" t="s">
        <v>1949</v>
      </c>
      <c r="H802" s="17" t="s">
        <v>4417</v>
      </c>
      <c r="I802" t="s">
        <v>1951</v>
      </c>
    </row>
    <row r="803" spans="1:9" x14ac:dyDescent="0.25">
      <c r="A803" s="17" t="s">
        <v>1555</v>
      </c>
      <c r="B803" s="17" t="s">
        <v>5388</v>
      </c>
      <c r="C803" s="17" t="s">
        <v>5389</v>
      </c>
      <c r="D803" s="17" t="s">
        <v>5390</v>
      </c>
      <c r="E803" s="17" t="s">
        <v>5391</v>
      </c>
      <c r="F803" s="17" t="s">
        <v>5347</v>
      </c>
      <c r="G803" s="17" t="s">
        <v>1941</v>
      </c>
      <c r="H803" s="17">
        <v>98506</v>
      </c>
      <c r="I803" t="s">
        <v>1942</v>
      </c>
    </row>
    <row r="804" spans="1:9" x14ac:dyDescent="0.25">
      <c r="A804" s="17" t="s">
        <v>1557</v>
      </c>
      <c r="B804" s="17" t="s">
        <v>5392</v>
      </c>
      <c r="C804" s="17" t="s">
        <v>5393</v>
      </c>
      <c r="D804" s="17" t="s">
        <v>5394</v>
      </c>
      <c r="E804" s="17" t="s">
        <v>5395</v>
      </c>
      <c r="F804" s="17" t="s">
        <v>5396</v>
      </c>
      <c r="G804" s="17" t="s">
        <v>1941</v>
      </c>
      <c r="H804" s="17">
        <v>75185</v>
      </c>
      <c r="I804" t="s">
        <v>1951</v>
      </c>
    </row>
    <row r="805" spans="1:9" x14ac:dyDescent="0.25">
      <c r="A805" s="17" t="s">
        <v>1559</v>
      </c>
      <c r="B805" s="17" t="s">
        <v>5397</v>
      </c>
      <c r="C805" s="17" t="s">
        <v>5398</v>
      </c>
      <c r="D805" s="17" t="s">
        <v>6197</v>
      </c>
      <c r="E805" s="17" t="s">
        <v>5399</v>
      </c>
      <c r="F805" s="17" t="s">
        <v>2999</v>
      </c>
      <c r="G805" s="17" t="s">
        <v>1941</v>
      </c>
      <c r="H805" s="17">
        <v>94207</v>
      </c>
      <c r="I805" t="s">
        <v>1951</v>
      </c>
    </row>
    <row r="806" spans="1:9" x14ac:dyDescent="0.25">
      <c r="A806" s="17" t="s">
        <v>1561</v>
      </c>
      <c r="B806" s="17" t="s">
        <v>5400</v>
      </c>
      <c r="C806" s="22" t="s">
        <v>6197</v>
      </c>
      <c r="D806" s="17" t="s">
        <v>5401</v>
      </c>
      <c r="E806" s="17" t="s">
        <v>5402</v>
      </c>
      <c r="F806" s="17" t="s">
        <v>3164</v>
      </c>
      <c r="G806" s="17" t="s">
        <v>2116</v>
      </c>
      <c r="H806" s="17" t="s">
        <v>3165</v>
      </c>
      <c r="I806" t="s">
        <v>1951</v>
      </c>
    </row>
    <row r="807" spans="1:9" x14ac:dyDescent="0.25">
      <c r="A807" s="17" t="s">
        <v>1563</v>
      </c>
      <c r="B807" s="17" t="s">
        <v>5403</v>
      </c>
      <c r="C807" s="22" t="s">
        <v>6197</v>
      </c>
      <c r="D807" s="17" t="s">
        <v>5404</v>
      </c>
      <c r="E807" s="17" t="s">
        <v>5405</v>
      </c>
      <c r="F807" s="17" t="s">
        <v>5406</v>
      </c>
      <c r="G807" s="17" t="s">
        <v>1941</v>
      </c>
      <c r="H807" s="17">
        <v>55590</v>
      </c>
      <c r="I807" t="s">
        <v>1951</v>
      </c>
    </row>
    <row r="808" spans="1:9" x14ac:dyDescent="0.25">
      <c r="A808" s="17" t="s">
        <v>1565</v>
      </c>
      <c r="B808" s="17" t="s">
        <v>5407</v>
      </c>
      <c r="C808" s="22" t="s">
        <v>6197</v>
      </c>
      <c r="D808" s="17" t="s">
        <v>6197</v>
      </c>
      <c r="E808" s="17" t="s">
        <v>5408</v>
      </c>
      <c r="F808" s="17" t="s">
        <v>2199</v>
      </c>
      <c r="G808" s="17" t="s">
        <v>2116</v>
      </c>
      <c r="H808" s="17" t="s">
        <v>2200</v>
      </c>
      <c r="I808" t="s">
        <v>1942</v>
      </c>
    </row>
    <row r="809" spans="1:9" x14ac:dyDescent="0.25">
      <c r="A809" s="17" t="s">
        <v>1567</v>
      </c>
      <c r="B809" s="17" t="s">
        <v>5409</v>
      </c>
      <c r="C809" s="17" t="s">
        <v>5410</v>
      </c>
      <c r="D809" s="17" t="s">
        <v>5411</v>
      </c>
      <c r="E809" s="17" t="s">
        <v>5412</v>
      </c>
      <c r="F809" s="17" t="s">
        <v>3763</v>
      </c>
      <c r="G809" s="17" t="s">
        <v>1949</v>
      </c>
      <c r="H809" s="17" t="s">
        <v>3764</v>
      </c>
      <c r="I809" t="s">
        <v>1951</v>
      </c>
    </row>
    <row r="810" spans="1:9" x14ac:dyDescent="0.25">
      <c r="A810" s="17" t="s">
        <v>5413</v>
      </c>
      <c r="B810" s="17" t="s">
        <v>5414</v>
      </c>
      <c r="C810" s="17" t="s">
        <v>5415</v>
      </c>
      <c r="D810" s="17" t="s">
        <v>5416</v>
      </c>
      <c r="E810" s="17" t="s">
        <v>5417</v>
      </c>
      <c r="F810" s="17" t="s">
        <v>2099</v>
      </c>
      <c r="G810" s="17" t="s">
        <v>1941</v>
      </c>
      <c r="H810" s="17">
        <v>11499</v>
      </c>
      <c r="I810" t="s">
        <v>1942</v>
      </c>
    </row>
    <row r="811" spans="1:9" x14ac:dyDescent="0.25">
      <c r="A811" s="17" t="s">
        <v>1571</v>
      </c>
      <c r="B811" s="17" t="s">
        <v>5418</v>
      </c>
      <c r="C811" s="22" t="s">
        <v>6197</v>
      </c>
      <c r="D811" s="17" t="s">
        <v>5419</v>
      </c>
      <c r="E811" s="17" t="s">
        <v>5420</v>
      </c>
      <c r="F811" s="17" t="s">
        <v>2448</v>
      </c>
      <c r="G811" s="17" t="s">
        <v>1941</v>
      </c>
      <c r="H811" s="17">
        <v>79934</v>
      </c>
      <c r="I811" t="s">
        <v>1942</v>
      </c>
    </row>
    <row r="812" spans="1:9" x14ac:dyDescent="0.25">
      <c r="A812" s="17" t="s">
        <v>1573</v>
      </c>
      <c r="B812" s="17" t="s">
        <v>5421</v>
      </c>
      <c r="C812" s="17" t="s">
        <v>5422</v>
      </c>
      <c r="D812" s="17" t="s">
        <v>5423</v>
      </c>
      <c r="E812" s="17" t="s">
        <v>5424</v>
      </c>
      <c r="F812" s="17" t="s">
        <v>5425</v>
      </c>
      <c r="G812" s="17" t="s">
        <v>1941</v>
      </c>
      <c r="H812" s="17">
        <v>34643</v>
      </c>
      <c r="I812" t="s">
        <v>1951</v>
      </c>
    </row>
    <row r="813" spans="1:9" x14ac:dyDescent="0.25">
      <c r="A813" s="17" t="s">
        <v>1575</v>
      </c>
      <c r="B813" s="17" t="s">
        <v>5426</v>
      </c>
      <c r="C813" s="17" t="s">
        <v>5427</v>
      </c>
      <c r="D813" s="17" t="s">
        <v>5428</v>
      </c>
      <c r="E813" s="17" t="s">
        <v>5429</v>
      </c>
      <c r="F813" s="17" t="s">
        <v>5430</v>
      </c>
      <c r="G813" s="17" t="s">
        <v>1949</v>
      </c>
      <c r="H813" s="17" t="s">
        <v>2083</v>
      </c>
      <c r="I813" t="s">
        <v>1942</v>
      </c>
    </row>
    <row r="814" spans="1:9" x14ac:dyDescent="0.25">
      <c r="A814" s="17" t="s">
        <v>5431</v>
      </c>
      <c r="B814" s="17" t="s">
        <v>5432</v>
      </c>
      <c r="C814" s="17" t="s">
        <v>5433</v>
      </c>
      <c r="D814" s="17" t="s">
        <v>5434</v>
      </c>
      <c r="E814" s="17" t="s">
        <v>5435</v>
      </c>
      <c r="F814" s="17" t="s">
        <v>5436</v>
      </c>
      <c r="G814" s="17" t="s">
        <v>2116</v>
      </c>
      <c r="H814" s="17" t="s">
        <v>5437</v>
      </c>
      <c r="I814" t="s">
        <v>1942</v>
      </c>
    </row>
    <row r="815" spans="1:9" x14ac:dyDescent="0.25">
      <c r="A815" s="17" t="s">
        <v>1577</v>
      </c>
      <c r="B815" s="17" t="s">
        <v>5438</v>
      </c>
      <c r="C815" s="17" t="s">
        <v>5439</v>
      </c>
      <c r="D815" s="17" t="s">
        <v>5440</v>
      </c>
      <c r="E815" s="17" t="s">
        <v>5441</v>
      </c>
      <c r="F815" s="17" t="s">
        <v>2362</v>
      </c>
      <c r="G815" s="17" t="s">
        <v>1941</v>
      </c>
      <c r="H815" s="17">
        <v>73179</v>
      </c>
      <c r="I815" t="s">
        <v>1942</v>
      </c>
    </row>
    <row r="816" spans="1:9" x14ac:dyDescent="0.25">
      <c r="A816" s="17" t="s">
        <v>1579</v>
      </c>
      <c r="B816" s="17" t="s">
        <v>5442</v>
      </c>
      <c r="C816" s="17" t="s">
        <v>5443</v>
      </c>
      <c r="D816" s="17" t="s">
        <v>5444</v>
      </c>
      <c r="E816" s="17" t="s">
        <v>5445</v>
      </c>
      <c r="F816" s="17" t="s">
        <v>2186</v>
      </c>
      <c r="G816" s="17" t="s">
        <v>1941</v>
      </c>
      <c r="H816" s="17">
        <v>20051</v>
      </c>
      <c r="I816" t="s">
        <v>1951</v>
      </c>
    </row>
    <row r="817" spans="1:9" x14ac:dyDescent="0.25">
      <c r="A817" s="17" t="s">
        <v>1581</v>
      </c>
      <c r="B817" s="17" t="s">
        <v>5446</v>
      </c>
      <c r="C817" s="17" t="s">
        <v>5447</v>
      </c>
      <c r="D817" s="17" t="s">
        <v>5448</v>
      </c>
      <c r="E817" s="17" t="s">
        <v>5449</v>
      </c>
      <c r="F817" s="17" t="s">
        <v>3049</v>
      </c>
      <c r="G817" s="17" t="s">
        <v>1941</v>
      </c>
      <c r="H817" s="17">
        <v>30351</v>
      </c>
      <c r="I817" t="s">
        <v>1951</v>
      </c>
    </row>
    <row r="818" spans="1:9" x14ac:dyDescent="0.25">
      <c r="A818" s="17" t="s">
        <v>1583</v>
      </c>
      <c r="B818" s="17" t="s">
        <v>5450</v>
      </c>
      <c r="C818" s="17" t="s">
        <v>5451</v>
      </c>
      <c r="D818" s="17" t="s">
        <v>5452</v>
      </c>
      <c r="E818" s="17" t="s">
        <v>5453</v>
      </c>
      <c r="F818" s="17" t="s">
        <v>2704</v>
      </c>
      <c r="G818" s="17" t="s">
        <v>1949</v>
      </c>
      <c r="H818" s="17" t="s">
        <v>2705</v>
      </c>
      <c r="I818" t="s">
        <v>1951</v>
      </c>
    </row>
    <row r="819" spans="1:9" x14ac:dyDescent="0.25">
      <c r="A819" s="17" t="s">
        <v>1585</v>
      </c>
      <c r="B819" s="17" t="s">
        <v>5454</v>
      </c>
      <c r="C819" s="17" t="s">
        <v>5455</v>
      </c>
      <c r="D819" s="17" t="s">
        <v>6197</v>
      </c>
      <c r="E819" s="17" t="s">
        <v>5456</v>
      </c>
      <c r="F819" s="17" t="s">
        <v>2350</v>
      </c>
      <c r="G819" s="17" t="s">
        <v>1941</v>
      </c>
      <c r="H819" s="17">
        <v>14276</v>
      </c>
      <c r="I819" t="s">
        <v>1951</v>
      </c>
    </row>
    <row r="820" spans="1:9" x14ac:dyDescent="0.25">
      <c r="A820" s="17" t="s">
        <v>1569</v>
      </c>
      <c r="B820" s="17" t="s">
        <v>5457</v>
      </c>
      <c r="C820" s="22" t="s">
        <v>6197</v>
      </c>
      <c r="D820" s="17" t="s">
        <v>5458</v>
      </c>
      <c r="E820" s="17" t="s">
        <v>5459</v>
      </c>
      <c r="F820" s="17" t="s">
        <v>2027</v>
      </c>
      <c r="G820" s="17" t="s">
        <v>1941</v>
      </c>
      <c r="H820" s="17">
        <v>77260</v>
      </c>
      <c r="I820" t="s">
        <v>1951</v>
      </c>
    </row>
    <row r="821" spans="1:9" x14ac:dyDescent="0.25">
      <c r="A821" s="17" t="s">
        <v>1588</v>
      </c>
      <c r="B821" s="17" t="s">
        <v>5460</v>
      </c>
      <c r="C821" s="17" t="s">
        <v>5461</v>
      </c>
      <c r="D821" s="17" t="s">
        <v>5462</v>
      </c>
      <c r="E821" s="17" t="s">
        <v>5463</v>
      </c>
      <c r="F821" s="17" t="s">
        <v>2186</v>
      </c>
      <c r="G821" s="17" t="s">
        <v>1941</v>
      </c>
      <c r="H821" s="17">
        <v>20470</v>
      </c>
      <c r="I821" t="s">
        <v>1942</v>
      </c>
    </row>
    <row r="822" spans="1:9" x14ac:dyDescent="0.25">
      <c r="A822" s="17" t="s">
        <v>1590</v>
      </c>
      <c r="B822" s="17" t="s">
        <v>5464</v>
      </c>
      <c r="C822" s="17" t="s">
        <v>5465</v>
      </c>
      <c r="D822" s="17" t="s">
        <v>5466</v>
      </c>
      <c r="E822" s="17" t="s">
        <v>5467</v>
      </c>
      <c r="F822" s="17" t="s">
        <v>2387</v>
      </c>
      <c r="G822" s="17" t="s">
        <v>1941</v>
      </c>
      <c r="H822" s="17">
        <v>78764</v>
      </c>
      <c r="I822" t="s">
        <v>1942</v>
      </c>
    </row>
    <row r="823" spans="1:9" x14ac:dyDescent="0.25">
      <c r="A823" s="17" t="s">
        <v>1592</v>
      </c>
      <c r="B823" s="17" t="s">
        <v>5468</v>
      </c>
      <c r="C823" s="17" t="s">
        <v>5469</v>
      </c>
      <c r="D823" s="17" t="s">
        <v>5470</v>
      </c>
      <c r="E823" s="17" t="s">
        <v>5471</v>
      </c>
      <c r="F823" s="17" t="s">
        <v>2835</v>
      </c>
      <c r="G823" s="17" t="s">
        <v>1941</v>
      </c>
      <c r="H823" s="17">
        <v>85205</v>
      </c>
      <c r="I823" t="s">
        <v>1951</v>
      </c>
    </row>
    <row r="824" spans="1:9" x14ac:dyDescent="0.25">
      <c r="A824" s="17" t="s">
        <v>1594</v>
      </c>
      <c r="B824" s="17" t="s">
        <v>5472</v>
      </c>
      <c r="C824" s="17" t="s">
        <v>5473</v>
      </c>
      <c r="D824" s="17" t="s">
        <v>5474</v>
      </c>
      <c r="E824" s="17" t="s">
        <v>5475</v>
      </c>
      <c r="F824" s="17" t="s">
        <v>5476</v>
      </c>
      <c r="G824" s="17" t="s">
        <v>1941</v>
      </c>
      <c r="H824" s="17">
        <v>31416</v>
      </c>
      <c r="I824" t="s">
        <v>1951</v>
      </c>
    </row>
    <row r="825" spans="1:9" x14ac:dyDescent="0.25">
      <c r="A825" s="17" t="s">
        <v>1596</v>
      </c>
      <c r="B825" s="17" t="s">
        <v>5477</v>
      </c>
      <c r="C825" s="17" t="s">
        <v>5478</v>
      </c>
      <c r="D825" s="17" t="s">
        <v>5479</v>
      </c>
      <c r="E825" s="17" t="s">
        <v>5480</v>
      </c>
      <c r="F825" s="17" t="s">
        <v>5481</v>
      </c>
      <c r="G825" s="17" t="s">
        <v>1941</v>
      </c>
      <c r="H825" s="17">
        <v>87140</v>
      </c>
      <c r="I825" t="s">
        <v>1942</v>
      </c>
    </row>
    <row r="826" spans="1:9" x14ac:dyDescent="0.25">
      <c r="A826" s="17" t="s">
        <v>1598</v>
      </c>
      <c r="B826" s="17" t="s">
        <v>5482</v>
      </c>
      <c r="C826" s="17" t="s">
        <v>5483</v>
      </c>
      <c r="D826" s="17" t="s">
        <v>6197</v>
      </c>
      <c r="E826" s="17" t="s">
        <v>5484</v>
      </c>
      <c r="F826" s="17" t="s">
        <v>2300</v>
      </c>
      <c r="G826" s="17" t="s">
        <v>1941</v>
      </c>
      <c r="H826" s="17">
        <v>28299</v>
      </c>
      <c r="I826" t="s">
        <v>1942</v>
      </c>
    </row>
    <row r="827" spans="1:9" x14ac:dyDescent="0.25">
      <c r="A827" s="17" t="s">
        <v>5485</v>
      </c>
      <c r="B827" s="17" t="s">
        <v>5486</v>
      </c>
      <c r="C827" s="17" t="s">
        <v>5487</v>
      </c>
      <c r="D827" s="17" t="s">
        <v>5488</v>
      </c>
      <c r="E827" s="17" t="s">
        <v>5489</v>
      </c>
      <c r="F827" s="17" t="s">
        <v>3785</v>
      </c>
      <c r="G827" s="17" t="s">
        <v>1941</v>
      </c>
      <c r="H827" s="17">
        <v>92191</v>
      </c>
      <c r="I827" t="s">
        <v>1942</v>
      </c>
    </row>
    <row r="828" spans="1:9" x14ac:dyDescent="0.25">
      <c r="A828" s="17" t="s">
        <v>1602</v>
      </c>
      <c r="B828" s="17" t="s">
        <v>5490</v>
      </c>
      <c r="C828" s="17" t="s">
        <v>5491</v>
      </c>
      <c r="D828" s="17" t="s">
        <v>5492</v>
      </c>
      <c r="E828" s="17" t="s">
        <v>5493</v>
      </c>
      <c r="F828" s="17" t="s">
        <v>2225</v>
      </c>
      <c r="G828" s="17" t="s">
        <v>1941</v>
      </c>
      <c r="H828" s="17">
        <v>32575</v>
      </c>
      <c r="I828" t="s">
        <v>1942</v>
      </c>
    </row>
    <row r="829" spans="1:9" x14ac:dyDescent="0.25">
      <c r="A829" s="17" t="s">
        <v>1604</v>
      </c>
      <c r="B829" s="17" t="s">
        <v>5494</v>
      </c>
      <c r="C829" s="17" t="s">
        <v>5495</v>
      </c>
      <c r="D829" s="17" t="s">
        <v>5496</v>
      </c>
      <c r="E829" s="17" t="s">
        <v>5497</v>
      </c>
      <c r="F829" s="17" t="s">
        <v>2186</v>
      </c>
      <c r="G829" s="17" t="s">
        <v>1941</v>
      </c>
      <c r="H829" s="17">
        <v>20470</v>
      </c>
      <c r="I829" t="s">
        <v>1951</v>
      </c>
    </row>
    <row r="830" spans="1:9" x14ac:dyDescent="0.25">
      <c r="A830" s="17" t="s">
        <v>1606</v>
      </c>
      <c r="B830" s="17" t="s">
        <v>5498</v>
      </c>
      <c r="C830" s="17" t="s">
        <v>5499</v>
      </c>
      <c r="D830" s="17" t="s">
        <v>5500</v>
      </c>
      <c r="E830" s="17" t="s">
        <v>5501</v>
      </c>
      <c r="F830" s="17" t="s">
        <v>5502</v>
      </c>
      <c r="G830" s="17" t="s">
        <v>1941</v>
      </c>
      <c r="H830" s="17">
        <v>34985</v>
      </c>
      <c r="I830" t="s">
        <v>1942</v>
      </c>
    </row>
    <row r="831" spans="1:9" x14ac:dyDescent="0.25">
      <c r="A831" s="17" t="s">
        <v>1608</v>
      </c>
      <c r="B831" s="17" t="s">
        <v>5503</v>
      </c>
      <c r="C831" s="17" t="s">
        <v>5504</v>
      </c>
      <c r="D831" s="17" t="s">
        <v>5505</v>
      </c>
      <c r="E831" s="17" t="s">
        <v>5506</v>
      </c>
      <c r="F831" s="17" t="s">
        <v>2481</v>
      </c>
      <c r="G831" s="17" t="s">
        <v>1941</v>
      </c>
      <c r="H831" s="17">
        <v>25705</v>
      </c>
      <c r="I831" t="s">
        <v>1951</v>
      </c>
    </row>
    <row r="832" spans="1:9" x14ac:dyDescent="0.25">
      <c r="A832" s="17" t="s">
        <v>1610</v>
      </c>
      <c r="B832" s="17" t="s">
        <v>5507</v>
      </c>
      <c r="C832" s="17" t="s">
        <v>5508</v>
      </c>
      <c r="D832" s="17" t="s">
        <v>5509</v>
      </c>
      <c r="E832" s="17" t="s">
        <v>5510</v>
      </c>
      <c r="F832" s="17" t="s">
        <v>2017</v>
      </c>
      <c r="G832" s="17" t="s">
        <v>1941</v>
      </c>
      <c r="H832" s="17">
        <v>19172</v>
      </c>
      <c r="I832" t="s">
        <v>1951</v>
      </c>
    </row>
    <row r="833" spans="1:9" x14ac:dyDescent="0.25">
      <c r="A833" s="17" t="s">
        <v>1600</v>
      </c>
      <c r="B833" s="17" t="s">
        <v>5511</v>
      </c>
      <c r="C833" s="17" t="s">
        <v>5512</v>
      </c>
      <c r="D833" s="17" t="s">
        <v>5513</v>
      </c>
      <c r="E833" s="17" t="s">
        <v>5514</v>
      </c>
      <c r="F833" s="17" t="s">
        <v>2362</v>
      </c>
      <c r="G833" s="17" t="s">
        <v>1941</v>
      </c>
      <c r="H833" s="17">
        <v>73167</v>
      </c>
      <c r="I833" t="s">
        <v>1942</v>
      </c>
    </row>
    <row r="834" spans="1:9" x14ac:dyDescent="0.25">
      <c r="A834" s="17" t="s">
        <v>1612</v>
      </c>
      <c r="B834" s="17" t="s">
        <v>5515</v>
      </c>
      <c r="C834" s="17" t="s">
        <v>5516</v>
      </c>
      <c r="D834" s="17" t="s">
        <v>5517</v>
      </c>
      <c r="E834" s="17" t="s">
        <v>5518</v>
      </c>
      <c r="F834" s="17" t="s">
        <v>2247</v>
      </c>
      <c r="G834" s="17" t="s">
        <v>1941</v>
      </c>
      <c r="H834" s="17">
        <v>34114</v>
      </c>
      <c r="I834" t="s">
        <v>1951</v>
      </c>
    </row>
    <row r="835" spans="1:9" x14ac:dyDescent="0.25">
      <c r="A835" s="17" t="s">
        <v>1614</v>
      </c>
      <c r="B835" s="17" t="s">
        <v>5519</v>
      </c>
      <c r="C835" s="17" t="s">
        <v>5520</v>
      </c>
      <c r="D835" s="17" t="s">
        <v>5521</v>
      </c>
      <c r="E835" s="17" t="s">
        <v>5522</v>
      </c>
      <c r="F835" s="17" t="s">
        <v>2266</v>
      </c>
      <c r="G835" s="17" t="s">
        <v>1941</v>
      </c>
      <c r="H835" s="17">
        <v>76105</v>
      </c>
      <c r="I835" t="s">
        <v>1942</v>
      </c>
    </row>
    <row r="836" spans="1:9" x14ac:dyDescent="0.25">
      <c r="A836" s="17" t="s">
        <v>1616</v>
      </c>
      <c r="B836" s="17" t="s">
        <v>5523</v>
      </c>
      <c r="C836" s="17" t="s">
        <v>5524</v>
      </c>
      <c r="D836" s="17" t="s">
        <v>5525</v>
      </c>
      <c r="E836" s="17" t="s">
        <v>5526</v>
      </c>
      <c r="F836" s="17" t="s">
        <v>5527</v>
      </c>
      <c r="G836" s="17" t="s">
        <v>1941</v>
      </c>
      <c r="H836" s="17">
        <v>68117</v>
      </c>
      <c r="I836" t="s">
        <v>1951</v>
      </c>
    </row>
    <row r="837" spans="1:9" x14ac:dyDescent="0.25">
      <c r="A837" s="17" t="s">
        <v>1618</v>
      </c>
      <c r="B837" s="17" t="s">
        <v>5528</v>
      </c>
      <c r="C837" s="17" t="s">
        <v>5529</v>
      </c>
      <c r="D837" s="17" t="s">
        <v>6197</v>
      </c>
      <c r="E837" s="17" t="s">
        <v>5530</v>
      </c>
      <c r="F837" s="17" t="s">
        <v>2140</v>
      </c>
      <c r="G837" s="17" t="s">
        <v>1941</v>
      </c>
      <c r="H837" s="17">
        <v>85732</v>
      </c>
      <c r="I837" t="s">
        <v>1942</v>
      </c>
    </row>
    <row r="838" spans="1:9" x14ac:dyDescent="0.25">
      <c r="A838" s="17" t="s">
        <v>1620</v>
      </c>
      <c r="B838" s="17" t="s">
        <v>5531</v>
      </c>
      <c r="C838" s="17" t="s">
        <v>5532</v>
      </c>
      <c r="D838" s="17" t="s">
        <v>5533</v>
      </c>
      <c r="E838" s="17" t="s">
        <v>5534</v>
      </c>
      <c r="F838" s="17" t="s">
        <v>2748</v>
      </c>
      <c r="G838" s="17" t="s">
        <v>1941</v>
      </c>
      <c r="H838" s="17">
        <v>89436</v>
      </c>
      <c r="I838" t="s">
        <v>1951</v>
      </c>
    </row>
    <row r="839" spans="1:9" x14ac:dyDescent="0.25">
      <c r="A839" s="17" t="s">
        <v>5535</v>
      </c>
      <c r="B839" s="17" t="s">
        <v>5536</v>
      </c>
      <c r="C839" s="17" t="s">
        <v>5537</v>
      </c>
      <c r="D839" s="17" t="s">
        <v>5538</v>
      </c>
      <c r="E839" s="17" t="s">
        <v>5539</v>
      </c>
      <c r="F839" s="17" t="s">
        <v>4401</v>
      </c>
      <c r="G839" s="17" t="s">
        <v>1941</v>
      </c>
      <c r="H839" s="17">
        <v>32835</v>
      </c>
      <c r="I839" t="s">
        <v>1942</v>
      </c>
    </row>
    <row r="840" spans="1:9" x14ac:dyDescent="0.25">
      <c r="A840" s="17" t="s">
        <v>1623</v>
      </c>
      <c r="B840" s="17" t="s">
        <v>5540</v>
      </c>
      <c r="C840" s="17" t="s">
        <v>5541</v>
      </c>
      <c r="D840" s="17" t="s">
        <v>5542</v>
      </c>
      <c r="E840" s="17" t="s">
        <v>5543</v>
      </c>
      <c r="F840" s="17" t="s">
        <v>2186</v>
      </c>
      <c r="G840" s="17" t="s">
        <v>1941</v>
      </c>
      <c r="H840" s="17">
        <v>20067</v>
      </c>
      <c r="I840" t="s">
        <v>1951</v>
      </c>
    </row>
    <row r="841" spans="1:9" x14ac:dyDescent="0.25">
      <c r="A841" s="17" t="s">
        <v>1625</v>
      </c>
      <c r="B841" s="17" t="s">
        <v>5544</v>
      </c>
      <c r="C841" s="17" t="s">
        <v>5545</v>
      </c>
      <c r="D841" s="17" t="s">
        <v>5546</v>
      </c>
      <c r="E841" s="17" t="s">
        <v>5547</v>
      </c>
      <c r="F841" s="17" t="s">
        <v>5548</v>
      </c>
      <c r="G841" s="17" t="s">
        <v>1941</v>
      </c>
      <c r="H841" s="17">
        <v>93907</v>
      </c>
      <c r="I841" t="s">
        <v>1951</v>
      </c>
    </row>
    <row r="842" spans="1:9" x14ac:dyDescent="0.25">
      <c r="A842" s="17" t="s">
        <v>1627</v>
      </c>
      <c r="B842" s="17" t="s">
        <v>5549</v>
      </c>
      <c r="C842" s="17" t="s">
        <v>5550</v>
      </c>
      <c r="D842" s="17" t="s">
        <v>5551</v>
      </c>
      <c r="E842" s="17" t="s">
        <v>5552</v>
      </c>
      <c r="F842" s="17" t="s">
        <v>2191</v>
      </c>
      <c r="G842" s="17" t="s">
        <v>1941</v>
      </c>
      <c r="H842" s="17">
        <v>33345</v>
      </c>
      <c r="I842" t="s">
        <v>1942</v>
      </c>
    </row>
    <row r="843" spans="1:9" x14ac:dyDescent="0.25">
      <c r="A843" s="17" t="s">
        <v>1629</v>
      </c>
      <c r="B843" s="17" t="s">
        <v>5553</v>
      </c>
      <c r="C843" s="17" t="s">
        <v>5554</v>
      </c>
      <c r="D843" s="17" t="s">
        <v>6197</v>
      </c>
      <c r="E843" s="17" t="s">
        <v>5555</v>
      </c>
      <c r="F843" s="17" t="s">
        <v>2448</v>
      </c>
      <c r="G843" s="17" t="s">
        <v>1941</v>
      </c>
      <c r="H843" s="17">
        <v>88553</v>
      </c>
      <c r="I843" t="s">
        <v>1951</v>
      </c>
    </row>
    <row r="844" spans="1:9" x14ac:dyDescent="0.25">
      <c r="A844" s="17" t="s">
        <v>5556</v>
      </c>
      <c r="B844" s="17" t="s">
        <v>5557</v>
      </c>
      <c r="C844" s="17" t="s">
        <v>5558</v>
      </c>
      <c r="D844" s="17" t="s">
        <v>6197</v>
      </c>
      <c r="E844" s="17" t="s">
        <v>5559</v>
      </c>
      <c r="F844" s="17" t="s">
        <v>5560</v>
      </c>
      <c r="G844" s="17" t="s">
        <v>1941</v>
      </c>
      <c r="H844" s="17">
        <v>91210</v>
      </c>
      <c r="I844" t="s">
        <v>1942</v>
      </c>
    </row>
    <row r="845" spans="1:9" x14ac:dyDescent="0.25">
      <c r="A845" s="17" t="s">
        <v>1632</v>
      </c>
      <c r="B845" s="17" t="s">
        <v>5561</v>
      </c>
      <c r="C845" s="17" t="s">
        <v>5562</v>
      </c>
      <c r="D845" s="17" t="s">
        <v>5563</v>
      </c>
      <c r="E845" s="17" t="s">
        <v>5564</v>
      </c>
      <c r="F845" s="17" t="s">
        <v>2699</v>
      </c>
      <c r="G845" s="17" t="s">
        <v>1941</v>
      </c>
      <c r="H845" s="17">
        <v>22313</v>
      </c>
      <c r="I845" t="s">
        <v>1942</v>
      </c>
    </row>
    <row r="846" spans="1:9" x14ac:dyDescent="0.25">
      <c r="A846" s="17" t="s">
        <v>1634</v>
      </c>
      <c r="B846" s="17" t="s">
        <v>5565</v>
      </c>
      <c r="C846" s="17" t="s">
        <v>5566</v>
      </c>
      <c r="D846" s="17" t="s">
        <v>5567</v>
      </c>
      <c r="E846" s="17" t="s">
        <v>5568</v>
      </c>
      <c r="F846" s="17" t="s">
        <v>3316</v>
      </c>
      <c r="G846" s="17" t="s">
        <v>1941</v>
      </c>
      <c r="H846" s="17">
        <v>21290</v>
      </c>
      <c r="I846" t="s">
        <v>1942</v>
      </c>
    </row>
    <row r="847" spans="1:9" x14ac:dyDescent="0.25">
      <c r="A847" s="17" t="s">
        <v>1636</v>
      </c>
      <c r="B847" s="17" t="s">
        <v>5569</v>
      </c>
      <c r="C847" s="17" t="s">
        <v>5570</v>
      </c>
      <c r="D847" s="17" t="s">
        <v>6197</v>
      </c>
      <c r="E847" s="17" t="s">
        <v>5571</v>
      </c>
      <c r="F847" s="17" t="s">
        <v>2555</v>
      </c>
      <c r="G847" s="17" t="s">
        <v>1941</v>
      </c>
      <c r="H847" s="17">
        <v>47732</v>
      </c>
      <c r="I847" t="s">
        <v>1951</v>
      </c>
    </row>
    <row r="848" spans="1:9" x14ac:dyDescent="0.25">
      <c r="A848" s="17" t="s">
        <v>1638</v>
      </c>
      <c r="B848" s="17" t="s">
        <v>5572</v>
      </c>
      <c r="C848" s="22" t="s">
        <v>6197</v>
      </c>
      <c r="D848" s="17" t="s">
        <v>5573</v>
      </c>
      <c r="E848" s="17" t="s">
        <v>5574</v>
      </c>
      <c r="F848" s="17" t="s">
        <v>3682</v>
      </c>
      <c r="G848" s="17" t="s">
        <v>1941</v>
      </c>
      <c r="H848" s="17">
        <v>30045</v>
      </c>
      <c r="I848" t="s">
        <v>1942</v>
      </c>
    </row>
    <row r="849" spans="1:9" x14ac:dyDescent="0.25">
      <c r="A849" s="17" t="s">
        <v>1640</v>
      </c>
      <c r="B849" s="17" t="s">
        <v>5575</v>
      </c>
      <c r="C849" s="17" t="s">
        <v>5576</v>
      </c>
      <c r="D849" s="17" t="s">
        <v>6197</v>
      </c>
      <c r="E849" s="17" t="s">
        <v>5577</v>
      </c>
      <c r="F849" s="17" t="s">
        <v>5578</v>
      </c>
      <c r="G849" s="17" t="s">
        <v>1941</v>
      </c>
      <c r="H849" s="17">
        <v>36670</v>
      </c>
      <c r="I849" t="s">
        <v>1942</v>
      </c>
    </row>
    <row r="850" spans="1:9" x14ac:dyDescent="0.25">
      <c r="A850" s="17" t="s">
        <v>1642</v>
      </c>
      <c r="B850" s="17" t="s">
        <v>5579</v>
      </c>
      <c r="C850" s="22" t="s">
        <v>6197</v>
      </c>
      <c r="D850" s="17" t="s">
        <v>5580</v>
      </c>
      <c r="E850" s="17" t="s">
        <v>5581</v>
      </c>
      <c r="F850" s="17" t="s">
        <v>2320</v>
      </c>
      <c r="G850" s="17" t="s">
        <v>1941</v>
      </c>
      <c r="H850" s="17">
        <v>79705</v>
      </c>
      <c r="I850" t="s">
        <v>1951</v>
      </c>
    </row>
    <row r="851" spans="1:9" x14ac:dyDescent="0.25">
      <c r="A851" s="17" t="s">
        <v>1644</v>
      </c>
      <c r="B851" s="17" t="s">
        <v>5582</v>
      </c>
      <c r="C851" s="17" t="s">
        <v>5583</v>
      </c>
      <c r="D851" s="17" t="s">
        <v>5584</v>
      </c>
      <c r="E851" s="17" t="s">
        <v>5585</v>
      </c>
      <c r="F851" s="17" t="s">
        <v>5586</v>
      </c>
      <c r="G851" s="17" t="s">
        <v>1941</v>
      </c>
      <c r="H851" s="17">
        <v>33023</v>
      </c>
      <c r="I851" t="s">
        <v>1942</v>
      </c>
    </row>
    <row r="852" spans="1:9" x14ac:dyDescent="0.25">
      <c r="A852" s="17" t="s">
        <v>5587</v>
      </c>
      <c r="B852" s="17" t="s">
        <v>5588</v>
      </c>
      <c r="C852" s="17" t="s">
        <v>5589</v>
      </c>
      <c r="D852" s="17" t="s">
        <v>5590</v>
      </c>
      <c r="E852" s="17" t="s">
        <v>5591</v>
      </c>
      <c r="F852" s="17" t="s">
        <v>3510</v>
      </c>
      <c r="G852" s="17" t="s">
        <v>1941</v>
      </c>
      <c r="H852" s="17">
        <v>66611</v>
      </c>
      <c r="I852" t="s">
        <v>1942</v>
      </c>
    </row>
    <row r="853" spans="1:9" x14ac:dyDescent="0.25">
      <c r="A853" s="17" t="s">
        <v>1646</v>
      </c>
      <c r="B853" s="17" t="s">
        <v>5592</v>
      </c>
      <c r="C853" s="17" t="s">
        <v>5593</v>
      </c>
      <c r="D853" s="17" t="s">
        <v>5594</v>
      </c>
      <c r="E853" s="17" t="s">
        <v>5595</v>
      </c>
      <c r="F853" s="17" t="s">
        <v>3755</v>
      </c>
      <c r="G853" s="17" t="s">
        <v>1941</v>
      </c>
      <c r="H853" s="17">
        <v>95973</v>
      </c>
      <c r="I853" t="s">
        <v>1942</v>
      </c>
    </row>
    <row r="854" spans="1:9" x14ac:dyDescent="0.25">
      <c r="A854" s="17" t="s">
        <v>1648</v>
      </c>
      <c r="B854" s="17" t="s">
        <v>5596</v>
      </c>
      <c r="C854" s="17" t="s">
        <v>5597</v>
      </c>
      <c r="D854" s="17" t="s">
        <v>6197</v>
      </c>
      <c r="E854" s="17" t="s">
        <v>5598</v>
      </c>
      <c r="F854" s="17" t="s">
        <v>2387</v>
      </c>
      <c r="G854" s="17" t="s">
        <v>1941</v>
      </c>
      <c r="H854" s="17">
        <v>78737</v>
      </c>
      <c r="I854" t="s">
        <v>1942</v>
      </c>
    </row>
    <row r="855" spans="1:9" x14ac:dyDescent="0.25">
      <c r="A855" s="17" t="s">
        <v>1650</v>
      </c>
      <c r="B855" s="17" t="s">
        <v>5599</v>
      </c>
      <c r="C855" s="17" t="s">
        <v>5600</v>
      </c>
      <c r="D855" s="17" t="s">
        <v>6197</v>
      </c>
      <c r="E855" s="17" t="s">
        <v>5601</v>
      </c>
      <c r="F855" s="17" t="s">
        <v>2448</v>
      </c>
      <c r="G855" s="17" t="s">
        <v>1941</v>
      </c>
      <c r="H855" s="17">
        <v>88546</v>
      </c>
      <c r="I855" t="s">
        <v>1951</v>
      </c>
    </row>
    <row r="856" spans="1:9" x14ac:dyDescent="0.25">
      <c r="A856" s="17" t="s">
        <v>1652</v>
      </c>
      <c r="B856" s="17" t="s">
        <v>5602</v>
      </c>
      <c r="C856" s="17" t="s">
        <v>5603</v>
      </c>
      <c r="D856" s="17" t="s">
        <v>5604</v>
      </c>
      <c r="E856" s="17" t="s">
        <v>5605</v>
      </c>
      <c r="F856" s="17" t="s">
        <v>2122</v>
      </c>
      <c r="G856" s="17" t="s">
        <v>1941</v>
      </c>
      <c r="H856" s="17">
        <v>25326</v>
      </c>
      <c r="I856" t="s">
        <v>1942</v>
      </c>
    </row>
    <row r="857" spans="1:9" x14ac:dyDescent="0.25">
      <c r="A857" s="17" t="s">
        <v>1654</v>
      </c>
      <c r="B857" s="17" t="s">
        <v>5606</v>
      </c>
      <c r="C857" s="17" t="s">
        <v>5607</v>
      </c>
      <c r="D857" s="17" t="s">
        <v>5608</v>
      </c>
      <c r="E857" s="17" t="s">
        <v>5609</v>
      </c>
      <c r="F857" s="17" t="s">
        <v>4886</v>
      </c>
      <c r="G857" s="17" t="s">
        <v>1941</v>
      </c>
      <c r="H857" s="17">
        <v>18105</v>
      </c>
      <c r="I857" t="s">
        <v>1951</v>
      </c>
    </row>
    <row r="858" spans="1:9" x14ac:dyDescent="0.25">
      <c r="A858" s="17" t="s">
        <v>5610</v>
      </c>
      <c r="B858" s="17" t="s">
        <v>5611</v>
      </c>
      <c r="C858" s="17" t="s">
        <v>5612</v>
      </c>
      <c r="D858" s="17" t="s">
        <v>5613</v>
      </c>
      <c r="E858" s="17" t="s">
        <v>5614</v>
      </c>
      <c r="F858" s="17" t="s">
        <v>4485</v>
      </c>
      <c r="G858" s="17" t="s">
        <v>2116</v>
      </c>
      <c r="H858" s="17" t="s">
        <v>5615</v>
      </c>
      <c r="I858" t="s">
        <v>1942</v>
      </c>
    </row>
    <row r="859" spans="1:9" x14ac:dyDescent="0.25">
      <c r="A859" s="17" t="s">
        <v>1657</v>
      </c>
      <c r="B859" s="17" t="s">
        <v>5616</v>
      </c>
      <c r="C859" s="17" t="s">
        <v>5617</v>
      </c>
      <c r="D859" s="17" t="s">
        <v>5618</v>
      </c>
      <c r="E859" s="17" t="s">
        <v>5619</v>
      </c>
      <c r="F859" s="17" t="s">
        <v>5425</v>
      </c>
      <c r="G859" s="17" t="s">
        <v>1941</v>
      </c>
      <c r="H859" s="17">
        <v>34643</v>
      </c>
      <c r="I859" t="s">
        <v>1951</v>
      </c>
    </row>
    <row r="860" spans="1:9" x14ac:dyDescent="0.25">
      <c r="A860" s="17" t="s">
        <v>1659</v>
      </c>
      <c r="B860" s="17" t="s">
        <v>5620</v>
      </c>
      <c r="C860" s="17" t="s">
        <v>5621</v>
      </c>
      <c r="D860" s="17" t="s">
        <v>5622</v>
      </c>
      <c r="E860" s="17" t="s">
        <v>5623</v>
      </c>
      <c r="F860" s="17" t="s">
        <v>2550</v>
      </c>
      <c r="G860" s="17" t="s">
        <v>1941</v>
      </c>
      <c r="H860" s="17">
        <v>58122</v>
      </c>
      <c r="I860" t="s">
        <v>1951</v>
      </c>
    </row>
    <row r="861" spans="1:9" x14ac:dyDescent="0.25">
      <c r="A861" s="17" t="s">
        <v>1661</v>
      </c>
      <c r="B861" s="17" t="s">
        <v>5624</v>
      </c>
      <c r="C861" s="17" t="s">
        <v>5625</v>
      </c>
      <c r="D861" s="17" t="s">
        <v>5626</v>
      </c>
      <c r="E861" s="17" t="s">
        <v>5627</v>
      </c>
      <c r="F861" s="17" t="s">
        <v>5028</v>
      </c>
      <c r="G861" s="17" t="s">
        <v>1941</v>
      </c>
      <c r="H861" s="17">
        <v>72905</v>
      </c>
      <c r="I861" t="s">
        <v>1951</v>
      </c>
    </row>
    <row r="862" spans="1:9" x14ac:dyDescent="0.25">
      <c r="A862" s="17" t="s">
        <v>1663</v>
      </c>
      <c r="B862" s="17" t="s">
        <v>5628</v>
      </c>
      <c r="C862" s="22" t="s">
        <v>6197</v>
      </c>
      <c r="D862" s="17" t="s">
        <v>5629</v>
      </c>
      <c r="E862" s="17" t="s">
        <v>5630</v>
      </c>
      <c r="F862" s="17" t="s">
        <v>4237</v>
      </c>
      <c r="G862" s="17" t="s">
        <v>1941</v>
      </c>
      <c r="H862" s="17">
        <v>33811</v>
      </c>
      <c r="I862" t="s">
        <v>1951</v>
      </c>
    </row>
    <row r="863" spans="1:9" x14ac:dyDescent="0.25">
      <c r="A863" s="17" t="s">
        <v>1665</v>
      </c>
      <c r="B863" s="17" t="s">
        <v>5631</v>
      </c>
      <c r="C863" s="17" t="s">
        <v>5632</v>
      </c>
      <c r="D863" s="17" t="s">
        <v>5633</v>
      </c>
      <c r="E863" s="17" t="s">
        <v>5634</v>
      </c>
      <c r="F863" s="17" t="s">
        <v>3412</v>
      </c>
      <c r="G863" s="17" t="s">
        <v>1941</v>
      </c>
      <c r="H863" s="17">
        <v>37924</v>
      </c>
      <c r="I863" t="s">
        <v>1942</v>
      </c>
    </row>
    <row r="864" spans="1:9" x14ac:dyDescent="0.25">
      <c r="A864" s="17" t="s">
        <v>1667</v>
      </c>
      <c r="B864" s="17" t="s">
        <v>5635</v>
      </c>
      <c r="C864" s="17" t="s">
        <v>5636</v>
      </c>
      <c r="D864" s="17" t="s">
        <v>5637</v>
      </c>
      <c r="E864" s="17" t="s">
        <v>5638</v>
      </c>
      <c r="F864" s="17" t="s">
        <v>1986</v>
      </c>
      <c r="G864" s="17" t="s">
        <v>1941</v>
      </c>
      <c r="H864" s="17">
        <v>90030</v>
      </c>
      <c r="I864" t="s">
        <v>1942</v>
      </c>
    </row>
    <row r="865" spans="1:9" x14ac:dyDescent="0.25">
      <c r="A865" s="17" t="s">
        <v>1669</v>
      </c>
      <c r="B865" s="17" t="s">
        <v>5639</v>
      </c>
      <c r="C865" s="17" t="s">
        <v>5640</v>
      </c>
      <c r="D865" s="17" t="s">
        <v>5641</v>
      </c>
      <c r="E865" s="17" t="s">
        <v>5642</v>
      </c>
      <c r="F865" s="17" t="s">
        <v>3581</v>
      </c>
      <c r="G865" s="17" t="s">
        <v>1941</v>
      </c>
      <c r="H865" s="17">
        <v>33169</v>
      </c>
      <c r="I865" t="s">
        <v>1942</v>
      </c>
    </row>
    <row r="866" spans="1:9" x14ac:dyDescent="0.25">
      <c r="A866" s="17" t="s">
        <v>1671</v>
      </c>
      <c r="B866" s="17" t="s">
        <v>5643</v>
      </c>
      <c r="C866" s="17" t="s">
        <v>5644</v>
      </c>
      <c r="D866" s="17" t="s">
        <v>5645</v>
      </c>
      <c r="E866" s="17" t="s">
        <v>5646</v>
      </c>
      <c r="F866" s="17" t="s">
        <v>5162</v>
      </c>
      <c r="G866" s="17" t="s">
        <v>1949</v>
      </c>
      <c r="H866" s="17" t="s">
        <v>5163</v>
      </c>
      <c r="I866" t="s">
        <v>1951</v>
      </c>
    </row>
    <row r="867" spans="1:9" x14ac:dyDescent="0.25">
      <c r="A867" s="17" t="s">
        <v>5647</v>
      </c>
      <c r="B867" s="17" t="s">
        <v>5648</v>
      </c>
      <c r="C867" s="22" t="s">
        <v>6197</v>
      </c>
      <c r="D867" s="17" t="s">
        <v>5649</v>
      </c>
      <c r="E867" s="17" t="s">
        <v>5650</v>
      </c>
      <c r="F867" s="17" t="s">
        <v>2252</v>
      </c>
      <c r="G867" s="17" t="s">
        <v>1941</v>
      </c>
      <c r="H867" s="17">
        <v>60604</v>
      </c>
      <c r="I867" t="s">
        <v>1942</v>
      </c>
    </row>
    <row r="868" spans="1:9" x14ac:dyDescent="0.25">
      <c r="A868" s="17" t="s">
        <v>1675</v>
      </c>
      <c r="B868" s="17" t="s">
        <v>5651</v>
      </c>
      <c r="C868" s="17" t="s">
        <v>5652</v>
      </c>
      <c r="D868" s="17" t="s">
        <v>5653</v>
      </c>
      <c r="E868" s="17" t="s">
        <v>5654</v>
      </c>
      <c r="F868" s="17" t="s">
        <v>5655</v>
      </c>
      <c r="G868" s="17" t="s">
        <v>1949</v>
      </c>
      <c r="H868" s="17" t="s">
        <v>2397</v>
      </c>
      <c r="I868" t="s">
        <v>1951</v>
      </c>
    </row>
    <row r="869" spans="1:9" x14ac:dyDescent="0.25">
      <c r="A869" s="17" t="s">
        <v>1677</v>
      </c>
      <c r="B869" s="17" t="s">
        <v>5656</v>
      </c>
      <c r="C869" s="17" t="s">
        <v>5657</v>
      </c>
      <c r="D869" s="17" t="s">
        <v>6197</v>
      </c>
      <c r="E869" s="17" t="s">
        <v>5658</v>
      </c>
      <c r="F869" s="17" t="s">
        <v>5659</v>
      </c>
      <c r="G869" s="17" t="s">
        <v>1949</v>
      </c>
      <c r="H869" s="17" t="s">
        <v>5660</v>
      </c>
      <c r="I869" t="s">
        <v>1942</v>
      </c>
    </row>
    <row r="870" spans="1:9" x14ac:dyDescent="0.25">
      <c r="A870" s="17" t="s">
        <v>1679</v>
      </c>
      <c r="B870" s="17" t="s">
        <v>5661</v>
      </c>
      <c r="C870" s="17" t="s">
        <v>5662</v>
      </c>
      <c r="D870" s="17" t="s">
        <v>5663</v>
      </c>
      <c r="E870" s="17" t="s">
        <v>5664</v>
      </c>
      <c r="F870" s="17" t="s">
        <v>2861</v>
      </c>
      <c r="G870" s="17" t="s">
        <v>1941</v>
      </c>
      <c r="H870" s="17">
        <v>33064</v>
      </c>
      <c r="I870" t="s">
        <v>1942</v>
      </c>
    </row>
    <row r="871" spans="1:9" x14ac:dyDescent="0.25">
      <c r="A871" s="17" t="s">
        <v>1681</v>
      </c>
      <c r="B871" s="17" t="s">
        <v>5665</v>
      </c>
      <c r="C871" s="22" t="s">
        <v>6197</v>
      </c>
      <c r="D871" s="17" t="s">
        <v>5666</v>
      </c>
      <c r="E871" s="17" t="s">
        <v>5667</v>
      </c>
      <c r="F871" s="17" t="s">
        <v>2999</v>
      </c>
      <c r="G871" s="17" t="s">
        <v>1941</v>
      </c>
      <c r="H871" s="17">
        <v>94297</v>
      </c>
      <c r="I871" t="s">
        <v>1942</v>
      </c>
    </row>
    <row r="872" spans="1:9" x14ac:dyDescent="0.25">
      <c r="A872" s="17" t="s">
        <v>1683</v>
      </c>
      <c r="B872" s="17" t="s">
        <v>5668</v>
      </c>
      <c r="C872" s="17" t="s">
        <v>5669</v>
      </c>
      <c r="D872" s="17" t="s">
        <v>5670</v>
      </c>
      <c r="E872" s="17" t="s">
        <v>5671</v>
      </c>
      <c r="F872" s="17" t="s">
        <v>2082</v>
      </c>
      <c r="G872" s="17" t="s">
        <v>1949</v>
      </c>
      <c r="H872" s="17" t="s">
        <v>2083</v>
      </c>
      <c r="I872" t="s">
        <v>1942</v>
      </c>
    </row>
    <row r="873" spans="1:9" x14ac:dyDescent="0.25">
      <c r="A873" s="17" t="s">
        <v>1685</v>
      </c>
      <c r="B873" s="17" t="s">
        <v>5672</v>
      </c>
      <c r="C873" s="17" t="s">
        <v>5673</v>
      </c>
      <c r="D873" s="17" t="s">
        <v>5674</v>
      </c>
      <c r="E873" s="17" t="s">
        <v>5675</v>
      </c>
      <c r="F873" s="17" t="s">
        <v>5676</v>
      </c>
      <c r="G873" s="17" t="s">
        <v>2116</v>
      </c>
      <c r="H873" s="17" t="s">
        <v>5677</v>
      </c>
      <c r="I873" t="s">
        <v>1942</v>
      </c>
    </row>
    <row r="874" spans="1:9" x14ac:dyDescent="0.25">
      <c r="A874" s="17" t="s">
        <v>1687</v>
      </c>
      <c r="B874" s="17" t="s">
        <v>5678</v>
      </c>
      <c r="C874" s="17" t="s">
        <v>5679</v>
      </c>
      <c r="D874" s="17" t="s">
        <v>5680</v>
      </c>
      <c r="E874" s="17" t="s">
        <v>5681</v>
      </c>
      <c r="F874" s="17" t="s">
        <v>3687</v>
      </c>
      <c r="G874" s="17" t="s">
        <v>1941</v>
      </c>
      <c r="H874" s="17">
        <v>28805</v>
      </c>
      <c r="I874" t="s">
        <v>1951</v>
      </c>
    </row>
    <row r="875" spans="1:9" x14ac:dyDescent="0.25">
      <c r="A875" s="17" t="s">
        <v>1673</v>
      </c>
      <c r="B875" s="17" t="s">
        <v>5682</v>
      </c>
      <c r="C875" s="17" t="s">
        <v>5683</v>
      </c>
      <c r="D875" s="17" t="s">
        <v>5684</v>
      </c>
      <c r="E875" s="17" t="s">
        <v>5685</v>
      </c>
      <c r="F875" s="17" t="s">
        <v>2122</v>
      </c>
      <c r="G875" s="17" t="s">
        <v>1941</v>
      </c>
      <c r="H875" s="17">
        <v>25362</v>
      </c>
      <c r="I875" t="s">
        <v>1942</v>
      </c>
    </row>
    <row r="876" spans="1:9" x14ac:dyDescent="0.25">
      <c r="A876" s="17" t="s">
        <v>1690</v>
      </c>
      <c r="B876" s="17" t="s">
        <v>5686</v>
      </c>
      <c r="C876" s="17" t="s">
        <v>5687</v>
      </c>
      <c r="D876" s="17" t="s">
        <v>5688</v>
      </c>
      <c r="E876" s="17" t="s">
        <v>5689</v>
      </c>
      <c r="F876" s="17" t="s">
        <v>2027</v>
      </c>
      <c r="G876" s="17" t="s">
        <v>1941</v>
      </c>
      <c r="H876" s="17">
        <v>77281</v>
      </c>
      <c r="I876" t="s">
        <v>1951</v>
      </c>
    </row>
    <row r="877" spans="1:9" x14ac:dyDescent="0.25">
      <c r="A877" s="17" t="s">
        <v>1692</v>
      </c>
      <c r="B877" s="17" t="s">
        <v>5690</v>
      </c>
      <c r="C877" s="17" t="s">
        <v>5691</v>
      </c>
      <c r="D877" s="17" t="s">
        <v>5692</v>
      </c>
      <c r="E877" s="17" t="s">
        <v>5693</v>
      </c>
      <c r="F877" s="17" t="s">
        <v>2411</v>
      </c>
      <c r="G877" s="17" t="s">
        <v>1949</v>
      </c>
      <c r="H877" s="17" t="s">
        <v>2412</v>
      </c>
      <c r="I877" t="s">
        <v>1951</v>
      </c>
    </row>
    <row r="878" spans="1:9" x14ac:dyDescent="0.25">
      <c r="A878" s="17" t="s">
        <v>5694</v>
      </c>
      <c r="B878" s="17" t="s">
        <v>5695</v>
      </c>
      <c r="C878" s="17" t="s">
        <v>5696</v>
      </c>
      <c r="D878" s="17" t="s">
        <v>5697</v>
      </c>
      <c r="E878" s="17" t="s">
        <v>5698</v>
      </c>
      <c r="F878" s="17" t="s">
        <v>2186</v>
      </c>
      <c r="G878" s="17" t="s">
        <v>1941</v>
      </c>
      <c r="H878" s="17">
        <v>20575</v>
      </c>
      <c r="I878" t="s">
        <v>1942</v>
      </c>
    </row>
    <row r="879" spans="1:9" x14ac:dyDescent="0.25">
      <c r="A879" s="17" t="s">
        <v>1694</v>
      </c>
      <c r="B879" s="17" t="s">
        <v>5699</v>
      </c>
      <c r="C879" s="17" t="s">
        <v>5700</v>
      </c>
      <c r="D879" s="17" t="s">
        <v>5701</v>
      </c>
      <c r="E879" s="17" t="s">
        <v>5702</v>
      </c>
      <c r="F879" s="17" t="s">
        <v>2256</v>
      </c>
      <c r="G879" s="17" t="s">
        <v>1941</v>
      </c>
      <c r="H879" s="17">
        <v>7195</v>
      </c>
      <c r="I879" t="s">
        <v>1951</v>
      </c>
    </row>
    <row r="880" spans="1:9" x14ac:dyDescent="0.25">
      <c r="A880" s="17" t="s">
        <v>1696</v>
      </c>
      <c r="B880" s="17" t="s">
        <v>5703</v>
      </c>
      <c r="C880" s="22" t="s">
        <v>6197</v>
      </c>
      <c r="D880" s="17" t="s">
        <v>5704</v>
      </c>
      <c r="E880" s="17" t="s">
        <v>5705</v>
      </c>
      <c r="F880" s="17" t="s">
        <v>3492</v>
      </c>
      <c r="G880" s="17" t="s">
        <v>1941</v>
      </c>
      <c r="H880" s="17">
        <v>98195</v>
      </c>
      <c r="I880" t="s">
        <v>1942</v>
      </c>
    </row>
    <row r="881" spans="1:9" x14ac:dyDescent="0.25">
      <c r="A881" s="17" t="s">
        <v>1698</v>
      </c>
      <c r="B881" s="17" t="s">
        <v>5706</v>
      </c>
      <c r="C881" s="22" t="s">
        <v>6197</v>
      </c>
      <c r="D881" s="17" t="s">
        <v>5707</v>
      </c>
      <c r="E881" s="17" t="s">
        <v>5708</v>
      </c>
      <c r="F881" s="17" t="s">
        <v>2063</v>
      </c>
      <c r="G881" s="17" t="s">
        <v>1941</v>
      </c>
      <c r="H881" s="17">
        <v>80150</v>
      </c>
      <c r="I881" t="s">
        <v>1951</v>
      </c>
    </row>
    <row r="882" spans="1:9" x14ac:dyDescent="0.25">
      <c r="A882" s="17" t="s">
        <v>1700</v>
      </c>
      <c r="B882" s="17" t="s">
        <v>5709</v>
      </c>
      <c r="C882" s="17" t="s">
        <v>5710</v>
      </c>
      <c r="D882" s="17" t="s">
        <v>5711</v>
      </c>
      <c r="E882" s="17" t="s">
        <v>5712</v>
      </c>
      <c r="F882" s="17" t="s">
        <v>5713</v>
      </c>
      <c r="G882" s="17" t="s">
        <v>1941</v>
      </c>
      <c r="H882" s="17">
        <v>61105</v>
      </c>
      <c r="I882" t="s">
        <v>1951</v>
      </c>
    </row>
    <row r="883" spans="1:9" x14ac:dyDescent="0.25">
      <c r="A883" s="17" t="s">
        <v>1702</v>
      </c>
      <c r="B883" s="17" t="s">
        <v>5714</v>
      </c>
      <c r="C883" s="22" t="s">
        <v>6197</v>
      </c>
      <c r="D883" s="17" t="s">
        <v>5715</v>
      </c>
      <c r="E883" s="17" t="s">
        <v>5716</v>
      </c>
      <c r="F883" s="17" t="s">
        <v>5215</v>
      </c>
      <c r="G883" s="17" t="s">
        <v>1941</v>
      </c>
      <c r="H883" s="17">
        <v>59112</v>
      </c>
      <c r="I883" t="s">
        <v>1942</v>
      </c>
    </row>
    <row r="884" spans="1:9" x14ac:dyDescent="0.25">
      <c r="A884" s="17" t="s">
        <v>5717</v>
      </c>
      <c r="B884" s="17" t="s">
        <v>5718</v>
      </c>
      <c r="C884" s="17" t="s">
        <v>5719</v>
      </c>
      <c r="D884" s="17" t="s">
        <v>5720</v>
      </c>
      <c r="E884" s="17" t="s">
        <v>5721</v>
      </c>
      <c r="F884" s="17" t="s">
        <v>3049</v>
      </c>
      <c r="G884" s="17" t="s">
        <v>1941</v>
      </c>
      <c r="H884" s="17">
        <v>31165</v>
      </c>
      <c r="I884" t="s">
        <v>1951</v>
      </c>
    </row>
    <row r="885" spans="1:9" x14ac:dyDescent="0.25">
      <c r="A885" s="17" t="s">
        <v>1706</v>
      </c>
      <c r="B885" s="17" t="s">
        <v>5722</v>
      </c>
      <c r="C885" s="17" t="s">
        <v>5723</v>
      </c>
      <c r="D885" s="17" t="s">
        <v>5724</v>
      </c>
      <c r="E885" s="17" t="s">
        <v>5725</v>
      </c>
      <c r="F885" s="17" t="s">
        <v>2816</v>
      </c>
      <c r="G885" s="17" t="s">
        <v>1941</v>
      </c>
      <c r="H885" s="17">
        <v>74108</v>
      </c>
      <c r="I885" t="s">
        <v>1942</v>
      </c>
    </row>
    <row r="886" spans="1:9" x14ac:dyDescent="0.25">
      <c r="A886" s="17" t="s">
        <v>1708</v>
      </c>
      <c r="B886" s="17" t="s">
        <v>5726</v>
      </c>
      <c r="C886" s="17" t="s">
        <v>5727</v>
      </c>
      <c r="D886" s="17" t="s">
        <v>5728</v>
      </c>
      <c r="E886" s="17" t="s">
        <v>5729</v>
      </c>
      <c r="F886" s="17" t="s">
        <v>2355</v>
      </c>
      <c r="G886" s="17" t="s">
        <v>1941</v>
      </c>
      <c r="H886" s="17">
        <v>93704</v>
      </c>
      <c r="I886" t="s">
        <v>1942</v>
      </c>
    </row>
    <row r="887" spans="1:9" x14ac:dyDescent="0.25">
      <c r="A887" s="17" t="s">
        <v>1710</v>
      </c>
      <c r="B887" s="17" t="s">
        <v>5730</v>
      </c>
      <c r="C887" s="17" t="s">
        <v>5731</v>
      </c>
      <c r="D887" s="17" t="s">
        <v>5732</v>
      </c>
      <c r="E887" s="17" t="s">
        <v>5733</v>
      </c>
      <c r="F887" s="17" t="s">
        <v>5734</v>
      </c>
      <c r="G887" s="17" t="s">
        <v>1949</v>
      </c>
      <c r="H887" s="17" t="s">
        <v>2310</v>
      </c>
      <c r="I887" t="s">
        <v>1951</v>
      </c>
    </row>
    <row r="888" spans="1:9" x14ac:dyDescent="0.25">
      <c r="A888" s="17" t="s">
        <v>1712</v>
      </c>
      <c r="B888" s="17" t="s">
        <v>5735</v>
      </c>
      <c r="C888" s="17" t="s">
        <v>5736</v>
      </c>
      <c r="D888" s="17" t="s">
        <v>5737</v>
      </c>
      <c r="E888" s="17" t="s">
        <v>5738</v>
      </c>
      <c r="F888" s="17" t="s">
        <v>3090</v>
      </c>
      <c r="G888" s="17" t="s">
        <v>1941</v>
      </c>
      <c r="H888" s="17">
        <v>94154</v>
      </c>
      <c r="I888" t="s">
        <v>1951</v>
      </c>
    </row>
    <row r="889" spans="1:9" x14ac:dyDescent="0.25">
      <c r="A889" s="17" t="s">
        <v>1714</v>
      </c>
      <c r="B889" s="17" t="s">
        <v>5739</v>
      </c>
      <c r="C889" s="17" t="s">
        <v>5740</v>
      </c>
      <c r="D889" s="17" t="s">
        <v>5741</v>
      </c>
      <c r="E889" s="17" t="s">
        <v>5742</v>
      </c>
      <c r="F889" s="17" t="s">
        <v>5578</v>
      </c>
      <c r="G889" s="17" t="s">
        <v>1941</v>
      </c>
      <c r="H889" s="17">
        <v>36689</v>
      </c>
      <c r="I889" t="s">
        <v>1951</v>
      </c>
    </row>
    <row r="890" spans="1:9" x14ac:dyDescent="0.25">
      <c r="A890" s="17" t="s">
        <v>1716</v>
      </c>
      <c r="B890" s="17" t="s">
        <v>5743</v>
      </c>
      <c r="C890" s="17" t="s">
        <v>5744</v>
      </c>
      <c r="D890" s="17" t="s">
        <v>5745</v>
      </c>
      <c r="E890" s="17" t="s">
        <v>5746</v>
      </c>
      <c r="F890" s="17" t="s">
        <v>3090</v>
      </c>
      <c r="G890" s="17" t="s">
        <v>1941</v>
      </c>
      <c r="H890" s="17">
        <v>94110</v>
      </c>
      <c r="I890" t="s">
        <v>1942</v>
      </c>
    </row>
    <row r="891" spans="1:9" x14ac:dyDescent="0.25">
      <c r="A891" s="17" t="s">
        <v>1718</v>
      </c>
      <c r="B891" s="17" t="s">
        <v>5747</v>
      </c>
      <c r="C891" s="17" t="s">
        <v>5748</v>
      </c>
      <c r="D891" s="17" t="s">
        <v>5749</v>
      </c>
      <c r="E891" s="17" t="s">
        <v>5750</v>
      </c>
      <c r="F891" s="17" t="s">
        <v>2099</v>
      </c>
      <c r="G891" s="17" t="s">
        <v>1941</v>
      </c>
      <c r="H891" s="17">
        <v>11470</v>
      </c>
      <c r="I891" t="s">
        <v>1942</v>
      </c>
    </row>
    <row r="892" spans="1:9" x14ac:dyDescent="0.25">
      <c r="A892" s="17" t="s">
        <v>1704</v>
      </c>
      <c r="B892" s="17" t="s">
        <v>5751</v>
      </c>
      <c r="C892" s="17" t="s">
        <v>5752</v>
      </c>
      <c r="D892" s="17" t="s">
        <v>5753</v>
      </c>
      <c r="E892" s="17" t="s">
        <v>5754</v>
      </c>
      <c r="F892" s="17" t="s">
        <v>2132</v>
      </c>
      <c r="G892" s="17" t="s">
        <v>1941</v>
      </c>
      <c r="H892" s="17">
        <v>80243</v>
      </c>
      <c r="I892" t="s">
        <v>1942</v>
      </c>
    </row>
    <row r="893" spans="1:9" x14ac:dyDescent="0.25">
      <c r="A893" s="17" t="s">
        <v>1721</v>
      </c>
      <c r="B893" s="17" t="s">
        <v>5755</v>
      </c>
      <c r="C893" s="17" t="s">
        <v>5756</v>
      </c>
      <c r="D893" s="17" t="s">
        <v>5757</v>
      </c>
      <c r="E893" s="17" t="s">
        <v>5758</v>
      </c>
      <c r="F893" s="17" t="s">
        <v>3785</v>
      </c>
      <c r="G893" s="17" t="s">
        <v>1941</v>
      </c>
      <c r="H893" s="17">
        <v>92165</v>
      </c>
      <c r="I893" t="s">
        <v>1942</v>
      </c>
    </row>
    <row r="894" spans="1:9" x14ac:dyDescent="0.25">
      <c r="A894" s="17" t="s">
        <v>1723</v>
      </c>
      <c r="B894" s="17" t="s">
        <v>5759</v>
      </c>
      <c r="C894" s="17" t="s">
        <v>5760</v>
      </c>
      <c r="D894" s="17" t="s">
        <v>5761</v>
      </c>
      <c r="E894" s="17" t="s">
        <v>5762</v>
      </c>
      <c r="F894" s="17" t="s">
        <v>3727</v>
      </c>
      <c r="G894" s="17" t="s">
        <v>2116</v>
      </c>
      <c r="H894" s="17" t="s">
        <v>3728</v>
      </c>
      <c r="I894" t="s">
        <v>1951</v>
      </c>
    </row>
    <row r="895" spans="1:9" x14ac:dyDescent="0.25">
      <c r="A895" s="17" t="s">
        <v>1725</v>
      </c>
      <c r="B895" s="17" t="s">
        <v>5763</v>
      </c>
      <c r="C895" s="17" t="s">
        <v>5764</v>
      </c>
      <c r="D895" s="17" t="s">
        <v>6197</v>
      </c>
      <c r="E895" s="17" t="s">
        <v>5765</v>
      </c>
      <c r="F895" s="17" t="s">
        <v>4595</v>
      </c>
      <c r="G895" s="17" t="s">
        <v>1941</v>
      </c>
      <c r="H895" s="17">
        <v>15250</v>
      </c>
      <c r="I895" t="s">
        <v>1942</v>
      </c>
    </row>
    <row r="896" spans="1:9" x14ac:dyDescent="0.25">
      <c r="A896" s="17" t="s">
        <v>1727</v>
      </c>
      <c r="B896" s="17" t="s">
        <v>5766</v>
      </c>
      <c r="C896" s="22" t="s">
        <v>6197</v>
      </c>
      <c r="D896" s="17" t="s">
        <v>5767</v>
      </c>
      <c r="E896" s="17" t="s">
        <v>5768</v>
      </c>
      <c r="F896" s="17" t="s">
        <v>5769</v>
      </c>
      <c r="G896" s="17" t="s">
        <v>1949</v>
      </c>
      <c r="H896" s="17" t="s">
        <v>2674</v>
      </c>
      <c r="I896" t="s">
        <v>1942</v>
      </c>
    </row>
    <row r="897" spans="1:9" x14ac:dyDescent="0.25">
      <c r="A897" s="17" t="s">
        <v>1729</v>
      </c>
      <c r="B897" s="17" t="s">
        <v>5770</v>
      </c>
      <c r="C897" s="22" t="s">
        <v>6197</v>
      </c>
      <c r="D897" s="17" t="s">
        <v>5771</v>
      </c>
      <c r="E897" s="17" t="s">
        <v>5772</v>
      </c>
      <c r="F897" s="17" t="s">
        <v>2037</v>
      </c>
      <c r="G897" s="17" t="s">
        <v>1941</v>
      </c>
      <c r="H897" s="17">
        <v>10004</v>
      </c>
      <c r="I897" t="s">
        <v>1951</v>
      </c>
    </row>
    <row r="898" spans="1:9" x14ac:dyDescent="0.25">
      <c r="A898" s="17" t="s">
        <v>1731</v>
      </c>
      <c r="B898" s="17" t="s">
        <v>5773</v>
      </c>
      <c r="C898" s="17" t="s">
        <v>5774</v>
      </c>
      <c r="D898" s="17" t="s">
        <v>5775</v>
      </c>
      <c r="E898" s="17" t="s">
        <v>5776</v>
      </c>
      <c r="F898" s="17" t="s">
        <v>3492</v>
      </c>
      <c r="G898" s="17" t="s">
        <v>1941</v>
      </c>
      <c r="H898" s="17">
        <v>98148</v>
      </c>
      <c r="I898" t="s">
        <v>1942</v>
      </c>
    </row>
    <row r="899" spans="1:9" x14ac:dyDescent="0.25">
      <c r="A899" s="17" t="s">
        <v>1733</v>
      </c>
      <c r="B899" s="17" t="s">
        <v>5777</v>
      </c>
      <c r="C899" s="17" t="s">
        <v>5778</v>
      </c>
      <c r="D899" s="17" t="s">
        <v>5779</v>
      </c>
      <c r="E899" s="17" t="s">
        <v>5780</v>
      </c>
      <c r="F899" s="17" t="s">
        <v>2172</v>
      </c>
      <c r="G899" s="17" t="s">
        <v>2116</v>
      </c>
      <c r="H899" s="17" t="s">
        <v>2486</v>
      </c>
      <c r="I899" t="s">
        <v>1951</v>
      </c>
    </row>
    <row r="900" spans="1:9" x14ac:dyDescent="0.25">
      <c r="A900" s="17" t="s">
        <v>1735</v>
      </c>
      <c r="B900" s="17" t="s">
        <v>5781</v>
      </c>
      <c r="C900" s="22" t="s">
        <v>6197</v>
      </c>
      <c r="D900" s="17" t="s">
        <v>5782</v>
      </c>
      <c r="E900" s="17" t="s">
        <v>5783</v>
      </c>
      <c r="F900" s="17" t="s">
        <v>5784</v>
      </c>
      <c r="G900" s="17" t="s">
        <v>1941</v>
      </c>
      <c r="H900" s="17">
        <v>49018</v>
      </c>
      <c r="I900" t="s">
        <v>1951</v>
      </c>
    </row>
    <row r="901" spans="1:9" x14ac:dyDescent="0.25">
      <c r="A901" s="17" t="s">
        <v>5785</v>
      </c>
      <c r="B901" s="17" t="s">
        <v>5786</v>
      </c>
      <c r="C901" s="17" t="s">
        <v>5787</v>
      </c>
      <c r="D901" s="17" t="s">
        <v>6197</v>
      </c>
      <c r="E901" s="17" t="s">
        <v>5788</v>
      </c>
      <c r="F901" s="17" t="s">
        <v>2424</v>
      </c>
      <c r="G901" s="17" t="s">
        <v>1949</v>
      </c>
      <c r="H901" s="17" t="s">
        <v>2425</v>
      </c>
      <c r="I901" t="s">
        <v>1942</v>
      </c>
    </row>
    <row r="902" spans="1:9" x14ac:dyDescent="0.25">
      <c r="A902" s="17" t="s">
        <v>1738</v>
      </c>
      <c r="B902" s="17" t="s">
        <v>5789</v>
      </c>
      <c r="C902" s="22" t="s">
        <v>6197</v>
      </c>
      <c r="D902" s="17" t="s">
        <v>5790</v>
      </c>
      <c r="E902" s="17" t="s">
        <v>5791</v>
      </c>
      <c r="F902" s="17" t="s">
        <v>5792</v>
      </c>
      <c r="G902" s="17" t="s">
        <v>1949</v>
      </c>
      <c r="H902" s="17" t="s">
        <v>2536</v>
      </c>
      <c r="I902" t="s">
        <v>1951</v>
      </c>
    </row>
    <row r="903" spans="1:9" x14ac:dyDescent="0.25">
      <c r="A903" s="17" t="s">
        <v>1740</v>
      </c>
      <c r="B903" s="17" t="s">
        <v>5793</v>
      </c>
      <c r="C903" s="17" t="s">
        <v>5794</v>
      </c>
      <c r="D903" s="17" t="s">
        <v>5795</v>
      </c>
      <c r="E903" s="17" t="s">
        <v>5796</v>
      </c>
      <c r="F903" s="17" t="s">
        <v>2027</v>
      </c>
      <c r="G903" s="17" t="s">
        <v>1941</v>
      </c>
      <c r="H903" s="17">
        <v>77070</v>
      </c>
      <c r="I903" t="s">
        <v>1942</v>
      </c>
    </row>
    <row r="904" spans="1:9" x14ac:dyDescent="0.25">
      <c r="A904" s="17" t="s">
        <v>1742</v>
      </c>
      <c r="B904" s="17" t="s">
        <v>5797</v>
      </c>
      <c r="C904" s="17" t="s">
        <v>5798</v>
      </c>
      <c r="D904" s="17" t="s">
        <v>5799</v>
      </c>
      <c r="E904" s="17" t="s">
        <v>5800</v>
      </c>
      <c r="F904" s="17" t="s">
        <v>3037</v>
      </c>
      <c r="G904" s="17" t="s">
        <v>1941</v>
      </c>
      <c r="H904" s="17">
        <v>45249</v>
      </c>
      <c r="I904" t="s">
        <v>1951</v>
      </c>
    </row>
    <row r="905" spans="1:9" x14ac:dyDescent="0.25">
      <c r="A905" s="17" t="s">
        <v>1744</v>
      </c>
      <c r="B905" s="17" t="s">
        <v>5801</v>
      </c>
      <c r="C905" s="17" t="s">
        <v>5802</v>
      </c>
      <c r="D905" s="17" t="s">
        <v>5803</v>
      </c>
      <c r="E905" s="17" t="s">
        <v>5804</v>
      </c>
      <c r="F905" s="17" t="s">
        <v>2355</v>
      </c>
      <c r="G905" s="17" t="s">
        <v>1941</v>
      </c>
      <c r="H905" s="17">
        <v>93704</v>
      </c>
      <c r="I905" t="s">
        <v>1951</v>
      </c>
    </row>
    <row r="906" spans="1:9" x14ac:dyDescent="0.25">
      <c r="A906" s="17" t="s">
        <v>1746</v>
      </c>
      <c r="B906" s="17" t="s">
        <v>5805</v>
      </c>
      <c r="C906" s="17" t="s">
        <v>5806</v>
      </c>
      <c r="D906" s="17" t="s">
        <v>5807</v>
      </c>
      <c r="E906" s="17" t="s">
        <v>5808</v>
      </c>
      <c r="F906" s="17" t="s">
        <v>2233</v>
      </c>
      <c r="G906" s="17" t="s">
        <v>1941</v>
      </c>
      <c r="H906" s="17">
        <v>55123</v>
      </c>
      <c r="I906" t="s">
        <v>1951</v>
      </c>
    </row>
    <row r="907" spans="1:9" x14ac:dyDescent="0.25">
      <c r="A907" s="17" t="s">
        <v>1748</v>
      </c>
      <c r="B907" s="17" t="s">
        <v>5809</v>
      </c>
      <c r="C907" s="22" t="s">
        <v>6197</v>
      </c>
      <c r="D907" s="17" t="s">
        <v>5810</v>
      </c>
      <c r="E907" s="17" t="s">
        <v>5811</v>
      </c>
      <c r="F907" s="17" t="s">
        <v>2448</v>
      </c>
      <c r="G907" s="17" t="s">
        <v>1941</v>
      </c>
      <c r="H907" s="17">
        <v>88519</v>
      </c>
      <c r="I907" t="s">
        <v>1942</v>
      </c>
    </row>
    <row r="908" spans="1:9" x14ac:dyDescent="0.25">
      <c r="A908" s="17" t="s">
        <v>1750</v>
      </c>
      <c r="B908" s="17" t="s">
        <v>5812</v>
      </c>
      <c r="C908" s="17" t="s">
        <v>5813</v>
      </c>
      <c r="D908" s="17" t="s">
        <v>5814</v>
      </c>
      <c r="E908" s="17" t="s">
        <v>5815</v>
      </c>
      <c r="F908" s="17" t="s">
        <v>2647</v>
      </c>
      <c r="G908" s="17" t="s">
        <v>1941</v>
      </c>
      <c r="H908" s="17">
        <v>50981</v>
      </c>
      <c r="I908" t="s">
        <v>1942</v>
      </c>
    </row>
    <row r="909" spans="1:9" x14ac:dyDescent="0.25">
      <c r="A909" s="17" t="s">
        <v>1752</v>
      </c>
      <c r="B909" s="17" t="s">
        <v>5816</v>
      </c>
      <c r="C909" s="17" t="s">
        <v>5817</v>
      </c>
      <c r="D909" s="17" t="s">
        <v>5818</v>
      </c>
      <c r="E909" s="17" t="s">
        <v>5819</v>
      </c>
      <c r="F909" s="17" t="s">
        <v>2022</v>
      </c>
      <c r="G909" s="17" t="s">
        <v>1941</v>
      </c>
      <c r="H909" s="17">
        <v>97240</v>
      </c>
      <c r="I909" t="s">
        <v>1951</v>
      </c>
    </row>
    <row r="910" spans="1:9" x14ac:dyDescent="0.25">
      <c r="A910" s="17" t="s">
        <v>1754</v>
      </c>
      <c r="B910" s="17" t="s">
        <v>5820</v>
      </c>
      <c r="C910" s="17" t="s">
        <v>5821</v>
      </c>
      <c r="D910" s="17" t="s">
        <v>5822</v>
      </c>
      <c r="E910" s="17" t="s">
        <v>5823</v>
      </c>
      <c r="F910" s="17" t="s">
        <v>2027</v>
      </c>
      <c r="G910" s="17" t="s">
        <v>1941</v>
      </c>
      <c r="H910" s="17">
        <v>77070</v>
      </c>
      <c r="I910" t="s">
        <v>1951</v>
      </c>
    </row>
    <row r="911" spans="1:9" x14ac:dyDescent="0.25">
      <c r="A911" s="17" t="s">
        <v>1756</v>
      </c>
      <c r="B911" s="17" t="s">
        <v>5824</v>
      </c>
      <c r="C911" s="22" t="s">
        <v>6197</v>
      </c>
      <c r="D911" s="17" t="s">
        <v>5825</v>
      </c>
      <c r="E911" s="17" t="s">
        <v>5826</v>
      </c>
      <c r="F911" s="17" t="s">
        <v>4481</v>
      </c>
      <c r="G911" s="17" t="s">
        <v>1941</v>
      </c>
      <c r="H911" s="17">
        <v>27705</v>
      </c>
      <c r="I911" t="s">
        <v>1951</v>
      </c>
    </row>
    <row r="912" spans="1:9" x14ac:dyDescent="0.25">
      <c r="A912" s="17" t="s">
        <v>1758</v>
      </c>
      <c r="B912" s="17" t="s">
        <v>5827</v>
      </c>
      <c r="C912" s="17" t="s">
        <v>5828</v>
      </c>
      <c r="D912" s="17" t="s">
        <v>5829</v>
      </c>
      <c r="E912" s="17" t="s">
        <v>5830</v>
      </c>
      <c r="F912" s="17" t="s">
        <v>2158</v>
      </c>
      <c r="G912" s="17" t="s">
        <v>1941</v>
      </c>
      <c r="H912" s="17">
        <v>2298</v>
      </c>
      <c r="I912" t="s">
        <v>1951</v>
      </c>
    </row>
    <row r="913" spans="1:9" x14ac:dyDescent="0.25">
      <c r="A913" s="17" t="s">
        <v>1760</v>
      </c>
      <c r="B913" s="17" t="s">
        <v>5831</v>
      </c>
      <c r="C913" s="17" t="s">
        <v>5832</v>
      </c>
      <c r="D913" s="17" t="s">
        <v>5833</v>
      </c>
      <c r="E913" s="17" t="s">
        <v>5834</v>
      </c>
      <c r="F913" s="17" t="s">
        <v>2186</v>
      </c>
      <c r="G913" s="17" t="s">
        <v>1941</v>
      </c>
      <c r="H913" s="17">
        <v>20226</v>
      </c>
      <c r="I913" t="s">
        <v>1942</v>
      </c>
    </row>
    <row r="914" spans="1:9" x14ac:dyDescent="0.25">
      <c r="A914" s="17" t="s">
        <v>1762</v>
      </c>
      <c r="B914" s="17" t="s">
        <v>5835</v>
      </c>
      <c r="C914" s="22" t="s">
        <v>6197</v>
      </c>
      <c r="D914" s="17" t="s">
        <v>5836</v>
      </c>
      <c r="E914" s="17" t="s">
        <v>5837</v>
      </c>
      <c r="F914" s="17" t="s">
        <v>2881</v>
      </c>
      <c r="G914" s="17" t="s">
        <v>1941</v>
      </c>
      <c r="H914" s="17">
        <v>12205</v>
      </c>
      <c r="I914" t="s">
        <v>1942</v>
      </c>
    </row>
    <row r="915" spans="1:9" x14ac:dyDescent="0.25">
      <c r="A915" s="17" t="s">
        <v>1764</v>
      </c>
      <c r="B915" s="17" t="s">
        <v>5838</v>
      </c>
      <c r="C915" s="17" t="s">
        <v>5839</v>
      </c>
      <c r="D915" s="17" t="s">
        <v>5840</v>
      </c>
      <c r="E915" s="17" t="s">
        <v>5841</v>
      </c>
      <c r="F915" s="17" t="s">
        <v>2140</v>
      </c>
      <c r="G915" s="17" t="s">
        <v>1941</v>
      </c>
      <c r="H915" s="17">
        <v>85732</v>
      </c>
      <c r="I915" t="s">
        <v>1951</v>
      </c>
    </row>
    <row r="916" spans="1:9" x14ac:dyDescent="0.25">
      <c r="A916" s="17" t="s">
        <v>1766</v>
      </c>
      <c r="B916" s="17" t="s">
        <v>5842</v>
      </c>
      <c r="C916" s="17" t="s">
        <v>5843</v>
      </c>
      <c r="D916" s="17" t="s">
        <v>5844</v>
      </c>
      <c r="E916" s="17" t="s">
        <v>5845</v>
      </c>
      <c r="F916" s="17" t="s">
        <v>2744</v>
      </c>
      <c r="G916" s="17" t="s">
        <v>1941</v>
      </c>
      <c r="H916" s="17">
        <v>36195</v>
      </c>
      <c r="I916" t="s">
        <v>1951</v>
      </c>
    </row>
    <row r="917" spans="1:9" x14ac:dyDescent="0.25">
      <c r="A917" s="17" t="s">
        <v>1768</v>
      </c>
      <c r="B917" s="17" t="s">
        <v>5846</v>
      </c>
      <c r="C917" s="17" t="s">
        <v>5847</v>
      </c>
      <c r="D917" s="17" t="s">
        <v>5848</v>
      </c>
      <c r="E917" s="17" t="s">
        <v>5849</v>
      </c>
      <c r="F917" s="17" t="s">
        <v>5850</v>
      </c>
      <c r="G917" s="17" t="s">
        <v>1941</v>
      </c>
      <c r="H917" s="17">
        <v>99709</v>
      </c>
      <c r="I917" t="s">
        <v>1942</v>
      </c>
    </row>
    <row r="918" spans="1:9" x14ac:dyDescent="0.25">
      <c r="A918" s="17" t="s">
        <v>1770</v>
      </c>
      <c r="B918" s="17" t="s">
        <v>5851</v>
      </c>
      <c r="C918" s="22" t="s">
        <v>6197</v>
      </c>
      <c r="D918" s="17" t="s">
        <v>6197</v>
      </c>
      <c r="E918" s="17" t="s">
        <v>5852</v>
      </c>
      <c r="F918" s="17" t="s">
        <v>3918</v>
      </c>
      <c r="G918" s="17" t="s">
        <v>1949</v>
      </c>
      <c r="H918" s="17" t="s">
        <v>3919</v>
      </c>
      <c r="I918" t="s">
        <v>1942</v>
      </c>
    </row>
    <row r="919" spans="1:9" x14ac:dyDescent="0.25">
      <c r="A919" s="17" t="s">
        <v>1772</v>
      </c>
      <c r="B919" s="17" t="s">
        <v>5853</v>
      </c>
      <c r="C919" s="17" t="s">
        <v>5854</v>
      </c>
      <c r="D919" s="17" t="s">
        <v>5855</v>
      </c>
      <c r="E919" s="17" t="s">
        <v>5856</v>
      </c>
      <c r="F919" s="17" t="s">
        <v>3238</v>
      </c>
      <c r="G919" s="17" t="s">
        <v>2116</v>
      </c>
      <c r="H919" s="17" t="s">
        <v>5857</v>
      </c>
      <c r="I919" t="s">
        <v>1951</v>
      </c>
    </row>
    <row r="920" spans="1:9" x14ac:dyDescent="0.25">
      <c r="A920" s="17" t="s">
        <v>5858</v>
      </c>
      <c r="B920" s="17" t="s">
        <v>5859</v>
      </c>
      <c r="C920" s="17" t="s">
        <v>5860</v>
      </c>
      <c r="D920" s="17" t="s">
        <v>5861</v>
      </c>
      <c r="E920" s="17" t="s">
        <v>5862</v>
      </c>
      <c r="F920" s="17" t="s">
        <v>2713</v>
      </c>
      <c r="G920" s="17" t="s">
        <v>1941</v>
      </c>
      <c r="H920" s="17">
        <v>34615</v>
      </c>
      <c r="I920" t="s">
        <v>1951</v>
      </c>
    </row>
    <row r="921" spans="1:9" x14ac:dyDescent="0.25">
      <c r="A921" s="17" t="s">
        <v>1774</v>
      </c>
      <c r="B921" s="17" t="s">
        <v>5863</v>
      </c>
      <c r="C921" s="17" t="s">
        <v>5864</v>
      </c>
      <c r="D921" s="17" t="s">
        <v>5865</v>
      </c>
      <c r="E921" s="17" t="s">
        <v>5866</v>
      </c>
      <c r="F921" s="17" t="s">
        <v>3320</v>
      </c>
      <c r="G921" s="17" t="s">
        <v>1941</v>
      </c>
      <c r="H921" s="17">
        <v>40515</v>
      </c>
      <c r="I921" t="s">
        <v>1942</v>
      </c>
    </row>
    <row r="922" spans="1:9" x14ac:dyDescent="0.25">
      <c r="A922" s="17" t="s">
        <v>1776</v>
      </c>
      <c r="B922" s="17" t="s">
        <v>5867</v>
      </c>
      <c r="C922" s="17" t="s">
        <v>5868</v>
      </c>
      <c r="D922" s="17" t="s">
        <v>5869</v>
      </c>
      <c r="E922" s="17" t="s">
        <v>5870</v>
      </c>
      <c r="F922" s="17" t="s">
        <v>2048</v>
      </c>
      <c r="G922" s="17" t="s">
        <v>1941</v>
      </c>
      <c r="H922" s="17">
        <v>49560</v>
      </c>
      <c r="I922" t="s">
        <v>1951</v>
      </c>
    </row>
    <row r="923" spans="1:9" x14ac:dyDescent="0.25">
      <c r="A923" s="17" t="s">
        <v>1778</v>
      </c>
      <c r="B923" s="17" t="s">
        <v>5871</v>
      </c>
      <c r="C923" s="17" t="s">
        <v>5872</v>
      </c>
      <c r="D923" s="17" t="s">
        <v>5873</v>
      </c>
      <c r="E923" s="17" t="s">
        <v>5874</v>
      </c>
      <c r="F923" s="17" t="s">
        <v>2647</v>
      </c>
      <c r="G923" s="17" t="s">
        <v>1941</v>
      </c>
      <c r="H923" s="17">
        <v>50369</v>
      </c>
      <c r="I923" t="s">
        <v>1951</v>
      </c>
    </row>
    <row r="924" spans="1:9" x14ac:dyDescent="0.25">
      <c r="A924" s="17" t="s">
        <v>1780</v>
      </c>
      <c r="B924" s="17" t="s">
        <v>5875</v>
      </c>
      <c r="C924" s="22" t="s">
        <v>6197</v>
      </c>
      <c r="D924" s="17" t="s">
        <v>6197</v>
      </c>
      <c r="E924" s="17" t="s">
        <v>5876</v>
      </c>
      <c r="F924" s="17" t="s">
        <v>5107</v>
      </c>
      <c r="G924" s="17" t="s">
        <v>1941</v>
      </c>
      <c r="H924" s="17">
        <v>19810</v>
      </c>
      <c r="I924" t="s">
        <v>1942</v>
      </c>
    </row>
    <row r="925" spans="1:9" x14ac:dyDescent="0.25">
      <c r="A925" s="17" t="s">
        <v>1782</v>
      </c>
      <c r="B925" s="17" t="s">
        <v>5877</v>
      </c>
      <c r="C925" s="17" t="s">
        <v>5878</v>
      </c>
      <c r="D925" s="17" t="s">
        <v>5879</v>
      </c>
      <c r="E925" s="17" t="s">
        <v>5880</v>
      </c>
      <c r="F925" s="17" t="s">
        <v>2387</v>
      </c>
      <c r="G925" s="17" t="s">
        <v>1941</v>
      </c>
      <c r="H925" s="17">
        <v>78726</v>
      </c>
      <c r="I925" t="s">
        <v>1951</v>
      </c>
    </row>
    <row r="926" spans="1:9" x14ac:dyDescent="0.25">
      <c r="A926" s="17" t="s">
        <v>1784</v>
      </c>
      <c r="B926" s="17" t="s">
        <v>5881</v>
      </c>
      <c r="C926" s="17" t="s">
        <v>5882</v>
      </c>
      <c r="D926" s="17" t="s">
        <v>6197</v>
      </c>
      <c r="E926" s="17" t="s">
        <v>5883</v>
      </c>
      <c r="F926" s="17" t="s">
        <v>4401</v>
      </c>
      <c r="G926" s="17" t="s">
        <v>1941</v>
      </c>
      <c r="H926" s="17">
        <v>32835</v>
      </c>
      <c r="I926" t="s">
        <v>1951</v>
      </c>
    </row>
    <row r="927" spans="1:9" x14ac:dyDescent="0.25">
      <c r="A927" s="17" t="s">
        <v>5884</v>
      </c>
      <c r="B927" s="17" t="s">
        <v>5885</v>
      </c>
      <c r="C927" s="22" t="s">
        <v>6197</v>
      </c>
      <c r="D927" s="17" t="s">
        <v>5886</v>
      </c>
      <c r="E927" s="17" t="s">
        <v>5887</v>
      </c>
      <c r="F927" s="17" t="s">
        <v>2947</v>
      </c>
      <c r="G927" s="17" t="s">
        <v>1941</v>
      </c>
      <c r="H927" s="17">
        <v>91199</v>
      </c>
      <c r="I927" t="s">
        <v>1942</v>
      </c>
    </row>
    <row r="928" spans="1:9" x14ac:dyDescent="0.25">
      <c r="A928" s="17" t="s">
        <v>1787</v>
      </c>
      <c r="B928" s="17" t="s">
        <v>5888</v>
      </c>
      <c r="C928" s="17" t="s">
        <v>5889</v>
      </c>
      <c r="D928" s="17" t="s">
        <v>5890</v>
      </c>
      <c r="E928" s="17" t="s">
        <v>5891</v>
      </c>
      <c r="F928" s="17" t="s">
        <v>2186</v>
      </c>
      <c r="G928" s="17" t="s">
        <v>1941</v>
      </c>
      <c r="H928" s="17">
        <v>20238</v>
      </c>
      <c r="I928" t="s">
        <v>1942</v>
      </c>
    </row>
    <row r="929" spans="1:9" x14ac:dyDescent="0.25">
      <c r="A929" s="17" t="s">
        <v>1789</v>
      </c>
      <c r="B929" s="17" t="s">
        <v>5892</v>
      </c>
      <c r="C929" s="17" t="s">
        <v>5893</v>
      </c>
      <c r="D929" s="17" t="s">
        <v>5894</v>
      </c>
      <c r="E929" s="17" t="s">
        <v>5895</v>
      </c>
      <c r="F929" s="17" t="s">
        <v>2022</v>
      </c>
      <c r="G929" s="17" t="s">
        <v>1941</v>
      </c>
      <c r="H929" s="17">
        <v>97271</v>
      </c>
      <c r="I929" t="s">
        <v>1951</v>
      </c>
    </row>
    <row r="930" spans="1:9" x14ac:dyDescent="0.25">
      <c r="A930" s="17" t="s">
        <v>1791</v>
      </c>
      <c r="B930" s="17" t="s">
        <v>5896</v>
      </c>
      <c r="C930" s="17" t="s">
        <v>5897</v>
      </c>
      <c r="D930" s="17" t="s">
        <v>6197</v>
      </c>
      <c r="E930" s="17" t="s">
        <v>5898</v>
      </c>
      <c r="F930" s="17" t="s">
        <v>2037</v>
      </c>
      <c r="G930" s="17" t="s">
        <v>1941</v>
      </c>
      <c r="H930" s="17">
        <v>10004</v>
      </c>
      <c r="I930" t="s">
        <v>1942</v>
      </c>
    </row>
    <row r="931" spans="1:9" x14ac:dyDescent="0.25">
      <c r="A931" s="17" t="s">
        <v>1793</v>
      </c>
      <c r="B931" s="17" t="s">
        <v>5899</v>
      </c>
      <c r="C931" s="17" t="s">
        <v>5900</v>
      </c>
      <c r="D931" s="17" t="s">
        <v>5901</v>
      </c>
      <c r="E931" s="17" t="s">
        <v>5902</v>
      </c>
      <c r="F931" s="17" t="s">
        <v>2186</v>
      </c>
      <c r="G931" s="17" t="s">
        <v>1941</v>
      </c>
      <c r="H931" s="17">
        <v>20404</v>
      </c>
      <c r="I931" t="s">
        <v>1942</v>
      </c>
    </row>
    <row r="932" spans="1:9" x14ac:dyDescent="0.25">
      <c r="A932" s="17" t="s">
        <v>1795</v>
      </c>
      <c r="B932" s="17" t="s">
        <v>5903</v>
      </c>
      <c r="C932" s="17" t="s">
        <v>5904</v>
      </c>
      <c r="D932" s="17" t="s">
        <v>6197</v>
      </c>
      <c r="E932" s="17" t="s">
        <v>5905</v>
      </c>
      <c r="F932" s="17" t="s">
        <v>2186</v>
      </c>
      <c r="G932" s="17" t="s">
        <v>1941</v>
      </c>
      <c r="H932" s="17">
        <v>20067</v>
      </c>
      <c r="I932" t="s">
        <v>1942</v>
      </c>
    </row>
    <row r="933" spans="1:9" x14ac:dyDescent="0.25">
      <c r="A933" s="17" t="s">
        <v>1797</v>
      </c>
      <c r="B933" s="17" t="s">
        <v>5906</v>
      </c>
      <c r="C933" s="22" t="s">
        <v>6197</v>
      </c>
      <c r="D933" s="17" t="s">
        <v>6197</v>
      </c>
      <c r="E933" s="17" t="s">
        <v>5907</v>
      </c>
      <c r="F933" s="17" t="s">
        <v>4886</v>
      </c>
      <c r="G933" s="17" t="s">
        <v>1941</v>
      </c>
      <c r="H933" s="17">
        <v>18105</v>
      </c>
      <c r="I933" t="s">
        <v>1942</v>
      </c>
    </row>
    <row r="934" spans="1:9" x14ac:dyDescent="0.25">
      <c r="A934" s="17" t="s">
        <v>1799</v>
      </c>
      <c r="B934" s="17" t="s">
        <v>5908</v>
      </c>
      <c r="C934" s="17" t="s">
        <v>5909</v>
      </c>
      <c r="D934" s="17" t="s">
        <v>5910</v>
      </c>
      <c r="E934" s="17" t="s">
        <v>5911</v>
      </c>
      <c r="F934" s="17" t="s">
        <v>3581</v>
      </c>
      <c r="G934" s="17" t="s">
        <v>1941</v>
      </c>
      <c r="H934" s="17">
        <v>33169</v>
      </c>
      <c r="I934" t="s">
        <v>1951</v>
      </c>
    </row>
    <row r="935" spans="1:9" x14ac:dyDescent="0.25">
      <c r="A935" s="17" t="s">
        <v>1801</v>
      </c>
      <c r="B935" s="17" t="s">
        <v>5912</v>
      </c>
      <c r="C935" s="22" t="s">
        <v>6197</v>
      </c>
      <c r="D935" s="17" t="s">
        <v>5913</v>
      </c>
      <c r="E935" s="17" t="s">
        <v>5914</v>
      </c>
      <c r="F935" s="17" t="s">
        <v>2362</v>
      </c>
      <c r="G935" s="17" t="s">
        <v>1941</v>
      </c>
      <c r="H935" s="17">
        <v>73129</v>
      </c>
      <c r="I935" t="s">
        <v>1942</v>
      </c>
    </row>
    <row r="936" spans="1:9" x14ac:dyDescent="0.25">
      <c r="A936" s="17" t="s">
        <v>1803</v>
      </c>
      <c r="B936" s="17" t="s">
        <v>5915</v>
      </c>
      <c r="C936" s="17" t="s">
        <v>5916</v>
      </c>
      <c r="D936" s="17" t="s">
        <v>5917</v>
      </c>
      <c r="E936" s="17" t="s">
        <v>5918</v>
      </c>
      <c r="F936" s="17" t="s">
        <v>5713</v>
      </c>
      <c r="G936" s="17" t="s">
        <v>1941</v>
      </c>
      <c r="H936" s="17">
        <v>61105</v>
      </c>
      <c r="I936" t="s">
        <v>1951</v>
      </c>
    </row>
    <row r="937" spans="1:9" x14ac:dyDescent="0.25">
      <c r="A937" s="17" t="s">
        <v>1805</v>
      </c>
      <c r="B937" s="17" t="s">
        <v>5919</v>
      </c>
      <c r="C937" s="17" t="s">
        <v>5920</v>
      </c>
      <c r="D937" s="17" t="s">
        <v>5921</v>
      </c>
      <c r="E937" s="17" t="s">
        <v>5922</v>
      </c>
      <c r="F937" s="17" t="s">
        <v>2744</v>
      </c>
      <c r="G937" s="17" t="s">
        <v>1941</v>
      </c>
      <c r="H937" s="17">
        <v>36177</v>
      </c>
      <c r="I937" t="s">
        <v>1942</v>
      </c>
    </row>
    <row r="938" spans="1:9" x14ac:dyDescent="0.25">
      <c r="A938" s="17" t="s">
        <v>1807</v>
      </c>
      <c r="B938" s="17" t="s">
        <v>5923</v>
      </c>
      <c r="C938" s="17" t="s">
        <v>5924</v>
      </c>
      <c r="D938" s="17" t="s">
        <v>5925</v>
      </c>
      <c r="E938" s="17" t="s">
        <v>5926</v>
      </c>
      <c r="F938" s="17" t="s">
        <v>2947</v>
      </c>
      <c r="G938" s="17" t="s">
        <v>1941</v>
      </c>
      <c r="H938" s="17">
        <v>91117</v>
      </c>
      <c r="I938" t="s">
        <v>1942</v>
      </c>
    </row>
    <row r="939" spans="1:9" x14ac:dyDescent="0.25">
      <c r="A939" s="17" t="s">
        <v>5927</v>
      </c>
      <c r="B939" s="17" t="s">
        <v>5928</v>
      </c>
      <c r="C939" s="17" t="s">
        <v>5929</v>
      </c>
      <c r="D939" s="17" t="s">
        <v>5930</v>
      </c>
      <c r="E939" s="17" t="s">
        <v>5931</v>
      </c>
      <c r="F939" s="17" t="s">
        <v>2252</v>
      </c>
      <c r="G939" s="17" t="s">
        <v>1941</v>
      </c>
      <c r="H939" s="17">
        <v>60624</v>
      </c>
      <c r="I939" t="s">
        <v>1951</v>
      </c>
    </row>
    <row r="940" spans="1:9" x14ac:dyDescent="0.25">
      <c r="A940" s="17" t="s">
        <v>1809</v>
      </c>
      <c r="B940" s="17" t="s">
        <v>5932</v>
      </c>
      <c r="C940" s="17" t="s">
        <v>5933</v>
      </c>
      <c r="D940" s="17" t="s">
        <v>5934</v>
      </c>
      <c r="E940" s="17" t="s">
        <v>5935</v>
      </c>
      <c r="F940" s="17" t="s">
        <v>2027</v>
      </c>
      <c r="G940" s="17" t="s">
        <v>1941</v>
      </c>
      <c r="H940" s="17">
        <v>77293</v>
      </c>
      <c r="I940" t="s">
        <v>1942</v>
      </c>
    </row>
    <row r="941" spans="1:9" x14ac:dyDescent="0.25">
      <c r="A941" s="17" t="s">
        <v>1811</v>
      </c>
      <c r="B941" s="17" t="s">
        <v>5936</v>
      </c>
      <c r="C941" s="17" t="s">
        <v>5937</v>
      </c>
      <c r="D941" s="17" t="s">
        <v>5938</v>
      </c>
      <c r="E941" s="17" t="s">
        <v>5939</v>
      </c>
      <c r="F941" s="17" t="s">
        <v>5940</v>
      </c>
      <c r="G941" s="17" t="s">
        <v>1941</v>
      </c>
      <c r="H941" s="17">
        <v>49444</v>
      </c>
      <c r="I941" t="s">
        <v>1951</v>
      </c>
    </row>
    <row r="942" spans="1:9" x14ac:dyDescent="0.25">
      <c r="A942" s="17" t="s">
        <v>1813</v>
      </c>
      <c r="B942" s="17" t="s">
        <v>5941</v>
      </c>
      <c r="C942" s="17" t="s">
        <v>5942</v>
      </c>
      <c r="D942" s="17" t="s">
        <v>5943</v>
      </c>
      <c r="E942" s="17" t="s">
        <v>5944</v>
      </c>
      <c r="F942" s="17" t="s">
        <v>2186</v>
      </c>
      <c r="G942" s="17" t="s">
        <v>1941</v>
      </c>
      <c r="H942" s="17">
        <v>20380</v>
      </c>
      <c r="I942" t="s">
        <v>1942</v>
      </c>
    </row>
    <row r="943" spans="1:9" x14ac:dyDescent="0.25">
      <c r="A943" s="17" t="s">
        <v>1815</v>
      </c>
      <c r="B943" s="17" t="s">
        <v>5945</v>
      </c>
      <c r="C943" s="17" t="s">
        <v>5946</v>
      </c>
      <c r="D943" s="17" t="s">
        <v>5947</v>
      </c>
      <c r="E943" s="17" t="s">
        <v>5948</v>
      </c>
      <c r="F943" s="17" t="s">
        <v>5949</v>
      </c>
      <c r="G943" s="17" t="s">
        <v>1949</v>
      </c>
      <c r="H943" s="17" t="s">
        <v>5950</v>
      </c>
      <c r="I943" t="s">
        <v>1942</v>
      </c>
    </row>
    <row r="944" spans="1:9" x14ac:dyDescent="0.25">
      <c r="A944" s="17" t="s">
        <v>1817</v>
      </c>
      <c r="B944" s="17" t="s">
        <v>5951</v>
      </c>
      <c r="C944" s="17" t="s">
        <v>5952</v>
      </c>
      <c r="D944" s="17" t="s">
        <v>5953</v>
      </c>
      <c r="E944" s="17" t="s">
        <v>5954</v>
      </c>
      <c r="F944" s="17" t="s">
        <v>2753</v>
      </c>
      <c r="G944" s="17" t="s">
        <v>1941</v>
      </c>
      <c r="H944" s="17">
        <v>31205</v>
      </c>
      <c r="I944" t="s">
        <v>1951</v>
      </c>
    </row>
    <row r="945" spans="1:9" x14ac:dyDescent="0.25">
      <c r="A945" s="17" t="s">
        <v>1819</v>
      </c>
      <c r="B945" s="17" t="s">
        <v>5955</v>
      </c>
      <c r="C945" s="17" t="s">
        <v>5956</v>
      </c>
      <c r="D945" s="17" t="s">
        <v>5957</v>
      </c>
      <c r="E945" s="17" t="s">
        <v>5958</v>
      </c>
      <c r="F945" s="17" t="s">
        <v>3524</v>
      </c>
      <c r="G945" s="17" t="s">
        <v>1941</v>
      </c>
      <c r="H945" s="17">
        <v>71105</v>
      </c>
      <c r="I945" t="s">
        <v>1951</v>
      </c>
    </row>
    <row r="946" spans="1:9" x14ac:dyDescent="0.25">
      <c r="A946" s="17" t="s">
        <v>1821</v>
      </c>
      <c r="B946" s="17" t="s">
        <v>5959</v>
      </c>
      <c r="C946" s="17" t="s">
        <v>5960</v>
      </c>
      <c r="D946" s="17" t="s">
        <v>5961</v>
      </c>
      <c r="E946" s="17" t="s">
        <v>5962</v>
      </c>
      <c r="F946" s="17" t="s">
        <v>3148</v>
      </c>
      <c r="G946" s="17" t="s">
        <v>1941</v>
      </c>
      <c r="H946" s="17">
        <v>98405</v>
      </c>
      <c r="I946" t="s">
        <v>1951</v>
      </c>
    </row>
    <row r="947" spans="1:9" x14ac:dyDescent="0.25">
      <c r="A947" s="17" t="s">
        <v>1823</v>
      </c>
      <c r="B947" s="17" t="s">
        <v>5963</v>
      </c>
      <c r="C947" s="22" t="s">
        <v>6197</v>
      </c>
      <c r="D947" s="17" t="s">
        <v>5964</v>
      </c>
      <c r="E947" s="17" t="s">
        <v>5965</v>
      </c>
      <c r="F947" s="17" t="s">
        <v>2448</v>
      </c>
      <c r="G947" s="17" t="s">
        <v>1941</v>
      </c>
      <c r="H947" s="17">
        <v>79934</v>
      </c>
      <c r="I947" t="s">
        <v>1951</v>
      </c>
    </row>
    <row r="948" spans="1:9" x14ac:dyDescent="0.25">
      <c r="A948" s="17" t="s">
        <v>1825</v>
      </c>
      <c r="B948" s="17" t="s">
        <v>5966</v>
      </c>
      <c r="C948" s="22" t="s">
        <v>6197</v>
      </c>
      <c r="D948" s="17" t="s">
        <v>5967</v>
      </c>
      <c r="E948" s="17" t="s">
        <v>5968</v>
      </c>
      <c r="F948" s="17" t="s">
        <v>2172</v>
      </c>
      <c r="G948" s="17" t="s">
        <v>1941</v>
      </c>
      <c r="H948" s="17">
        <v>35263</v>
      </c>
      <c r="I948" t="s">
        <v>1951</v>
      </c>
    </row>
    <row r="949" spans="1:9" x14ac:dyDescent="0.25">
      <c r="A949" s="17" t="s">
        <v>1827</v>
      </c>
      <c r="B949" s="17" t="s">
        <v>5969</v>
      </c>
      <c r="C949" s="17" t="s">
        <v>5970</v>
      </c>
      <c r="D949" s="17" t="s">
        <v>6197</v>
      </c>
      <c r="E949" s="17" t="s">
        <v>5971</v>
      </c>
      <c r="F949" s="17" t="s">
        <v>2607</v>
      </c>
      <c r="G949" s="17" t="s">
        <v>1949</v>
      </c>
      <c r="H949" s="17" t="s">
        <v>2310</v>
      </c>
      <c r="I949" t="s">
        <v>1951</v>
      </c>
    </row>
    <row r="950" spans="1:9" x14ac:dyDescent="0.25">
      <c r="A950" s="17" t="s">
        <v>1829</v>
      </c>
      <c r="B950" s="17" t="s">
        <v>5972</v>
      </c>
      <c r="C950" s="17" t="s">
        <v>5973</v>
      </c>
      <c r="D950" s="17" t="s">
        <v>5974</v>
      </c>
      <c r="E950" s="17" t="s">
        <v>5975</v>
      </c>
      <c r="F950" s="17" t="s">
        <v>4485</v>
      </c>
      <c r="G950" s="17" t="s">
        <v>2116</v>
      </c>
      <c r="H950" s="17" t="s">
        <v>5976</v>
      </c>
      <c r="I950" t="s">
        <v>1942</v>
      </c>
    </row>
    <row r="951" spans="1:9" x14ac:dyDescent="0.25">
      <c r="A951" s="17" t="s">
        <v>1831</v>
      </c>
      <c r="B951" s="17" t="s">
        <v>5977</v>
      </c>
      <c r="C951" s="17" t="s">
        <v>5978</v>
      </c>
      <c r="D951" s="17" t="s">
        <v>5979</v>
      </c>
      <c r="E951" s="17" t="s">
        <v>5980</v>
      </c>
      <c r="F951" s="17" t="s">
        <v>5981</v>
      </c>
      <c r="G951" s="17" t="s">
        <v>1949</v>
      </c>
      <c r="H951" s="17" t="s">
        <v>5982</v>
      </c>
      <c r="I951" t="s">
        <v>1951</v>
      </c>
    </row>
    <row r="952" spans="1:9" x14ac:dyDescent="0.25">
      <c r="A952" s="17" t="s">
        <v>1833</v>
      </c>
      <c r="B952" s="17" t="s">
        <v>5983</v>
      </c>
      <c r="C952" s="22" t="s">
        <v>6197</v>
      </c>
      <c r="D952" s="17" t="s">
        <v>5984</v>
      </c>
      <c r="E952" s="17" t="s">
        <v>5985</v>
      </c>
      <c r="F952" s="17" t="s">
        <v>5107</v>
      </c>
      <c r="G952" s="17" t="s">
        <v>1941</v>
      </c>
      <c r="H952" s="17">
        <v>19810</v>
      </c>
      <c r="I952" t="s">
        <v>1942</v>
      </c>
    </row>
    <row r="953" spans="1:9" x14ac:dyDescent="0.25">
      <c r="A953" s="17" t="s">
        <v>1835</v>
      </c>
      <c r="B953" s="17" t="s">
        <v>5986</v>
      </c>
      <c r="C953" s="17" t="s">
        <v>5987</v>
      </c>
      <c r="D953" s="17" t="s">
        <v>5988</v>
      </c>
      <c r="E953" s="17" t="s">
        <v>5989</v>
      </c>
      <c r="F953" s="17" t="s">
        <v>3662</v>
      </c>
      <c r="G953" s="17" t="s">
        <v>1941</v>
      </c>
      <c r="H953" s="17">
        <v>17121</v>
      </c>
      <c r="I953" t="s">
        <v>1951</v>
      </c>
    </row>
    <row r="954" spans="1:9" x14ac:dyDescent="0.25">
      <c r="A954" s="17" t="s">
        <v>1837</v>
      </c>
      <c r="B954" s="17" t="s">
        <v>5990</v>
      </c>
      <c r="C954" s="17" t="s">
        <v>5991</v>
      </c>
      <c r="D954" s="17" t="s">
        <v>5992</v>
      </c>
      <c r="E954" s="17" t="s">
        <v>5993</v>
      </c>
      <c r="F954" s="17" t="s">
        <v>5949</v>
      </c>
      <c r="G954" s="17" t="s">
        <v>1949</v>
      </c>
      <c r="H954" s="17" t="s">
        <v>5950</v>
      </c>
      <c r="I954" t="s">
        <v>1942</v>
      </c>
    </row>
    <row r="955" spans="1:9" x14ac:dyDescent="0.25">
      <c r="A955" s="17" t="s">
        <v>5994</v>
      </c>
      <c r="B955" s="17" t="s">
        <v>5995</v>
      </c>
      <c r="C955" s="17" t="s">
        <v>5996</v>
      </c>
      <c r="D955" s="17" t="s">
        <v>5997</v>
      </c>
      <c r="E955" s="17" t="s">
        <v>5998</v>
      </c>
      <c r="F955" s="17" t="s">
        <v>2448</v>
      </c>
      <c r="G955" s="17" t="s">
        <v>1941</v>
      </c>
      <c r="H955" s="17">
        <v>79940</v>
      </c>
      <c r="I955" t="s">
        <v>1942</v>
      </c>
    </row>
    <row r="956" spans="1:9" x14ac:dyDescent="0.25">
      <c r="A956" s="17" t="s">
        <v>5999</v>
      </c>
      <c r="B956" s="17" t="s">
        <v>6000</v>
      </c>
      <c r="C956" s="17" t="s">
        <v>6001</v>
      </c>
      <c r="D956" s="17" t="s">
        <v>6002</v>
      </c>
      <c r="E956" s="17" t="s">
        <v>6003</v>
      </c>
      <c r="F956" s="17" t="s">
        <v>2013</v>
      </c>
      <c r="G956" s="17" t="s">
        <v>1941</v>
      </c>
      <c r="H956" s="17">
        <v>63136</v>
      </c>
      <c r="I956" t="s">
        <v>1942</v>
      </c>
    </row>
    <row r="957" spans="1:9" x14ac:dyDescent="0.25">
      <c r="A957" s="17" t="s">
        <v>6004</v>
      </c>
      <c r="B957" s="17" t="s">
        <v>6005</v>
      </c>
      <c r="C957" s="17" t="s">
        <v>6006</v>
      </c>
      <c r="D957" s="17" t="s">
        <v>6007</v>
      </c>
      <c r="E957" s="17" t="s">
        <v>6008</v>
      </c>
      <c r="F957" s="17" t="s">
        <v>5028</v>
      </c>
      <c r="G957" s="17" t="s">
        <v>1941</v>
      </c>
      <c r="H957" s="17">
        <v>72905</v>
      </c>
      <c r="I957" t="s">
        <v>1942</v>
      </c>
    </row>
    <row r="958" spans="1:9" x14ac:dyDescent="0.25">
      <c r="A958" s="17" t="s">
        <v>6009</v>
      </c>
      <c r="B958" s="17" t="s">
        <v>6010</v>
      </c>
      <c r="C958" s="17" t="s">
        <v>6011</v>
      </c>
      <c r="D958" s="17" t="s">
        <v>6012</v>
      </c>
      <c r="E958" s="17" t="s">
        <v>6013</v>
      </c>
      <c r="F958" s="17" t="s">
        <v>2506</v>
      </c>
      <c r="G958" s="17" t="s">
        <v>1941</v>
      </c>
      <c r="H958" s="17">
        <v>37245</v>
      </c>
      <c r="I958" t="s">
        <v>1951</v>
      </c>
    </row>
    <row r="959" spans="1:9" x14ac:dyDescent="0.25">
      <c r="A959" s="17" t="s">
        <v>6014</v>
      </c>
      <c r="B959" s="17" t="s">
        <v>6015</v>
      </c>
      <c r="C959" s="17" t="s">
        <v>6016</v>
      </c>
      <c r="D959" s="17" t="s">
        <v>6017</v>
      </c>
      <c r="E959" s="17" t="s">
        <v>6018</v>
      </c>
      <c r="F959" s="17" t="s">
        <v>2186</v>
      </c>
      <c r="G959" s="17" t="s">
        <v>1941</v>
      </c>
      <c r="H959" s="17">
        <v>20088</v>
      </c>
      <c r="I959" t="s">
        <v>1942</v>
      </c>
    </row>
    <row r="960" spans="1:9" x14ac:dyDescent="0.25">
      <c r="A960" s="17" t="s">
        <v>6019</v>
      </c>
      <c r="B960" s="17" t="s">
        <v>6020</v>
      </c>
      <c r="C960" s="17" t="s">
        <v>6021</v>
      </c>
      <c r="D960" s="17" t="s">
        <v>6197</v>
      </c>
      <c r="E960" s="17" t="s">
        <v>6022</v>
      </c>
      <c r="F960" s="17" t="s">
        <v>6023</v>
      </c>
      <c r="G960" s="17" t="s">
        <v>1941</v>
      </c>
      <c r="H960" s="17">
        <v>90305</v>
      </c>
      <c r="I960" t="s">
        <v>1942</v>
      </c>
    </row>
    <row r="961" spans="1:9" x14ac:dyDescent="0.25">
      <c r="A961" s="17" t="s">
        <v>1842</v>
      </c>
      <c r="B961" s="17" t="s">
        <v>6024</v>
      </c>
      <c r="C961" s="17" t="s">
        <v>6025</v>
      </c>
      <c r="D961" s="17" t="s">
        <v>6197</v>
      </c>
      <c r="E961" s="17" t="s">
        <v>6026</v>
      </c>
      <c r="F961" s="17" t="s">
        <v>2127</v>
      </c>
      <c r="G961" s="17" t="s">
        <v>1941</v>
      </c>
      <c r="H961" s="17">
        <v>72215</v>
      </c>
      <c r="I961" t="s">
        <v>1942</v>
      </c>
    </row>
    <row r="962" spans="1:9" x14ac:dyDescent="0.25">
      <c r="A962" s="17" t="s">
        <v>1844</v>
      </c>
      <c r="B962" s="17" t="s">
        <v>6027</v>
      </c>
      <c r="C962" s="17" t="s">
        <v>6028</v>
      </c>
      <c r="D962" s="17" t="s">
        <v>6029</v>
      </c>
      <c r="E962" s="17" t="s">
        <v>6030</v>
      </c>
      <c r="F962" s="17" t="s">
        <v>3703</v>
      </c>
      <c r="G962" s="17" t="s">
        <v>1941</v>
      </c>
      <c r="H962" s="17">
        <v>21747</v>
      </c>
      <c r="I962" t="s">
        <v>1942</v>
      </c>
    </row>
    <row r="963" spans="1:9" x14ac:dyDescent="0.25">
      <c r="A963" s="17" t="s">
        <v>1846</v>
      </c>
      <c r="B963" s="17" t="s">
        <v>6031</v>
      </c>
      <c r="C963" s="22" t="s">
        <v>6197</v>
      </c>
      <c r="D963" s="17" t="s">
        <v>6032</v>
      </c>
      <c r="E963" s="17" t="s">
        <v>6033</v>
      </c>
      <c r="F963" s="17" t="s">
        <v>2881</v>
      </c>
      <c r="G963" s="17" t="s">
        <v>1941</v>
      </c>
      <c r="H963" s="17">
        <v>12205</v>
      </c>
      <c r="I963" t="s">
        <v>1942</v>
      </c>
    </row>
    <row r="964" spans="1:9" x14ac:dyDescent="0.25">
      <c r="A964" s="17" t="s">
        <v>1848</v>
      </c>
      <c r="B964" s="17" t="s">
        <v>6034</v>
      </c>
      <c r="C964" s="17" t="s">
        <v>6035</v>
      </c>
      <c r="D964" s="17" t="s">
        <v>6036</v>
      </c>
      <c r="E964" s="17" t="s">
        <v>6037</v>
      </c>
      <c r="F964" s="17" t="s">
        <v>6038</v>
      </c>
      <c r="G964" s="17" t="s">
        <v>1949</v>
      </c>
      <c r="H964" s="17" t="s">
        <v>3194</v>
      </c>
      <c r="I964" t="s">
        <v>1942</v>
      </c>
    </row>
    <row r="965" spans="1:9" x14ac:dyDescent="0.25">
      <c r="A965" s="17" t="s">
        <v>1850</v>
      </c>
      <c r="B965" s="17" t="s">
        <v>6039</v>
      </c>
      <c r="C965" s="17" t="s">
        <v>6040</v>
      </c>
      <c r="D965" s="17" t="s">
        <v>6041</v>
      </c>
      <c r="E965" s="17" t="s">
        <v>6042</v>
      </c>
      <c r="F965" s="17" t="s">
        <v>3320</v>
      </c>
      <c r="G965" s="17" t="s">
        <v>1941</v>
      </c>
      <c r="H965" s="17">
        <v>40510</v>
      </c>
      <c r="I965" t="s">
        <v>1942</v>
      </c>
    </row>
    <row r="966" spans="1:9" x14ac:dyDescent="0.25">
      <c r="A966" s="17" t="s">
        <v>1852</v>
      </c>
      <c r="B966" s="17" t="s">
        <v>6043</v>
      </c>
      <c r="C966" s="17" t="s">
        <v>6044</v>
      </c>
      <c r="D966" s="17" t="s">
        <v>6045</v>
      </c>
      <c r="E966" s="17" t="s">
        <v>6046</v>
      </c>
      <c r="F966" s="17" t="s">
        <v>3785</v>
      </c>
      <c r="G966" s="17" t="s">
        <v>1941</v>
      </c>
      <c r="H966" s="17">
        <v>92165</v>
      </c>
      <c r="I966" t="s">
        <v>1951</v>
      </c>
    </row>
    <row r="967" spans="1:9" x14ac:dyDescent="0.25">
      <c r="A967" s="17" t="s">
        <v>1854</v>
      </c>
      <c r="B967" s="17" t="s">
        <v>6047</v>
      </c>
      <c r="C967" s="17" t="s">
        <v>6048</v>
      </c>
      <c r="D967" s="17" t="s">
        <v>6197</v>
      </c>
      <c r="E967" s="17" t="s">
        <v>6049</v>
      </c>
      <c r="F967" s="17" t="s">
        <v>1986</v>
      </c>
      <c r="G967" s="17" t="s">
        <v>1941</v>
      </c>
      <c r="H967" s="17">
        <v>90040</v>
      </c>
      <c r="I967" t="s">
        <v>1942</v>
      </c>
    </row>
    <row r="968" spans="1:9" x14ac:dyDescent="0.25">
      <c r="A968" s="17" t="s">
        <v>1856</v>
      </c>
      <c r="B968" s="17" t="s">
        <v>6050</v>
      </c>
      <c r="C968" s="17" t="s">
        <v>6051</v>
      </c>
      <c r="D968" s="17" t="s">
        <v>6052</v>
      </c>
      <c r="E968" s="17" t="s">
        <v>6053</v>
      </c>
      <c r="F968" s="17" t="s">
        <v>2776</v>
      </c>
      <c r="G968" s="17" t="s">
        <v>1941</v>
      </c>
      <c r="H968" s="17">
        <v>11210</v>
      </c>
      <c r="I968" t="s">
        <v>1942</v>
      </c>
    </row>
    <row r="969" spans="1:9" x14ac:dyDescent="0.25">
      <c r="A969" s="17" t="s">
        <v>1858</v>
      </c>
      <c r="B969" s="17" t="s">
        <v>6054</v>
      </c>
      <c r="C969" s="17" t="s">
        <v>6055</v>
      </c>
      <c r="D969" s="17" t="s">
        <v>6056</v>
      </c>
      <c r="E969" s="17" t="s">
        <v>6057</v>
      </c>
      <c r="F969" s="17" t="s">
        <v>6058</v>
      </c>
      <c r="G969" s="17" t="s">
        <v>1949</v>
      </c>
      <c r="H969" s="17" t="s">
        <v>2083</v>
      </c>
      <c r="I969" t="s">
        <v>1942</v>
      </c>
    </row>
    <row r="970" spans="1:9" x14ac:dyDescent="0.25">
      <c r="A970" s="17" t="s">
        <v>1860</v>
      </c>
      <c r="B970" s="17" t="s">
        <v>6059</v>
      </c>
      <c r="C970" s="17" t="s">
        <v>6060</v>
      </c>
      <c r="D970" s="17" t="s">
        <v>6061</v>
      </c>
      <c r="E970" s="17" t="s">
        <v>6062</v>
      </c>
      <c r="F970" s="17" t="s">
        <v>6063</v>
      </c>
      <c r="G970" s="17" t="s">
        <v>1941</v>
      </c>
      <c r="H970" s="17">
        <v>32627</v>
      </c>
      <c r="I970" t="s">
        <v>1951</v>
      </c>
    </row>
    <row r="971" spans="1:9" x14ac:dyDescent="0.25">
      <c r="A971" s="17" t="s">
        <v>1862</v>
      </c>
      <c r="B971" s="17" t="s">
        <v>6064</v>
      </c>
      <c r="C971" s="17" t="s">
        <v>6065</v>
      </c>
      <c r="D971" s="17" t="s">
        <v>6066</v>
      </c>
      <c r="E971" s="17" t="s">
        <v>6067</v>
      </c>
      <c r="F971" s="17" t="s">
        <v>2713</v>
      </c>
      <c r="G971" s="17" t="s">
        <v>1941</v>
      </c>
      <c r="H971" s="17">
        <v>34620</v>
      </c>
      <c r="I971" t="s">
        <v>1942</v>
      </c>
    </row>
    <row r="972" spans="1:9" x14ac:dyDescent="0.25">
      <c r="A972" s="17" t="s">
        <v>1864</v>
      </c>
      <c r="B972" s="17" t="s">
        <v>6068</v>
      </c>
      <c r="C972" s="22" t="s">
        <v>6197</v>
      </c>
      <c r="D972" s="17" t="s">
        <v>6069</v>
      </c>
      <c r="E972" s="17" t="s">
        <v>6070</v>
      </c>
      <c r="F972" s="17" t="s">
        <v>4412</v>
      </c>
      <c r="G972" s="17" t="s">
        <v>1941</v>
      </c>
      <c r="H972" s="17">
        <v>79165</v>
      </c>
      <c r="I972" t="s">
        <v>1951</v>
      </c>
    </row>
    <row r="973" spans="1:9" x14ac:dyDescent="0.25">
      <c r="A973" s="17" t="s">
        <v>1866</v>
      </c>
      <c r="B973" s="17" t="s">
        <v>6071</v>
      </c>
      <c r="C973" s="17" t="s">
        <v>6072</v>
      </c>
      <c r="D973" s="17" t="s">
        <v>6073</v>
      </c>
      <c r="E973" s="17" t="s">
        <v>6074</v>
      </c>
      <c r="F973" s="17" t="s">
        <v>2266</v>
      </c>
      <c r="G973" s="17" t="s">
        <v>1941</v>
      </c>
      <c r="H973" s="17">
        <v>76121</v>
      </c>
      <c r="I973" t="s">
        <v>1951</v>
      </c>
    </row>
    <row r="974" spans="1:9" x14ac:dyDescent="0.25">
      <c r="A974" s="17" t="s">
        <v>1868</v>
      </c>
      <c r="B974" s="17" t="s">
        <v>6075</v>
      </c>
      <c r="C974" s="22" t="s">
        <v>6197</v>
      </c>
      <c r="D974" s="17" t="s">
        <v>6076</v>
      </c>
      <c r="E974" s="17" t="s">
        <v>6077</v>
      </c>
      <c r="F974" s="17" t="s">
        <v>5090</v>
      </c>
      <c r="G974" s="17" t="s">
        <v>1949</v>
      </c>
      <c r="H974" s="17" t="s">
        <v>5091</v>
      </c>
      <c r="I974" t="s">
        <v>1942</v>
      </c>
    </row>
    <row r="975" spans="1:9" x14ac:dyDescent="0.25">
      <c r="A975" s="17" t="s">
        <v>1870</v>
      </c>
      <c r="B975" s="17" t="s">
        <v>6078</v>
      </c>
      <c r="C975" s="17" t="s">
        <v>6079</v>
      </c>
      <c r="D975" s="17" t="s">
        <v>6080</v>
      </c>
      <c r="E975" s="17" t="s">
        <v>6081</v>
      </c>
      <c r="F975" s="17" t="s">
        <v>2225</v>
      </c>
      <c r="G975" s="17" t="s">
        <v>1941</v>
      </c>
      <c r="H975" s="17">
        <v>32575</v>
      </c>
      <c r="I975" t="s">
        <v>1951</v>
      </c>
    </row>
    <row r="976" spans="1:9" x14ac:dyDescent="0.25">
      <c r="A976" s="17" t="s">
        <v>1872</v>
      </c>
      <c r="B976" s="17" t="s">
        <v>6082</v>
      </c>
      <c r="C976" s="17" t="s">
        <v>6083</v>
      </c>
      <c r="D976" s="17" t="s">
        <v>6084</v>
      </c>
      <c r="E976" s="17" t="s">
        <v>6085</v>
      </c>
      <c r="F976" s="17" t="s">
        <v>3148</v>
      </c>
      <c r="G976" s="17" t="s">
        <v>1941</v>
      </c>
      <c r="H976" s="17">
        <v>98405</v>
      </c>
      <c r="I976" t="s">
        <v>1942</v>
      </c>
    </row>
    <row r="977" spans="1:9" x14ac:dyDescent="0.25">
      <c r="A977" s="17" t="s">
        <v>1874</v>
      </c>
      <c r="B977" s="17" t="s">
        <v>6086</v>
      </c>
      <c r="C977" s="17" t="s">
        <v>6087</v>
      </c>
      <c r="D977" s="17" t="s">
        <v>6088</v>
      </c>
      <c r="E977" s="17" t="s">
        <v>6089</v>
      </c>
      <c r="F977" s="17" t="s">
        <v>6090</v>
      </c>
      <c r="G977" s="17" t="s">
        <v>1949</v>
      </c>
      <c r="H977" s="17" t="s">
        <v>3183</v>
      </c>
      <c r="I977" t="s">
        <v>1942</v>
      </c>
    </row>
    <row r="978" spans="1:9" x14ac:dyDescent="0.25">
      <c r="A978" s="17" t="s">
        <v>1876</v>
      </c>
      <c r="B978" s="17" t="s">
        <v>6091</v>
      </c>
      <c r="C978" s="17" t="s">
        <v>6092</v>
      </c>
      <c r="D978" s="17" t="s">
        <v>6093</v>
      </c>
      <c r="E978" s="17" t="s">
        <v>6094</v>
      </c>
      <c r="F978" s="17" t="s">
        <v>2238</v>
      </c>
      <c r="G978" s="17" t="s">
        <v>1941</v>
      </c>
      <c r="H978" s="17">
        <v>46896</v>
      </c>
      <c r="I978" t="s">
        <v>1942</v>
      </c>
    </row>
    <row r="979" spans="1:9" x14ac:dyDescent="0.25">
      <c r="A979" s="17" t="s">
        <v>1878</v>
      </c>
      <c r="B979" s="17" t="s">
        <v>6095</v>
      </c>
      <c r="C979" s="17" t="s">
        <v>6096</v>
      </c>
      <c r="D979" s="17" t="s">
        <v>6097</v>
      </c>
      <c r="E979" s="17" t="s">
        <v>6098</v>
      </c>
      <c r="F979" s="17" t="s">
        <v>4412</v>
      </c>
      <c r="G979" s="17" t="s">
        <v>1941</v>
      </c>
      <c r="H979" s="17">
        <v>79105</v>
      </c>
      <c r="I979" t="s">
        <v>1951</v>
      </c>
    </row>
    <row r="980" spans="1:9" x14ac:dyDescent="0.25">
      <c r="A980" s="17" t="s">
        <v>6099</v>
      </c>
      <c r="B980" s="17" t="s">
        <v>6100</v>
      </c>
      <c r="C980" s="17" t="s">
        <v>6101</v>
      </c>
      <c r="D980" s="17" t="s">
        <v>6102</v>
      </c>
      <c r="E980" s="17" t="s">
        <v>6103</v>
      </c>
      <c r="F980" s="17" t="s">
        <v>2186</v>
      </c>
      <c r="G980" s="17" t="s">
        <v>1941</v>
      </c>
      <c r="H980" s="17">
        <v>20436</v>
      </c>
      <c r="I980" t="s">
        <v>1942</v>
      </c>
    </row>
    <row r="981" spans="1:9" x14ac:dyDescent="0.25">
      <c r="A981" s="17" t="s">
        <v>1881</v>
      </c>
      <c r="B981" s="17" t="s">
        <v>6104</v>
      </c>
      <c r="C981" s="22" t="s">
        <v>6197</v>
      </c>
      <c r="D981" s="17" t="s">
        <v>6105</v>
      </c>
      <c r="E981" s="17" t="s">
        <v>6106</v>
      </c>
      <c r="F981" s="17" t="s">
        <v>6107</v>
      </c>
      <c r="G981" s="17" t="s">
        <v>1941</v>
      </c>
      <c r="H981" s="17">
        <v>20910</v>
      </c>
      <c r="I981" t="s">
        <v>1951</v>
      </c>
    </row>
    <row r="982" spans="1:9" x14ac:dyDescent="0.25">
      <c r="A982" s="17" t="s">
        <v>1883</v>
      </c>
      <c r="B982" s="17" t="s">
        <v>6108</v>
      </c>
      <c r="C982" s="22" t="s">
        <v>6197</v>
      </c>
      <c r="D982" s="17" t="s">
        <v>6109</v>
      </c>
      <c r="E982" s="17" t="s">
        <v>6110</v>
      </c>
      <c r="F982" s="17" t="s">
        <v>3823</v>
      </c>
      <c r="G982" s="17" t="s">
        <v>1941</v>
      </c>
      <c r="H982" s="17">
        <v>53726</v>
      </c>
      <c r="I982" t="s">
        <v>1942</v>
      </c>
    </row>
    <row r="983" spans="1:9" x14ac:dyDescent="0.25">
      <c r="A983" s="17" t="s">
        <v>1885</v>
      </c>
      <c r="B983" s="17" t="s">
        <v>6111</v>
      </c>
      <c r="C983" s="17" t="s">
        <v>6112</v>
      </c>
      <c r="D983" s="17" t="s">
        <v>6113</v>
      </c>
      <c r="E983" s="17" t="s">
        <v>6114</v>
      </c>
      <c r="F983" s="17" t="s">
        <v>6115</v>
      </c>
      <c r="G983" s="17" t="s">
        <v>1941</v>
      </c>
      <c r="H983" s="17">
        <v>77305</v>
      </c>
      <c r="I983" t="s">
        <v>1942</v>
      </c>
    </row>
    <row r="984" spans="1:9" x14ac:dyDescent="0.25">
      <c r="A984" s="17" t="s">
        <v>1887</v>
      </c>
      <c r="B984" s="17" t="s">
        <v>6116</v>
      </c>
      <c r="C984" s="17" t="s">
        <v>6117</v>
      </c>
      <c r="D984" s="17" t="s">
        <v>6118</v>
      </c>
      <c r="E984" s="17" t="s">
        <v>6119</v>
      </c>
      <c r="F984" s="17" t="s">
        <v>3179</v>
      </c>
      <c r="G984" s="17" t="s">
        <v>1941</v>
      </c>
      <c r="H984" s="17">
        <v>76205</v>
      </c>
      <c r="I984" t="s">
        <v>1942</v>
      </c>
    </row>
    <row r="985" spans="1:9" x14ac:dyDescent="0.25">
      <c r="A985" s="17" t="s">
        <v>1889</v>
      </c>
      <c r="B985" s="17" t="s">
        <v>6120</v>
      </c>
      <c r="C985" s="17" t="s">
        <v>6121</v>
      </c>
      <c r="D985" s="17" t="s">
        <v>6122</v>
      </c>
      <c r="E985" s="17" t="s">
        <v>6123</v>
      </c>
      <c r="F985" s="17" t="s">
        <v>2287</v>
      </c>
      <c r="G985" s="17" t="s">
        <v>1941</v>
      </c>
      <c r="H985" s="17">
        <v>43231</v>
      </c>
      <c r="I985" t="s">
        <v>1942</v>
      </c>
    </row>
    <row r="986" spans="1:9" x14ac:dyDescent="0.25">
      <c r="A986" s="17" t="s">
        <v>1891</v>
      </c>
      <c r="B986" s="17" t="s">
        <v>6124</v>
      </c>
      <c r="C986" s="17" t="s">
        <v>6125</v>
      </c>
      <c r="D986" s="17" t="s">
        <v>6197</v>
      </c>
      <c r="E986" s="17" t="s">
        <v>6126</v>
      </c>
      <c r="F986" s="17" t="s">
        <v>6127</v>
      </c>
      <c r="G986" s="17" t="s">
        <v>1949</v>
      </c>
      <c r="H986" s="17" t="s">
        <v>3263</v>
      </c>
      <c r="I986" t="s">
        <v>1942</v>
      </c>
    </row>
    <row r="987" spans="1:9" x14ac:dyDescent="0.25">
      <c r="A987" s="17" t="s">
        <v>1893</v>
      </c>
      <c r="B987" s="17" t="s">
        <v>6128</v>
      </c>
      <c r="C987" s="17" t="s">
        <v>6129</v>
      </c>
      <c r="D987" s="17" t="s">
        <v>6130</v>
      </c>
      <c r="E987" s="17" t="s">
        <v>6131</v>
      </c>
      <c r="F987" s="17" t="s">
        <v>2093</v>
      </c>
      <c r="G987" s="17" t="s">
        <v>1941</v>
      </c>
      <c r="H987" s="17">
        <v>80045</v>
      </c>
      <c r="I987" t="s">
        <v>1951</v>
      </c>
    </row>
    <row r="988" spans="1:9" x14ac:dyDescent="0.25">
      <c r="A988" s="17" t="s">
        <v>1895</v>
      </c>
      <c r="B988" s="17" t="s">
        <v>6132</v>
      </c>
      <c r="C988" s="17" t="s">
        <v>6133</v>
      </c>
      <c r="D988" s="17" t="s">
        <v>6134</v>
      </c>
      <c r="E988" s="17" t="s">
        <v>6135</v>
      </c>
      <c r="F988" s="17" t="s">
        <v>6136</v>
      </c>
      <c r="G988" s="17" t="s">
        <v>1941</v>
      </c>
      <c r="H988" s="17">
        <v>32128</v>
      </c>
      <c r="I988" t="s">
        <v>1951</v>
      </c>
    </row>
    <row r="989" spans="1:9" x14ac:dyDescent="0.25">
      <c r="A989" s="17" t="s">
        <v>1897</v>
      </c>
      <c r="B989" s="17" t="s">
        <v>6137</v>
      </c>
      <c r="C989" s="17" t="s">
        <v>6138</v>
      </c>
      <c r="D989" s="17" t="s">
        <v>6139</v>
      </c>
      <c r="E989" s="17" t="s">
        <v>6140</v>
      </c>
      <c r="F989" s="17" t="s">
        <v>4084</v>
      </c>
      <c r="G989" s="17" t="s">
        <v>2116</v>
      </c>
      <c r="H989" s="17" t="s">
        <v>2393</v>
      </c>
      <c r="I989" t="s">
        <v>1942</v>
      </c>
    </row>
    <row r="990" spans="1:9" x14ac:dyDescent="0.25">
      <c r="A990" s="17" t="s">
        <v>1899</v>
      </c>
      <c r="B990" s="17" t="s">
        <v>6141</v>
      </c>
      <c r="C990" s="22" t="s">
        <v>6197</v>
      </c>
      <c r="D990" s="17" t="s">
        <v>6142</v>
      </c>
      <c r="E990" s="17" t="s">
        <v>6143</v>
      </c>
      <c r="F990" s="17" t="s">
        <v>6144</v>
      </c>
      <c r="G990" s="17" t="s">
        <v>2116</v>
      </c>
      <c r="H990" s="17" t="s">
        <v>6145</v>
      </c>
      <c r="I990" t="s">
        <v>1942</v>
      </c>
    </row>
    <row r="991" spans="1:9" x14ac:dyDescent="0.25">
      <c r="A991" s="17" t="s">
        <v>1901</v>
      </c>
      <c r="B991" s="17" t="s">
        <v>6146</v>
      </c>
      <c r="C991" s="22" t="s">
        <v>6197</v>
      </c>
      <c r="D991" s="17" t="s">
        <v>6147</v>
      </c>
      <c r="E991" s="17" t="s">
        <v>6148</v>
      </c>
      <c r="F991" s="17" t="s">
        <v>2013</v>
      </c>
      <c r="G991" s="17" t="s">
        <v>1941</v>
      </c>
      <c r="H991" s="17">
        <v>63131</v>
      </c>
      <c r="I991" t="s">
        <v>1942</v>
      </c>
    </row>
    <row r="992" spans="1:9" x14ac:dyDescent="0.25">
      <c r="A992" s="17" t="s">
        <v>6149</v>
      </c>
      <c r="B992" s="17" t="s">
        <v>6150</v>
      </c>
      <c r="C992" s="17" t="s">
        <v>6151</v>
      </c>
      <c r="D992" s="17" t="s">
        <v>6152</v>
      </c>
      <c r="E992" s="17" t="s">
        <v>6153</v>
      </c>
      <c r="F992" s="17" t="s">
        <v>6154</v>
      </c>
      <c r="G992" s="17" t="s">
        <v>1941</v>
      </c>
      <c r="H992" s="17">
        <v>92056</v>
      </c>
      <c r="I992" t="s">
        <v>1951</v>
      </c>
    </row>
    <row r="993" spans="1:9" x14ac:dyDescent="0.25">
      <c r="A993" s="17" t="s">
        <v>6155</v>
      </c>
      <c r="B993" s="17" t="s">
        <v>6156</v>
      </c>
      <c r="C993" s="22" t="s">
        <v>6197</v>
      </c>
      <c r="D993" s="17" t="s">
        <v>6157</v>
      </c>
      <c r="E993" s="17" t="s">
        <v>6158</v>
      </c>
      <c r="F993" s="17" t="s">
        <v>2678</v>
      </c>
      <c r="G993" s="17" t="s">
        <v>1941</v>
      </c>
      <c r="H993" s="17">
        <v>37416</v>
      </c>
      <c r="I993" t="s">
        <v>1942</v>
      </c>
    </row>
    <row r="994" spans="1:9" x14ac:dyDescent="0.25">
      <c r="A994" s="17" t="s">
        <v>1905</v>
      </c>
      <c r="B994" s="17" t="s">
        <v>6159</v>
      </c>
      <c r="C994" s="22" t="s">
        <v>6197</v>
      </c>
      <c r="D994" s="17" t="s">
        <v>6160</v>
      </c>
      <c r="E994" s="17" t="s">
        <v>6161</v>
      </c>
      <c r="F994" s="17" t="s">
        <v>3967</v>
      </c>
      <c r="G994" s="17" t="s">
        <v>1949</v>
      </c>
      <c r="H994" s="17" t="s">
        <v>2771</v>
      </c>
      <c r="I994" t="s">
        <v>1951</v>
      </c>
    </row>
    <row r="995" spans="1:9" x14ac:dyDescent="0.25">
      <c r="A995" s="17" t="s">
        <v>1907</v>
      </c>
      <c r="B995" s="17" t="s">
        <v>6162</v>
      </c>
      <c r="C995" s="22" t="s">
        <v>6197</v>
      </c>
      <c r="D995" s="17" t="s">
        <v>6163</v>
      </c>
      <c r="E995" s="17" t="s">
        <v>6164</v>
      </c>
      <c r="F995" s="17" t="s">
        <v>2017</v>
      </c>
      <c r="G995" s="17" t="s">
        <v>1941</v>
      </c>
      <c r="H995" s="17">
        <v>19125</v>
      </c>
      <c r="I995" t="s">
        <v>1951</v>
      </c>
    </row>
    <row r="996" spans="1:9" x14ac:dyDescent="0.25">
      <c r="A996" s="17" t="s">
        <v>1909</v>
      </c>
      <c r="B996" s="17" t="s">
        <v>6165</v>
      </c>
      <c r="C996" s="22" t="s">
        <v>6197</v>
      </c>
      <c r="D996" s="17" t="s">
        <v>6166</v>
      </c>
      <c r="E996" s="17" t="s">
        <v>6167</v>
      </c>
      <c r="F996" s="17" t="s">
        <v>3912</v>
      </c>
      <c r="G996" s="17" t="s">
        <v>1949</v>
      </c>
      <c r="H996" s="17" t="s">
        <v>3913</v>
      </c>
      <c r="I996" t="s">
        <v>1951</v>
      </c>
    </row>
    <row r="997" spans="1:9" x14ac:dyDescent="0.25">
      <c r="A997" s="17" t="s">
        <v>1911</v>
      </c>
      <c r="B997" s="17" t="s">
        <v>6168</v>
      </c>
      <c r="C997" s="17" t="s">
        <v>6169</v>
      </c>
      <c r="D997" s="17" t="s">
        <v>6170</v>
      </c>
      <c r="E997" s="17" t="s">
        <v>6171</v>
      </c>
      <c r="F997" s="17" t="s">
        <v>2325</v>
      </c>
      <c r="G997" s="17" t="s">
        <v>1941</v>
      </c>
      <c r="H997" s="17">
        <v>75210</v>
      </c>
      <c r="I997" t="s">
        <v>1951</v>
      </c>
    </row>
    <row r="998" spans="1:9" x14ac:dyDescent="0.25">
      <c r="A998" s="17" t="s">
        <v>1903</v>
      </c>
      <c r="B998" s="17" t="s">
        <v>6172</v>
      </c>
      <c r="C998" s="22" t="s">
        <v>6197</v>
      </c>
      <c r="D998" s="17" t="s">
        <v>6173</v>
      </c>
      <c r="E998" s="17" t="s">
        <v>6174</v>
      </c>
      <c r="F998" s="17" t="s">
        <v>5028</v>
      </c>
      <c r="G998" s="17" t="s">
        <v>1941</v>
      </c>
      <c r="H998" s="17">
        <v>72905</v>
      </c>
      <c r="I998" t="s">
        <v>1951</v>
      </c>
    </row>
    <row r="999" spans="1:9" x14ac:dyDescent="0.25">
      <c r="A999" s="17" t="s">
        <v>6175</v>
      </c>
      <c r="B999" s="17" t="s">
        <v>6176</v>
      </c>
      <c r="C999" s="22" t="s">
        <v>6197</v>
      </c>
      <c r="D999" s="17" t="s">
        <v>6177</v>
      </c>
      <c r="E999" s="17" t="s">
        <v>6178</v>
      </c>
      <c r="F999" s="17" t="s">
        <v>2340</v>
      </c>
      <c r="G999" s="17" t="s">
        <v>1941</v>
      </c>
      <c r="H999" s="17">
        <v>80920</v>
      </c>
      <c r="I999" t="s">
        <v>1942</v>
      </c>
    </row>
    <row r="1000" spans="1:9" x14ac:dyDescent="0.25">
      <c r="A1000" s="17" t="s">
        <v>1915</v>
      </c>
      <c r="B1000" s="17" t="s">
        <v>6179</v>
      </c>
      <c r="C1000" s="17" t="s">
        <v>6180</v>
      </c>
      <c r="D1000" s="17" t="s">
        <v>6181</v>
      </c>
      <c r="E1000" s="17" t="s">
        <v>6182</v>
      </c>
      <c r="F1000" s="17" t="s">
        <v>2758</v>
      </c>
      <c r="G1000" s="17" t="s">
        <v>1941</v>
      </c>
      <c r="H1000" s="17">
        <v>90610</v>
      </c>
      <c r="I1000" t="s">
        <v>1951</v>
      </c>
    </row>
    <row r="1001" spans="1:9" x14ac:dyDescent="0.25">
      <c r="A1001" s="17" t="s">
        <v>1917</v>
      </c>
      <c r="B1001" s="17" t="s">
        <v>6183</v>
      </c>
      <c r="C1001" s="22" t="s">
        <v>6197</v>
      </c>
      <c r="D1001" s="17" t="s">
        <v>6184</v>
      </c>
      <c r="E1001" s="17" t="s">
        <v>6185</v>
      </c>
      <c r="F1001" s="17" t="s">
        <v>4485</v>
      </c>
      <c r="G1001" s="17" t="s">
        <v>2116</v>
      </c>
      <c r="H1001" s="17" t="s">
        <v>6186</v>
      </c>
      <c r="I1001" t="s">
        <v>1942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D1" sqref="D1"/>
    </sheetView>
  </sheetViews>
  <sheetFormatPr defaultRowHeight="15" x14ac:dyDescent="0.25"/>
  <cols>
    <col min="2" max="2" width="10.7109375" bestFit="1" customWidth="1"/>
    <col min="3" max="3" width="9.85546875" bestFit="1" customWidth="1"/>
    <col min="5" max="5" width="11.42578125" customWidth="1"/>
    <col min="6" max="6" width="12.5703125" customWidth="1"/>
  </cols>
  <sheetData>
    <row r="1" spans="1:7" x14ac:dyDescent="0.25">
      <c r="A1" s="13" t="s">
        <v>1921</v>
      </c>
      <c r="B1" s="14" t="s">
        <v>1926</v>
      </c>
      <c r="C1" s="15" t="s">
        <v>1927</v>
      </c>
      <c r="D1" s="15" t="s">
        <v>1928</v>
      </c>
      <c r="E1" s="15" t="s">
        <v>1929</v>
      </c>
      <c r="F1" s="16" t="s">
        <v>6187</v>
      </c>
      <c r="G1" s="15" t="s">
        <v>6188</v>
      </c>
    </row>
    <row r="2" spans="1:7" x14ac:dyDescent="0.25">
      <c r="A2" t="s">
        <v>115</v>
      </c>
      <c r="B2" t="s">
        <v>6189</v>
      </c>
      <c r="C2" t="s">
        <v>6193</v>
      </c>
      <c r="D2" s="18">
        <v>0.2</v>
      </c>
      <c r="E2">
        <v>3.8849999999999998</v>
      </c>
      <c r="F2">
        <v>1.9424999999999999</v>
      </c>
      <c r="G2">
        <v>0.34964999999999996</v>
      </c>
    </row>
    <row r="3" spans="1:7" x14ac:dyDescent="0.25">
      <c r="A3" t="s">
        <v>192</v>
      </c>
      <c r="B3" t="s">
        <v>6189</v>
      </c>
      <c r="C3" t="s">
        <v>6193</v>
      </c>
      <c r="D3" s="18">
        <v>0.5</v>
      </c>
      <c r="E3">
        <v>7.77</v>
      </c>
      <c r="F3">
        <v>1.5539999999999998</v>
      </c>
      <c r="G3">
        <v>0.69929999999999992</v>
      </c>
    </row>
    <row r="4" spans="1:7" x14ac:dyDescent="0.25">
      <c r="A4" t="s">
        <v>6</v>
      </c>
      <c r="B4" t="s">
        <v>6189</v>
      </c>
      <c r="C4" t="s">
        <v>6193</v>
      </c>
      <c r="D4" s="18">
        <v>1</v>
      </c>
      <c r="E4">
        <v>12.95</v>
      </c>
      <c r="F4">
        <v>1.2949999999999999</v>
      </c>
      <c r="G4">
        <v>1.1655</v>
      </c>
    </row>
    <row r="5" spans="1:7" x14ac:dyDescent="0.25">
      <c r="A5" t="s">
        <v>204</v>
      </c>
      <c r="B5" t="s">
        <v>6189</v>
      </c>
      <c r="C5" t="s">
        <v>6193</v>
      </c>
      <c r="D5" s="18">
        <v>2.5</v>
      </c>
      <c r="E5">
        <v>29.784999999999997</v>
      </c>
      <c r="F5">
        <v>1.1913999999999998</v>
      </c>
      <c r="G5">
        <v>2.6806499999999995</v>
      </c>
    </row>
    <row r="6" spans="1:7" x14ac:dyDescent="0.25">
      <c r="A6" t="s">
        <v>44</v>
      </c>
      <c r="B6" t="s">
        <v>6189</v>
      </c>
      <c r="C6" t="s">
        <v>6201</v>
      </c>
      <c r="D6" s="18">
        <v>0.2</v>
      </c>
      <c r="E6">
        <v>3.375</v>
      </c>
      <c r="F6">
        <v>1.6875</v>
      </c>
      <c r="G6">
        <v>0.30374999999999996</v>
      </c>
    </row>
    <row r="7" spans="1:7" x14ac:dyDescent="0.25">
      <c r="A7" t="s">
        <v>67</v>
      </c>
      <c r="B7" t="s">
        <v>6189</v>
      </c>
      <c r="C7" t="s">
        <v>6201</v>
      </c>
      <c r="D7" s="18">
        <v>0.5</v>
      </c>
      <c r="E7">
        <v>6.75</v>
      </c>
      <c r="F7">
        <v>1.35</v>
      </c>
      <c r="G7">
        <v>0.60749999999999993</v>
      </c>
    </row>
    <row r="8" spans="1:7" x14ac:dyDescent="0.25">
      <c r="A8" t="s">
        <v>61</v>
      </c>
      <c r="B8" t="s">
        <v>6189</v>
      </c>
      <c r="C8" t="s">
        <v>6201</v>
      </c>
      <c r="D8" s="18">
        <v>1</v>
      </c>
      <c r="E8">
        <v>11.25</v>
      </c>
      <c r="F8">
        <v>1.125</v>
      </c>
      <c r="G8">
        <v>1.0125</v>
      </c>
    </row>
    <row r="9" spans="1:7" x14ac:dyDescent="0.25">
      <c r="A9" t="s">
        <v>171</v>
      </c>
      <c r="B9" t="s">
        <v>6189</v>
      </c>
      <c r="C9" t="s">
        <v>6201</v>
      </c>
      <c r="D9" s="18">
        <v>2.5</v>
      </c>
      <c r="E9">
        <v>25.874999999999996</v>
      </c>
      <c r="F9">
        <v>1.0349999999999999</v>
      </c>
      <c r="G9">
        <v>2.3287499999999994</v>
      </c>
    </row>
    <row r="10" spans="1:7" x14ac:dyDescent="0.25">
      <c r="A10" t="s">
        <v>54</v>
      </c>
      <c r="B10" t="s">
        <v>6189</v>
      </c>
      <c r="C10" t="s">
        <v>6194</v>
      </c>
      <c r="D10" s="18">
        <v>0.2</v>
      </c>
      <c r="E10">
        <v>2.9849999999999999</v>
      </c>
      <c r="F10">
        <v>1.4924999999999999</v>
      </c>
      <c r="G10">
        <v>0.26865</v>
      </c>
    </row>
    <row r="11" spans="1:7" x14ac:dyDescent="0.25">
      <c r="A11" t="s">
        <v>72</v>
      </c>
      <c r="B11" t="s">
        <v>6189</v>
      </c>
      <c r="C11" t="s">
        <v>6194</v>
      </c>
      <c r="D11" s="18">
        <v>0.5</v>
      </c>
      <c r="E11">
        <v>5.97</v>
      </c>
      <c r="F11">
        <v>1.194</v>
      </c>
      <c r="G11">
        <v>0.5373</v>
      </c>
    </row>
    <row r="12" spans="1:7" x14ac:dyDescent="0.25">
      <c r="A12" t="s">
        <v>27</v>
      </c>
      <c r="B12" t="s">
        <v>6189</v>
      </c>
      <c r="C12" t="s">
        <v>6194</v>
      </c>
      <c r="D12" s="18">
        <v>1</v>
      </c>
      <c r="E12">
        <v>9.9499999999999993</v>
      </c>
      <c r="F12">
        <v>0.99499999999999988</v>
      </c>
      <c r="G12">
        <v>0.89549999999999985</v>
      </c>
    </row>
    <row r="13" spans="1:7" x14ac:dyDescent="0.25">
      <c r="A13" t="s">
        <v>118</v>
      </c>
      <c r="B13" t="s">
        <v>6189</v>
      </c>
      <c r="C13" t="s">
        <v>6194</v>
      </c>
      <c r="D13" s="18">
        <v>2.5</v>
      </c>
      <c r="E13">
        <v>22.884999999999998</v>
      </c>
      <c r="F13">
        <v>0.91539999999999988</v>
      </c>
      <c r="G13">
        <v>2.0596499999999995</v>
      </c>
    </row>
    <row r="14" spans="1:7" x14ac:dyDescent="0.25">
      <c r="A14" t="s">
        <v>182</v>
      </c>
      <c r="B14" t="s">
        <v>6190</v>
      </c>
      <c r="C14" t="s">
        <v>6193</v>
      </c>
      <c r="D14" s="18">
        <v>0.2</v>
      </c>
      <c r="E14">
        <v>3.5849999999999995</v>
      </c>
      <c r="F14">
        <v>1.7924999999999998</v>
      </c>
      <c r="G14">
        <v>0.21509999999999996</v>
      </c>
    </row>
    <row r="15" spans="1:7" x14ac:dyDescent="0.25">
      <c r="A15" t="s">
        <v>157</v>
      </c>
      <c r="B15" t="s">
        <v>6190</v>
      </c>
      <c r="C15" t="s">
        <v>6193</v>
      </c>
      <c r="D15" s="18">
        <v>0.5</v>
      </c>
      <c r="E15">
        <v>7.169999999999999</v>
      </c>
      <c r="F15">
        <v>1.4339999999999997</v>
      </c>
      <c r="G15">
        <v>0.43019999999999992</v>
      </c>
    </row>
    <row r="16" spans="1:7" x14ac:dyDescent="0.25">
      <c r="A16" t="s">
        <v>189</v>
      </c>
      <c r="B16" t="s">
        <v>6190</v>
      </c>
      <c r="C16" t="s">
        <v>6193</v>
      </c>
      <c r="D16" s="18">
        <v>1</v>
      </c>
      <c r="E16">
        <v>11.95</v>
      </c>
      <c r="F16">
        <v>1.1949999999999998</v>
      </c>
      <c r="G16">
        <v>0.71699999999999997</v>
      </c>
    </row>
    <row r="17" spans="1:7" x14ac:dyDescent="0.25">
      <c r="A17" t="s">
        <v>10</v>
      </c>
      <c r="B17" t="s">
        <v>6190</v>
      </c>
      <c r="C17" t="s">
        <v>6193</v>
      </c>
      <c r="D17" s="18">
        <v>2.5</v>
      </c>
      <c r="E17">
        <v>27.484999999999996</v>
      </c>
      <c r="F17">
        <v>1.0993999999999999</v>
      </c>
      <c r="G17">
        <v>1.6490999999999998</v>
      </c>
    </row>
    <row r="18" spans="1:7" x14ac:dyDescent="0.25">
      <c r="A18" t="s">
        <v>162</v>
      </c>
      <c r="B18" t="s">
        <v>6190</v>
      </c>
      <c r="C18" t="s">
        <v>6201</v>
      </c>
      <c r="D18" s="18">
        <v>0.2</v>
      </c>
      <c r="E18">
        <v>2.9849999999999999</v>
      </c>
      <c r="F18">
        <v>1.4924999999999999</v>
      </c>
      <c r="G18">
        <v>0.17909999999999998</v>
      </c>
    </row>
    <row r="19" spans="1:7" x14ac:dyDescent="0.25">
      <c r="A19" t="s">
        <v>22</v>
      </c>
      <c r="B19" t="s">
        <v>6190</v>
      </c>
      <c r="C19" t="s">
        <v>6201</v>
      </c>
      <c r="D19" s="18">
        <v>0.5</v>
      </c>
      <c r="E19">
        <v>5.97</v>
      </c>
      <c r="F19">
        <v>1.194</v>
      </c>
      <c r="G19">
        <v>0.35819999999999996</v>
      </c>
    </row>
    <row r="20" spans="1:7" x14ac:dyDescent="0.25">
      <c r="A20" t="s">
        <v>2</v>
      </c>
      <c r="B20" t="s">
        <v>6190</v>
      </c>
      <c r="C20" t="s">
        <v>6201</v>
      </c>
      <c r="D20" s="18">
        <v>1</v>
      </c>
      <c r="E20">
        <v>9.9499999999999993</v>
      </c>
      <c r="F20">
        <v>0.99499999999999988</v>
      </c>
      <c r="G20">
        <v>0.59699999999999998</v>
      </c>
    </row>
    <row r="21" spans="1:7" x14ac:dyDescent="0.25">
      <c r="A21" t="s">
        <v>41</v>
      </c>
      <c r="B21" t="s">
        <v>6190</v>
      </c>
      <c r="C21" t="s">
        <v>6201</v>
      </c>
      <c r="D21" s="18">
        <v>2.5</v>
      </c>
      <c r="E21">
        <v>22.884999999999998</v>
      </c>
      <c r="F21">
        <v>0.91539999999999988</v>
      </c>
      <c r="G21">
        <v>1.3730999999999998</v>
      </c>
    </row>
    <row r="22" spans="1:7" x14ac:dyDescent="0.25">
      <c r="A22" t="s">
        <v>101</v>
      </c>
      <c r="B22" t="s">
        <v>6190</v>
      </c>
      <c r="C22" t="s">
        <v>6194</v>
      </c>
      <c r="D22" s="18">
        <v>0.2</v>
      </c>
      <c r="E22">
        <v>2.6849999999999996</v>
      </c>
      <c r="F22">
        <v>1.3424999999999998</v>
      </c>
      <c r="G22">
        <v>0.16109999999999997</v>
      </c>
    </row>
    <row r="23" spans="1:7" x14ac:dyDescent="0.25">
      <c r="A23" t="s">
        <v>146</v>
      </c>
      <c r="B23" t="s">
        <v>6190</v>
      </c>
      <c r="C23" t="s">
        <v>6194</v>
      </c>
      <c r="D23" s="18">
        <v>0.5</v>
      </c>
      <c r="E23">
        <v>5.3699999999999992</v>
      </c>
      <c r="F23">
        <v>1.0739999999999998</v>
      </c>
      <c r="G23">
        <v>0.32219999999999993</v>
      </c>
    </row>
    <row r="24" spans="1:7" x14ac:dyDescent="0.25">
      <c r="A24" t="s">
        <v>179</v>
      </c>
      <c r="B24" t="s">
        <v>6190</v>
      </c>
      <c r="C24" t="s">
        <v>6194</v>
      </c>
      <c r="D24" s="18">
        <v>1</v>
      </c>
      <c r="E24">
        <v>8.9499999999999993</v>
      </c>
      <c r="F24">
        <v>0.89499999999999991</v>
      </c>
      <c r="G24">
        <v>0.53699999999999992</v>
      </c>
    </row>
    <row r="25" spans="1:7" x14ac:dyDescent="0.25">
      <c r="A25" t="s">
        <v>35</v>
      </c>
      <c r="B25" t="s">
        <v>6190</v>
      </c>
      <c r="C25" t="s">
        <v>6194</v>
      </c>
      <c r="D25" s="18">
        <v>2.5</v>
      </c>
      <c r="E25">
        <v>20.584999999999997</v>
      </c>
      <c r="F25">
        <v>0.82339999999999991</v>
      </c>
      <c r="G25">
        <v>1.2350999999999999</v>
      </c>
    </row>
    <row r="26" spans="1:7" x14ac:dyDescent="0.25">
      <c r="A26" t="s">
        <v>19</v>
      </c>
      <c r="B26" t="s">
        <v>6191</v>
      </c>
      <c r="C26" t="s">
        <v>6193</v>
      </c>
      <c r="D26" s="18">
        <v>0.2</v>
      </c>
      <c r="E26">
        <v>4.7549999999999999</v>
      </c>
      <c r="F26">
        <v>2.3774999999999999</v>
      </c>
      <c r="G26">
        <v>0.61814999999999998</v>
      </c>
    </row>
    <row r="27" spans="1:7" x14ac:dyDescent="0.25">
      <c r="A27" t="s">
        <v>83</v>
      </c>
      <c r="B27" t="s">
        <v>6191</v>
      </c>
      <c r="C27" t="s">
        <v>6193</v>
      </c>
      <c r="D27" s="18">
        <v>0.5</v>
      </c>
      <c r="E27">
        <v>9.51</v>
      </c>
      <c r="F27">
        <v>1.9019999999999999</v>
      </c>
      <c r="G27">
        <v>1.2363</v>
      </c>
    </row>
    <row r="28" spans="1:7" x14ac:dyDescent="0.25">
      <c r="A28" t="s">
        <v>132</v>
      </c>
      <c r="B28" t="s">
        <v>6191</v>
      </c>
      <c r="C28" t="s">
        <v>6193</v>
      </c>
      <c r="D28" s="18">
        <v>1</v>
      </c>
      <c r="E28">
        <v>15.85</v>
      </c>
      <c r="F28">
        <v>1.585</v>
      </c>
      <c r="G28">
        <v>2.0605000000000002</v>
      </c>
    </row>
    <row r="29" spans="1:7" x14ac:dyDescent="0.25">
      <c r="A29" t="s">
        <v>104</v>
      </c>
      <c r="B29" t="s">
        <v>6191</v>
      </c>
      <c r="C29" t="s">
        <v>6193</v>
      </c>
      <c r="D29" s="18">
        <v>2.5</v>
      </c>
      <c r="E29">
        <v>36.454999999999998</v>
      </c>
      <c r="F29">
        <v>1.4581999999999999</v>
      </c>
      <c r="G29">
        <v>4.7391499999999995</v>
      </c>
    </row>
    <row r="30" spans="1:7" x14ac:dyDescent="0.25">
      <c r="A30" t="s">
        <v>77</v>
      </c>
      <c r="B30" t="s">
        <v>6191</v>
      </c>
      <c r="C30" t="s">
        <v>6201</v>
      </c>
      <c r="D30" s="18">
        <v>0.2</v>
      </c>
      <c r="E30">
        <v>4.3650000000000002</v>
      </c>
      <c r="F30">
        <v>2.1825000000000001</v>
      </c>
      <c r="G30">
        <v>0.56745000000000001</v>
      </c>
    </row>
    <row r="31" spans="1:7" x14ac:dyDescent="0.25">
      <c r="A31" t="s">
        <v>78</v>
      </c>
      <c r="B31" t="s">
        <v>6191</v>
      </c>
      <c r="C31" t="s">
        <v>6201</v>
      </c>
      <c r="D31" s="18">
        <v>0.5</v>
      </c>
      <c r="E31">
        <v>8.73</v>
      </c>
      <c r="F31">
        <v>1.746</v>
      </c>
      <c r="G31">
        <v>1.1349</v>
      </c>
    </row>
    <row r="32" spans="1:7" x14ac:dyDescent="0.25">
      <c r="A32" t="s">
        <v>96</v>
      </c>
      <c r="B32" t="s">
        <v>6191</v>
      </c>
      <c r="C32" t="s">
        <v>6201</v>
      </c>
      <c r="D32" s="18">
        <v>1</v>
      </c>
      <c r="E32">
        <v>14.55</v>
      </c>
      <c r="F32">
        <v>1.4550000000000001</v>
      </c>
      <c r="G32">
        <v>1.8915000000000002</v>
      </c>
    </row>
    <row r="33" spans="1:7" x14ac:dyDescent="0.25">
      <c r="A33" t="s">
        <v>197</v>
      </c>
      <c r="B33" t="s">
        <v>6191</v>
      </c>
      <c r="C33" t="s">
        <v>6201</v>
      </c>
      <c r="D33" s="18">
        <v>2.5</v>
      </c>
      <c r="E33">
        <v>33.464999999999996</v>
      </c>
      <c r="F33">
        <v>1.3385999999999998</v>
      </c>
      <c r="G33">
        <v>4.3504499999999995</v>
      </c>
    </row>
    <row r="34" spans="1:7" x14ac:dyDescent="0.25">
      <c r="A34" t="s">
        <v>38</v>
      </c>
      <c r="B34" t="s">
        <v>6191</v>
      </c>
      <c r="C34" t="s">
        <v>6194</v>
      </c>
      <c r="D34" s="18">
        <v>0.2</v>
      </c>
      <c r="E34">
        <v>3.8849999999999998</v>
      </c>
      <c r="F34">
        <v>1.9424999999999999</v>
      </c>
      <c r="G34">
        <v>0.50505</v>
      </c>
    </row>
    <row r="35" spans="1:7" x14ac:dyDescent="0.25">
      <c r="A35" t="s">
        <v>123</v>
      </c>
      <c r="B35" t="s">
        <v>6191</v>
      </c>
      <c r="C35" t="s">
        <v>6194</v>
      </c>
      <c r="D35" s="18">
        <v>0.5</v>
      </c>
      <c r="E35">
        <v>7.77</v>
      </c>
      <c r="F35">
        <v>1.5539999999999998</v>
      </c>
      <c r="G35">
        <v>1.0101</v>
      </c>
    </row>
    <row r="36" spans="1:7" x14ac:dyDescent="0.25">
      <c r="A36" t="s">
        <v>13</v>
      </c>
      <c r="B36" t="s">
        <v>6191</v>
      </c>
      <c r="C36" t="s">
        <v>6194</v>
      </c>
      <c r="D36" s="18">
        <v>1</v>
      </c>
      <c r="E36">
        <v>12.95</v>
      </c>
      <c r="F36">
        <v>1.2949999999999999</v>
      </c>
      <c r="G36">
        <v>1.6835</v>
      </c>
    </row>
    <row r="37" spans="1:7" x14ac:dyDescent="0.25">
      <c r="A37" t="s">
        <v>109</v>
      </c>
      <c r="B37" t="s">
        <v>6191</v>
      </c>
      <c r="C37" t="s">
        <v>6194</v>
      </c>
      <c r="D37" s="18">
        <v>2.5</v>
      </c>
      <c r="E37">
        <v>29.784999999999997</v>
      </c>
      <c r="F37">
        <v>1.1913999999999998</v>
      </c>
      <c r="G37">
        <v>3.8720499999999998</v>
      </c>
    </row>
    <row r="38" spans="1:7" x14ac:dyDescent="0.25">
      <c r="A38" t="s">
        <v>254</v>
      </c>
      <c r="B38" t="s">
        <v>6192</v>
      </c>
      <c r="C38" t="s">
        <v>6193</v>
      </c>
      <c r="D38" s="18">
        <v>0.2</v>
      </c>
      <c r="E38">
        <v>4.4550000000000001</v>
      </c>
      <c r="F38">
        <v>2.2275</v>
      </c>
      <c r="G38">
        <v>0.49004999999999999</v>
      </c>
    </row>
    <row r="39" spans="1:7" x14ac:dyDescent="0.25">
      <c r="A39" t="s">
        <v>176</v>
      </c>
      <c r="B39" t="s">
        <v>6192</v>
      </c>
      <c r="C39" t="s">
        <v>6193</v>
      </c>
      <c r="D39" s="18">
        <v>0.5</v>
      </c>
      <c r="E39">
        <v>8.91</v>
      </c>
      <c r="F39">
        <v>1.782</v>
      </c>
      <c r="G39">
        <v>0.98009999999999997</v>
      </c>
    </row>
    <row r="40" spans="1:7" x14ac:dyDescent="0.25">
      <c r="A40" t="s">
        <v>137</v>
      </c>
      <c r="B40" t="s">
        <v>6192</v>
      </c>
      <c r="C40" t="s">
        <v>6193</v>
      </c>
      <c r="D40" s="18">
        <v>1</v>
      </c>
      <c r="E40">
        <v>14.85</v>
      </c>
      <c r="F40">
        <v>1.4849999999999999</v>
      </c>
      <c r="G40">
        <v>1.6335</v>
      </c>
    </row>
    <row r="41" spans="1:7" x14ac:dyDescent="0.25">
      <c r="A41" t="s">
        <v>30</v>
      </c>
      <c r="B41" t="s">
        <v>6192</v>
      </c>
      <c r="C41" t="s">
        <v>6193</v>
      </c>
      <c r="D41" s="18">
        <v>2.5</v>
      </c>
      <c r="E41">
        <v>34.154999999999994</v>
      </c>
      <c r="F41">
        <v>1.3661999999999999</v>
      </c>
      <c r="G41">
        <v>3.7570499999999996</v>
      </c>
    </row>
    <row r="42" spans="1:7" x14ac:dyDescent="0.25">
      <c r="A42" t="s">
        <v>64</v>
      </c>
      <c r="B42" t="s">
        <v>6192</v>
      </c>
      <c r="C42" t="s">
        <v>6201</v>
      </c>
      <c r="D42" s="18">
        <v>0.2</v>
      </c>
      <c r="E42">
        <v>4.125</v>
      </c>
      <c r="F42">
        <v>2.0625</v>
      </c>
      <c r="G42">
        <v>0.45374999999999999</v>
      </c>
    </row>
    <row r="43" spans="1:7" x14ac:dyDescent="0.25">
      <c r="A43" t="s">
        <v>3</v>
      </c>
      <c r="B43" t="s">
        <v>6192</v>
      </c>
      <c r="C43" t="s">
        <v>6201</v>
      </c>
      <c r="D43" s="18">
        <v>0.5</v>
      </c>
      <c r="E43">
        <v>8.25</v>
      </c>
      <c r="F43">
        <v>1.65</v>
      </c>
      <c r="G43">
        <v>0.90749999999999997</v>
      </c>
    </row>
    <row r="44" spans="1:7" x14ac:dyDescent="0.25">
      <c r="A44" t="s">
        <v>9</v>
      </c>
      <c r="B44" t="s">
        <v>6192</v>
      </c>
      <c r="C44" t="s">
        <v>6201</v>
      </c>
      <c r="D44" s="18">
        <v>1</v>
      </c>
      <c r="E44">
        <v>13.75</v>
      </c>
      <c r="F44">
        <v>1.375</v>
      </c>
      <c r="G44">
        <v>1.5125</v>
      </c>
    </row>
    <row r="45" spans="1:7" x14ac:dyDescent="0.25">
      <c r="A45" t="s">
        <v>112</v>
      </c>
      <c r="B45" t="s">
        <v>6192</v>
      </c>
      <c r="C45" t="s">
        <v>6201</v>
      </c>
      <c r="D45" s="18">
        <v>2.5</v>
      </c>
      <c r="E45">
        <v>31.624999999999996</v>
      </c>
      <c r="F45">
        <v>1.2649999999999999</v>
      </c>
      <c r="G45">
        <v>3.4787499999999998</v>
      </c>
    </row>
    <row r="46" spans="1:7" x14ac:dyDescent="0.25">
      <c r="A46" t="s">
        <v>51</v>
      </c>
      <c r="B46" t="s">
        <v>6192</v>
      </c>
      <c r="C46" t="s">
        <v>6194</v>
      </c>
      <c r="D46" s="18">
        <v>0.2</v>
      </c>
      <c r="E46">
        <v>3.645</v>
      </c>
      <c r="F46">
        <v>1.8225</v>
      </c>
      <c r="G46">
        <v>0.40095000000000003</v>
      </c>
    </row>
    <row r="47" spans="1:7" x14ac:dyDescent="0.25">
      <c r="A47" t="s">
        <v>16</v>
      </c>
      <c r="B47" t="s">
        <v>6192</v>
      </c>
      <c r="C47" t="s">
        <v>6194</v>
      </c>
      <c r="D47" s="18">
        <v>0.5</v>
      </c>
      <c r="E47">
        <v>7.29</v>
      </c>
      <c r="F47">
        <v>1.458</v>
      </c>
      <c r="G47">
        <v>0.80190000000000006</v>
      </c>
    </row>
    <row r="48" spans="1:7" x14ac:dyDescent="0.25">
      <c r="A48" t="s">
        <v>245</v>
      </c>
      <c r="B48" t="s">
        <v>6192</v>
      </c>
      <c r="C48" t="s">
        <v>6194</v>
      </c>
      <c r="D48" s="18">
        <v>1</v>
      </c>
      <c r="E48">
        <v>12.15</v>
      </c>
      <c r="F48">
        <v>1.2150000000000001</v>
      </c>
      <c r="G48">
        <v>1.3365</v>
      </c>
    </row>
    <row r="49" spans="1:7" x14ac:dyDescent="0.25">
      <c r="A49" t="s">
        <v>530</v>
      </c>
      <c r="B49" t="s">
        <v>6192</v>
      </c>
      <c r="C49" t="s">
        <v>6194</v>
      </c>
      <c r="D49" s="18">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vt:lpstr>
      <vt:lpstr>WORKSHEET</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rasmi2415@gmail.com</cp:lastModifiedBy>
  <dcterms:created xsi:type="dcterms:W3CDTF">2024-09-20T19:02:15Z</dcterms:created>
  <dcterms:modified xsi:type="dcterms:W3CDTF">2026-10-25T16:55:57Z</dcterms:modified>
</cp:coreProperties>
</file>